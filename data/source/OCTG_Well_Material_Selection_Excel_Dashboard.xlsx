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2ffd4d619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GRADES" sheetId="1" r:id="Rf4cd81c3d82b4c82"/>
    <x:sheet xmlns:r="http://schemas.openxmlformats.org/officeDocument/2006/relationships" name="API 5CT" sheetId="2" r:id="R967213dd4637416c"/>
    <x:sheet xmlns:r="http://schemas.openxmlformats.org/officeDocument/2006/relationships" name="API 5CRA" sheetId="3" r:id="Rbd157ae3415248ad"/>
    <x:sheet xmlns:r="http://schemas.openxmlformats.org/officeDocument/2006/relationships" name="PRICE BENCHMARKS" sheetId="4" r:id="Rc80e577140044e44"/>
    <x:sheet xmlns:r="http://schemas.openxmlformats.org/officeDocument/2006/relationships" name="SUPPLIER COVERAGE" sheetId="5" r:id="Re0a4714277c34c97"/>
    <x:sheet xmlns:r="http://schemas.openxmlformats.org/officeDocument/2006/relationships" name="SOURCES" sheetId="6" r:id="Ra3ae1f991ed3482b"/>
    <x:sheet xmlns:r="http://schemas.openxmlformats.org/officeDocument/2006/relationships" name="COST ESTIMATOR" sheetId="7" r:id="R669f48ae62ad4ece"/>
    <x:sheet xmlns:r="http://schemas.openxmlformats.org/officeDocument/2006/relationships" name="READ ME" sheetId="8" r:id="R63488031ff4d4ccd"/>
    <x:sheet xmlns:r="http://schemas.openxmlformats.org/officeDocument/2006/relationships" name="DASHBOARD" sheetId="9" r:id="R9599c81fc6a94d44"/>
    <x:sheet xmlns:r="http://schemas.openxmlformats.org/officeDocument/2006/relationships" name="WELL INPUTS" sheetId="10" r:id="Rf42cad622f494df2"/>
    <x:sheet xmlns:r="http://schemas.openxmlformats.org/officeDocument/2006/relationships" name="SCREENING" sheetId="11" r:id="R248e44a1d0de4c08"/>
    <x:sheet xmlns:r="http://schemas.openxmlformats.org/officeDocument/2006/relationships" name="SELECTION METHODOLOGY" sheetId="12" r:id="R163eb77e65644d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"/>
    <x:numFmt numFmtId="202" formatCode="0"/>
  </x:numFmts>
  <x:fonts count="22">
    <x:font>
      <x:sz val="11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sz val="11"/>
      <x:color rgb="FF3B556B"/>
      <x:name val="Carlito"/>
    </x:font>
    <x:font>
      <x:sz val="11"/>
      <x:color rgb="FF0D3A63"/>
      <x:name val="Carlito"/>
    </x:font>
    <x:font>
      <x:b/>
      <x:sz val="11"/>
      <x:color rgb="FF103D4F"/>
      <x:name val="Carlito"/>
    </x:font>
    <x:font>
      <x:sz val="10"/>
      <x:color rgb="FFA24E31"/>
      <x:name val="Carlito"/>
    </x:font>
    <x:font>
      <x:b/>
      <x:sz val="11"/>
      <x:color rgb="FFFFFFFF"/>
      <x:name val="Carlito"/>
    </x:font>
    <x:font>
      <x:b/>
      <x:sz val="11"/>
      <x:color rgb="FF143A58"/>
      <x:name val="Carlito"/>
    </x:font>
    <x:font>
      <x:b/>
      <x:sz val="20"/>
      <x:color rgb="FF0A4770"/>
      <x:name val="Carlito"/>
    </x:font>
    <x:font>
      <x:b/>
      <x:sz val="11"/>
      <x:color rgb="FF875519"/>
      <x:name val="Carlito"/>
    </x:font>
    <x:font>
      <x:b/>
      <x:sz val="17"/>
      <x:color rgb="FFFFFFFF"/>
      <x:name val="Carlito"/>
    </x:font>
    <x:font>
      <x:sz val="11"/>
      <x:color rgb="FF17635F"/>
      <x:name val="Carlito"/>
    </x:font>
    <x:font>
      <x:b/>
      <x:sz val="11"/>
      <x:color rgb="FF25465A"/>
      <x:name val="Carlito"/>
    </x:font>
    <x:font>
      <x:b/>
      <x:sz val="11"/>
      <x:color rgb="FF143D67"/>
      <x:name val="Carlito"/>
    </x:font>
    <x:font>
      <x:sz val="10"/>
      <x:color rgb="FF687E8F"/>
      <x:name val="Carlito"/>
    </x:font>
    <x:font>
      <x:b/>
      <x:sz val="10"/>
      <x:color rgb="FF125A68"/>
      <x:name val="Carlito"/>
    </x:font>
    <x:font>
      <x:b/>
      <x:sz val="16"/>
      <x:color rgb="FF146A6A"/>
      <x:name val="Carlito"/>
    </x:font>
    <x:font>
      <x:sz val="10"/>
      <x:color rgb="FF825A28"/>
      <x:name val="Carlito"/>
    </x:font>
    <x:font>
      <x:sz val="10"/>
      <x:color rgb="FF805A2A"/>
      <x:name val="Carlito"/>
    </x:font>
    <x:font>
      <x:b/>
      <x:sz val="11"/>
      <x:color rgb="FF1D5D6D"/>
      <x:name val="Carlito"/>
    </x:font>
    <x:font>
      <x:sz val="11"/>
      <x:color rgb="FF157D7E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2304B"/>
      </x:patternFill>
    </x:fill>
    <x:fill>
      <x:patternFill patternType="solid">
        <x:fgColor rgb="FF102D44"/>
      </x:patternFill>
    </x:fill>
    <x:fill>
      <x:patternFill patternType="solid">
        <x:fgColor rgb="FFE5F1FF"/>
      </x:patternFill>
    </x:fill>
    <x:fill>
      <x:patternFill patternType="solid">
        <x:fgColor rgb="FFD8EBEE"/>
      </x:patternFill>
    </x:fill>
    <x:fill>
      <x:patternFill patternType="solid">
        <x:fgColor rgb="FF153C5C"/>
      </x:patternFill>
    </x:fill>
    <x:fill>
      <x:patternFill patternType="solid">
        <x:fgColor rgb="FFE8F1F7"/>
      </x:patternFill>
    </x:fill>
    <x:fill>
      <x:patternFill patternType="solid">
        <x:fgColor rgb="FFFFF3D8"/>
      </x:patternFill>
    </x:fill>
    <x:fill>
      <x:patternFill patternType="solid">
        <x:fgColor rgb="FF102F45"/>
      </x:patternFill>
    </x:fill>
    <x:fill>
      <x:patternFill patternType="solid">
        <x:fgColor rgb="FFE8F3F3"/>
      </x:patternFill>
    </x:fill>
    <x:fill>
      <x:patternFill patternType="solid">
        <x:fgColor rgb="FF173A53"/>
      </x:patternFill>
    </x:fill>
    <x:fill>
      <x:patternFill patternType="solid">
        <x:fgColor rgb="FFE4F3FF"/>
      </x:patternFill>
    </x:fill>
    <x:fill>
      <x:patternFill patternType="solid">
        <x:fgColor rgb="FFF2F7FA"/>
      </x:patternFill>
    </x:fill>
    <x:fill>
      <x:patternFill patternType="solid">
        <x:fgColor rgb="FFFFF3DA"/>
      </x:patternFill>
    </x:fill>
    <x:fill>
      <x:patternFill patternType="solid">
        <x:fgColor rgb="FFFFF2DB"/>
      </x:patternFill>
    </x:fill>
    <x:fill>
      <x:patternFill patternType="solid">
        <x:fgColor rgb="FFE5EFF3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0" fontId="5" fillId="5" borderId="0" xfId="0" applyNumberFormat="1" applyFont="1" applyFill="1" applyBorder="1"/>
    <x:xf numFmtId="200" fontId="5" fillId="5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13" fillId="0" borderId="0" xfId="0" applyNumberFormat="1" applyFont="1" applyFill="1" applyBorder="1"/>
    <x:xf numFmtId="0" fontId="0" fillId="12" borderId="0" xfId="0" applyNumberFormat="1" applyFont="1" applyFill="1" applyBorder="1"/>
    <x:xf numFmtId="0" fontId="14" fillId="12" borderId="0" xfId="0" applyNumberFormat="1" applyFont="1" applyFill="1" applyBorder="1"/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16" fillId="13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/>
    <x:xf numFmtId="0" fontId="0" fillId="14" borderId="0" xfId="0" applyNumberFormat="1" applyFont="1" applyFill="1" applyBorder="1"/>
    <x:xf numFmtId="0" fontId="18" fillId="14" borderId="0" xfId="0" applyNumberFormat="1" applyFont="1" applyFill="1" applyBorder="1"/>
    <x:xf numFmtId="0" fontId="18" fillId="14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9" borderId="0" xfId="0" applyNumberFormat="1" applyFont="1" applyFill="1" applyBorder="1"/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vertical="center" wrapText="1"/>
    </x:xf>
    <x:xf numFmtId="0" fontId="20" fillId="16" borderId="0" xfId="0" applyNumberFormat="1" applyFont="1" applyFill="1" applyBorder="1" applyAlignment="1">
      <x:alignment vertical="center" wrapText="1"/>
    </x:xf>
    <x:xf numFmtId="0" fontId="21" fillId="0" borderId="0" xfId="0" applyNumberFormat="1" applyFont="1" applyFill="1" applyBorder="1"/>
  </x:cellXfs>
  <x:cellStyles count="1">
    <x:cellStyle name="Normal" xfId="0"/>
  </x:cellStyles>
  <x:dxfs count="6">
    <x:dxf>
      <x:font>
        <x:color rgb="FF9B3232"/>
      </x:font>
      <x:fill>
        <x:patternFill patternType="solid">
          <x:bgColor rgb="FFFFE2E2"/>
        </x:patternFill>
      </x:fill>
    </x:dxf>
    <x:dxf>
      <x:font>
        <x:color rgb="FF175D48"/>
      </x:font>
      <x:fill>
        <x:patternFill patternType="solid">
          <x:bgColor rgb="FFD8F3E7"/>
        </x:patternFill>
      </x:fill>
    </x:dxf>
    <x:dxf>
      <x:font>
        <x:color rgb="FF836018"/>
      </x:font>
      <x:fill>
        <x:patternFill patternType="solid">
          <x:bgColor rgb="FFFFF0CB"/>
        </x:patternFill>
      </x:fill>
    </x:dxf>
    <x:dxf>
      <x:font>
        <x:color rgb="FF9B3232"/>
      </x:font>
      <x:fill>
        <x:patternFill patternType="solid">
          <x:bgColor rgb="FFFFE2E2"/>
        </x:patternFill>
      </x:fill>
    </x:dxf>
    <x:dxf>
      <x:font>
        <x:color rgb="FF175D48"/>
      </x:font>
      <x:fill>
        <x:patternFill patternType="solid">
          <x:bgColor rgb="FFD8F3E7"/>
        </x:patternFill>
      </x:fill>
    </x:dxf>
    <x:dxf>
      <x:font>
        <x:color rgb="FF836018"/>
      </x:font>
      <x:fill>
        <x:patternFill patternType="solid">
          <x:bgColor rgb="FFFFF0C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afbbae3ba4fec" /><Relationship Type="http://schemas.openxmlformats.org/officeDocument/2006/relationships/theme" Target="/xl/theme/theme1.xml" Id="Red013e5cfaaf4bbc" /><Relationship Type="http://schemas.openxmlformats.org/officeDocument/2006/relationships/sharedStrings" Target="/xl/sharedStrings.xml" Id="Rf3c3f9b66860461b" /><Relationship Type="http://schemas.openxmlformats.org/officeDocument/2006/relationships/worksheet" Target="/xl/worksheets/sheet1.xml" Id="Rf4cd81c3d82b4c82" /><Relationship Type="http://schemas.openxmlformats.org/officeDocument/2006/relationships/worksheet" Target="/xl/worksheets/sheet2.xml" Id="R967213dd4637416c" /><Relationship Type="http://schemas.openxmlformats.org/officeDocument/2006/relationships/worksheet" Target="/xl/worksheets/sheet3.xml" Id="Rbd157ae3415248ad" /><Relationship Type="http://schemas.openxmlformats.org/officeDocument/2006/relationships/worksheet" Target="/xl/worksheets/sheet4.xml" Id="Rc80e577140044e44" /><Relationship Type="http://schemas.openxmlformats.org/officeDocument/2006/relationships/worksheet" Target="/xl/worksheets/sheet5.xml" Id="Re0a4714277c34c97" /><Relationship Type="http://schemas.openxmlformats.org/officeDocument/2006/relationships/worksheet" Target="/xl/worksheets/sheet6.xml" Id="Ra3ae1f991ed3482b" /><Relationship Type="http://schemas.openxmlformats.org/officeDocument/2006/relationships/worksheet" Target="/xl/worksheets/sheet7.xml" Id="R669f48ae62ad4ece" /><Relationship Type="http://schemas.openxmlformats.org/officeDocument/2006/relationships/worksheet" Target="/xl/worksheets/sheet8.xml" Id="R63488031ff4d4ccd" /><Relationship Type="http://schemas.openxmlformats.org/officeDocument/2006/relationships/worksheet" Target="/xl/worksheets/sheet9.xml" Id="R9599c81fc6a94d44" /><Relationship Type="http://schemas.openxmlformats.org/officeDocument/2006/relationships/worksheet" Target="/xl/worksheets/sheet10.xml" Id="Rf42cad622f494df2" /><Relationship Type="http://schemas.openxmlformats.org/officeDocument/2006/relationships/worksheet" Target="/xl/worksheets/sheet11.xml" Id="R248e44a1d0de4c08" /><Relationship Type="http://schemas.openxmlformats.org/officeDocument/2006/relationships/worksheet" Target="/xl/worksheets/sheet12.xml" Id="R163eb77e65644d30" /></Relationships>
</file>

<file path=xl/tables/table1.xml><?xml version="1.0" encoding="utf-8"?>
<x:table xmlns:x="http://schemas.openxmlformats.org/spreadsheetml/2006/main" id="1" name="OCTGMasterTable" displayName="OCTGMasterTable" ref="A1:Y451" headerRowCount="1" totalsRowCount="0" totalsRowShown="0">
  <x:tableColumns count="25">
    <x:tableColumn id="1" name="ID"/>
    <x:tableColumn id="2" name="Supplier"/>
    <x:tableColumn id="3" name="Region"/>
    <x:tableColumn id="4" name="Grade"/>
    <x:tableColumn id="5" name="Listing type"/>
    <x:tableColumn id="6" name="Standard context"/>
    <x:tableColumn id="7" name="Material family"/>
    <x:tableColumn id="8" name="Service / use"/>
    <x:tableColumn id="9" name="Typical application"/>
    <x:tableColumn id="10" name="H2S suitability"/>
    <x:tableColumn id="11" name="CO2 corrosion"/>
    <x:tableColumn id="12" name="High collapse"/>
    <x:tableColumn id="13" name="SMYS ksi"/>
    <x:tableColumn id="14" name="UNS"/>
    <x:tableColumn id="15" name="5CRA Group"/>
    <x:tableColumn id="16" name="5CRA Category"/>
    <x:tableColumn id="17" name="Relative cost tier"/>
    <x:tableColumn id="18" name="Price low USD/t"/>
    <x:tableColumn id="19" name="Price high USD/t"/>
    <x:tableColumn id="20" name="Price evidence"/>
    <x:tableColumn id="21" name="Vendor quote USD/t"/>
    <x:tableColumn id="22" name="Source URL"/>
    <x:tableColumn id="23" name="Source status"/>
    <x:tableColumn id="24" name="Technical notes"/>
    <x:tableColumn id="25" name="Review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I5CTReference" displayName="API5CTReference" ref="A1:Y16" headerRowCount="1" totalsRowCount="0" totalsRowShown="0">
  <x:tableColumns count="25">
    <x:tableColumn id="1" name="ID"/>
    <x:tableColumn id="2" name="Supplier"/>
    <x:tableColumn id="3" name="Region"/>
    <x:tableColumn id="4" name="Grade"/>
    <x:tableColumn id="5" name="Listing type"/>
    <x:tableColumn id="6" name="Standard context"/>
    <x:tableColumn id="7" name="Material family"/>
    <x:tableColumn id="8" name="Service / use"/>
    <x:tableColumn id="9" name="Typical application"/>
    <x:tableColumn id="10" name="H2S suitability"/>
    <x:tableColumn id="11" name="CO2 corrosion"/>
    <x:tableColumn id="12" name="High collapse"/>
    <x:tableColumn id="13" name="SMYS ksi"/>
    <x:tableColumn id="14" name="UNS"/>
    <x:tableColumn id="15" name="5CRA Group"/>
    <x:tableColumn id="16" name="5CRA Category"/>
    <x:tableColumn id="17" name="Relative cost tier"/>
    <x:tableColumn id="18" name="Price low USD/t"/>
    <x:tableColumn id="19" name="Price high USD/t"/>
    <x:tableColumn id="20" name="Price evidence"/>
    <x:tableColumn id="21" name="Vendor quote USD/t"/>
    <x:tableColumn id="22" name="Source URL"/>
    <x:tableColumn id="23" name="Source status"/>
    <x:tableColumn id="24" name="Technical notes"/>
    <x:tableColumn id="25" name="Review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PI5CRAReference" displayName="API5CRAReference" ref="A1:Y50" headerRowCount="1" totalsRowCount="0" totalsRowShown="0">
  <x:tableColumns count="25">
    <x:tableColumn id="1" name="ID"/>
    <x:tableColumn id="2" name="Supplier"/>
    <x:tableColumn id="3" name="Region"/>
    <x:tableColumn id="4" name="Grade"/>
    <x:tableColumn id="5" name="Listing type"/>
    <x:tableColumn id="6" name="Standard context"/>
    <x:tableColumn id="7" name="Material family"/>
    <x:tableColumn id="8" name="Service / use"/>
    <x:tableColumn id="9" name="Typical application"/>
    <x:tableColumn id="10" name="H2S suitability"/>
    <x:tableColumn id="11" name="CO2 corrosion"/>
    <x:tableColumn id="12" name="High collapse"/>
    <x:tableColumn id="13" name="SMYS ksi"/>
    <x:tableColumn id="14" name="UNS"/>
    <x:tableColumn id="15" name="5CRA Group"/>
    <x:tableColumn id="16" name="5CRA Category"/>
    <x:tableColumn id="17" name="Relative cost tier"/>
    <x:tableColumn id="18" name="Price low USD/t"/>
    <x:tableColumn id="19" name="Price high USD/t"/>
    <x:tableColumn id="20" name="Price evidence"/>
    <x:tableColumn id="21" name="Vendor quote USD/t"/>
    <x:tableColumn id="22" name="Source URL"/>
    <x:tableColumn id="23" name="Source status"/>
    <x:tableColumn id="24" name="Technical notes"/>
    <x:tableColumn id="25" name="Review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iceBenchmarks" displayName="PriceBenchmarks" ref="A1:I18" headerRowCount="1" totalsRowCount="0" totalsRowShown="0">
  <x:tableColumns count="9">
    <x:tableColumn id="1" name="Market/Basis"/>
    <x:tableColumn id="2" name="Observation"/>
    <x:tableColumn id="3" name="Grade"/>
    <x:tableColumn id="4" name="Product"/>
    <x:tableColumn id="5" name="Low price"/>
    <x:tableColumn id="6" name="High price"/>
    <x:tableColumn id="7" name="Price units"/>
    <x:tableColumn id="8" name="Important qualifications"/>
    <x:tableColumn id="9" name="Sour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pplierCoverage" displayName="SupplierCoverage" ref="A1:H16" headerRowCount="1" totalsRowCount="0" totalsRowShown="0">
  <x:tableColumns count="8">
    <x:tableColumn id="1" name="Supplier"/>
    <x:tableColumn id="2" name="Region"/>
    <x:tableColumn id="3" name="Records"/>
    <x:tableColumn id="4" name="Direct proprietary"/>
    <x:tableColumn id="5" name="API / supplier listed"/>
    <x:tableColumn id="6" name="CRA family records"/>
    <x:tableColumn id="7" name="Source / catalog"/>
    <x:tableColumn id="8" name="Coverage detai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Register" displayName="SourceRegister" ref="A1:D37" headerRowCount="1" totalsRowCount="0" totalsRowShown="0">
  <x:tableColumns count="4">
    <x:tableColumn id="1" name="Reference"/>
    <x:tableColumn id="2" name="Full URL"/>
    <x:tableColumn id="3" name="Evidence type"/>
    <x:tableColumn id="4" name="Access d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ellMaterialScreening" displayName="WellMaterialScreening" ref="A1:T451" headerRowCount="1" totalsRowCount="0" totalsRowShown="0">
  <x:tableColumns count="20">
    <x:tableColumn id="1" name="ID"/>
    <x:tableColumn id="2" name="Supplier"/>
    <x:tableColumn id="3" name="Grade"/>
    <x:tableColumn id="4" name="Material family"/>
    <x:tableColumn id="5" name="Supplier service statement"/>
    <x:tableColumn id="6" name="SMYS ksi"/>
    <x:tableColumn id="7" name="HC named"/>
    <x:tableColumn id="8" name="Cost tier"/>
    <x:tableColumn id="9" name="Sour claim"/>
    <x:tableColumn id="10" name="CO2 alloy"/>
    <x:tableColumn id="11" name="API reference?"/>
    <x:tableColumn id="12" name="SMYS gate"/>
    <x:tableColumn id="13" name="Sour catalog gate"/>
    <x:tableColumn id="14" name="CO2 corrosion gate"/>
    <x:tableColumn id="15" name="Collapse catalog gate"/>
    <x:tableColumn id="16" name="Cost cap gate"/>
    <x:tableColumn id="17" name="Catalog fit /100"/>
    <x:tableColumn id="18" name="REVIEW STATUS"/>
    <x:tableColumn id="19" name="Next action"/>
    <x:tableColumn id="20" name="Supplier 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91670e5fe54b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b3a953599a64a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7c1438929945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5d645b8a0824c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2399b733d6e4d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1558b2d130740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6d7097182f6f416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3" hidden="0" customWidth="1"/>
    <x:col min="4" max="4" width="30" hidden="0" customWidth="1"/>
    <x:col min="5" max="5" width="23" hidden="0" customWidth="1"/>
    <x:col min="6" max="6" width="32" hidden="0" customWidth="1"/>
    <x:col min="7" max="7" width="24" hidden="0" customWidth="1"/>
    <x:col min="8" max="8" width="54" hidden="0" customWidth="1"/>
    <x:col min="9" max="9" width="34" hidden="0" customWidth="1"/>
    <x:col min="10" max="10" width="32" hidden="0" customWidth="1"/>
    <x:col min="11" max="11" width="35" hidden="0" customWidth="1"/>
    <x:col min="12" max="12" width="23" hidden="0" customWidth="1"/>
    <x:col min="13" max="13" width="13" hidden="0" customWidth="1"/>
    <x:col min="14" max="14" width="16" hidden="0" customWidth="1"/>
    <x:col min="15" max="15" width="13" hidden="0" customWidth="1"/>
    <x:col min="16" max="16" width="17" hidden="0" customWidth="1"/>
    <x:col min="17" max="17" width="28" hidden="0" customWidth="1"/>
    <x:col min="18" max="18" width="18" hidden="0" customWidth="1"/>
    <x:col min="19" max="19" width="18" hidden="0" customWidth="1"/>
    <x:col min="20" max="20" width="48" hidden="0" customWidth="1"/>
    <x:col min="21" max="21" width="18" hidden="0" customWidth="1"/>
    <x:col min="22" max="22" width="62" hidden="0" customWidth="1"/>
    <x:col min="23" max="23" width="36" hidden="0" customWidth="1"/>
    <x:col min="24" max="24" width="55" hidden="0" customWidth="1"/>
    <x:col min="25" max="25" width="17" hidden="0" customWidth="1"/>
  </x:cols>
  <x:sheetData>
    <x:row r="1" ht="38" customHeight="1">
      <x:c r="A1" s="5" t="str">
        <x:v>ID</x:v>
      </x:c>
      <x:c r="B1" s="5" t="str">
        <x:v>Supplier</x:v>
      </x:c>
      <x:c r="C1" s="5" t="str">
        <x:v>Region</x:v>
      </x:c>
      <x:c r="D1" s="5" t="str">
        <x:v>Grade</x:v>
      </x:c>
      <x:c r="E1" s="5" t="str">
        <x:v>Listing type</x:v>
      </x:c>
      <x:c r="F1" s="5" t="str">
        <x:v>Standard context</x:v>
      </x:c>
      <x:c r="G1" s="5" t="str">
        <x:v>Material family</x:v>
      </x:c>
      <x:c r="H1" s="5" t="str">
        <x:v>Service / use</x:v>
      </x:c>
      <x:c r="I1" s="5" t="str">
        <x:v>Typical application</x:v>
      </x:c>
      <x:c r="J1" s="5" t="str">
        <x:v>H2S suitability</x:v>
      </x:c>
      <x:c r="K1" s="5" t="str">
        <x:v>CO2 corrosion</x:v>
      </x:c>
      <x:c r="L1" s="5" t="str">
        <x:v>High collapse</x:v>
      </x:c>
      <x:c r="M1" s="5" t="str">
        <x:v>SMYS ksi</x:v>
      </x:c>
      <x:c r="N1" s="5" t="str">
        <x:v>UNS</x:v>
      </x:c>
      <x:c r="O1" s="5" t="str">
        <x:v>5CRA Group</x:v>
      </x:c>
      <x:c r="P1" s="5" t="str">
        <x:v>5CRA Category</x:v>
      </x:c>
      <x:c r="Q1" s="5" t="str">
        <x:v>Relative cost tier</x:v>
      </x:c>
      <x:c r="R1" s="5" t="str">
        <x:v>Price low USD/t</x:v>
      </x:c>
      <x:c r="S1" s="5" t="str">
        <x:v>Price high USD/t</x:v>
      </x:c>
      <x:c r="T1" s="5" t="str">
        <x:v>Price evidence</x:v>
      </x:c>
      <x:c r="U1" s="5" t="str">
        <x:v>Vendor quote USD/t</x:v>
      </x:c>
      <x:c r="V1" s="5" t="str">
        <x:v>Source URL</x:v>
      </x:c>
      <x:c r="W1" s="5" t="str">
        <x:v>Source status</x:v>
      </x:c>
      <x:c r="X1" s="5" t="str">
        <x:v>Technical notes</x:v>
      </x:c>
      <x:c r="Y1" s="5" t="str">
        <x:v>Reviewed</x:v>
      </x:c>
    </x:row>
    <x:row r="2" ht="22" customHeight="1">
      <x:c r="A2" t="str">
        <x:v>OCTG-0001</x:v>
      </x:c>
      <x:c r="B2" t="str">
        <x:v>API reference</x:v>
      </x:c>
      <x:c r="C2" t="str">
        <x:v>Global</x:v>
      </x:c>
      <x:c r="D2" t="str">
        <x:v>C110</x:v>
      </x:c>
      <x:c r="E2" t="str">
        <x:v>API baseline</x:v>
      </x:c>
      <x:c r="F2" t="str">
        <x:v>API 5CT (11th ed + addenda)</x:v>
      </x:c>
      <x:c r="G2" t="str">
        <x:v>Carbon / low alloy</x:v>
      </x:c>
      <x:c r="H2" t="str">
        <x:v>Restricted sour service per ISO 15156</x:v>
      </x:c>
      <x:c r="I2" t="str">
        <x:v>API 5CT generic casing and tubing (size-specific scope)</x:v>
      </x:c>
      <x:c r="J2" t="str">
        <x:v>Case-specific NACE MR0175/ISO 15156 qualification</x:v>
      </x:c>
      <x:c r="K2" t="str">
        <x:v>Corrosion control may be needed</x:v>
      </x:c>
      <x:c r="L2" t="str">
        <x:v>API / not stated</x:v>
      </x:c>
      <x:c r="M2" t="n">
        <x:v>110</x:v>
      </x:c>
      <x:c r="N2" t="str"/>
      <x:c r="O2" t="str"/>
      <x:c r="P2" t="str"/>
      <x:c r="Q2" t="str">
        <x:v>A · standard carbon</x:v>
      </x:c>
      <x:c r="R2"/>
      <x:c r="S2"/>
      <x:c r="T2" t="str">
        <x:v>RFQ required · no public supplier-specific quote</x:v>
      </x:c>
      <x:c r="U2"/>
      <x:c r="V2" t="str">
        <x:v>https://www.api.org/products-and-services/standards/important-standards-announcements/spec5ct-tradepress</x:v>
      </x:c>
      <x:c r="W2" t="str">
        <x:v>API standard grade; check 11th ed and 2026 errata</x:v>
      </x:c>
      <x:c r="X2" t="str">
        <x:v>Standard grade; grade name alone does not imply NACE MR0175 acceptance. M65 is historical / withdrawn.</x:v>
      </x:c>
      <x:c r="Y2" t="str">
        <x:v>2026-10-10</x:v>
      </x:c>
    </x:row>
    <x:row r="3" ht="22" customHeight="1">
      <x:c r="A3" t="str">
        <x:v>OCTG-0002</x:v>
      </x:c>
      <x:c r="B3" t="str">
        <x:v>API reference</x:v>
      </x:c>
      <x:c r="C3" t="str">
        <x:v>Global</x:v>
      </x:c>
      <x:c r="D3" t="str">
        <x:v>C90</x:v>
      </x:c>
      <x:c r="E3" t="str">
        <x:v>API baseline</x:v>
      </x:c>
      <x:c r="F3" t="str">
        <x:v>API 5CT (11th ed + addenda)</x:v>
      </x:c>
      <x:c r="G3" t="str">
        <x:v>Carbon / low alloy</x:v>
      </x:c>
      <x:c r="H3" t="str">
        <x:v>Sour service within ISO 15156 limits</x:v>
      </x:c>
      <x:c r="I3" t="str">
        <x:v>API 5CT generic casing and tubing (size-specific scope)</x:v>
      </x:c>
      <x:c r="J3" t="str">
        <x:v>Case-specific NACE MR0175/ISO 15156 qualification</x:v>
      </x:c>
      <x:c r="K3" t="str">
        <x:v>Corrosion control may be needed</x:v>
      </x:c>
      <x:c r="L3" t="str">
        <x:v>API / not stated</x:v>
      </x:c>
      <x:c r="M3" t="n">
        <x:v>90</x:v>
      </x:c>
      <x:c r="N3" t="str"/>
      <x:c r="O3" t="str"/>
      <x:c r="P3" t="str"/>
      <x:c r="Q3" t="str">
        <x:v>A · standard carbon</x:v>
      </x:c>
      <x:c r="R3"/>
      <x:c r="S3"/>
      <x:c r="T3" t="str">
        <x:v>RFQ required · no public supplier-specific quote</x:v>
      </x:c>
      <x:c r="U3"/>
      <x:c r="V3" t="str">
        <x:v>https://www.api.org/products-and-services/standards/important-standards-announcements/spec5ct-tradepress</x:v>
      </x:c>
      <x:c r="W3" t="str">
        <x:v>API standard grade; check 11th ed and 2026 errata</x:v>
      </x:c>
      <x:c r="X3" t="str">
        <x:v>Standard grade; grade name alone does not imply NACE MR0175 acceptance. M65 is historical / withdrawn.</x:v>
      </x:c>
      <x:c r="Y3" t="str">
        <x:v>2026-10-10</x:v>
      </x:c>
    </x:row>
    <x:row r="4" ht="22" customHeight="1">
      <x:c r="A4" t="str">
        <x:v>OCTG-0003</x:v>
      </x:c>
      <x:c r="B4" t="str">
        <x:v>API reference</x:v>
      </x:c>
      <x:c r="C4" t="str">
        <x:v>Global</x:v>
      </x:c>
      <x:c r="D4" t="str">
        <x:v>H40</x:v>
      </x:c>
      <x:c r="E4" t="str">
        <x:v>API baseline</x:v>
      </x:c>
      <x:c r="F4" t="str">
        <x:v>API 5CT (11th ed + addenda)</x:v>
      </x:c>
      <x:c r="G4" t="str">
        <x:v>Carbon / low alloy</x:v>
      </x:c>
      <x:c r="H4" t="str">
        <x:v>Shallow / surface casing</x:v>
      </x:c>
      <x:c r="I4" t="str">
        <x:v>API 5CT generic casing and tubing (size-specific scope)</x:v>
      </x:c>
      <x:c r="J4" t="str">
        <x:v>Not presumed sour-qualified</x:v>
      </x:c>
      <x:c r="K4" t="str">
        <x:v>Corrosion control may be needed</x:v>
      </x:c>
      <x:c r="L4" t="str">
        <x:v>API / not stated</x:v>
      </x:c>
      <x:c r="M4" t="n">
        <x:v>40</x:v>
      </x:c>
      <x:c r="N4" t="str"/>
      <x:c r="O4" t="str"/>
      <x:c r="P4" t="str"/>
      <x:c r="Q4" t="str">
        <x:v>A · standard carbon</x:v>
      </x:c>
      <x:c r="R4"/>
      <x:c r="S4"/>
      <x:c r="T4" t="str">
        <x:v>RFQ required · no public supplier-specific quote</x:v>
      </x:c>
      <x:c r="U4"/>
      <x:c r="V4" t="str">
        <x:v>https://www.api.org/products-and-services/standards/important-standards-announcements/spec5ct-tradepress</x:v>
      </x:c>
      <x:c r="W4" t="str">
        <x:v>API standard grade; check 11th ed and 2026 errata</x:v>
      </x:c>
      <x:c r="X4" t="str">
        <x:v>Standard grade; grade name alone does not imply NACE MR0175 acceptance. M65 is historical / withdrawn.</x:v>
      </x:c>
      <x:c r="Y4" t="str">
        <x:v>2026-10-10</x:v>
      </x:c>
    </x:row>
    <x:row r="5" ht="22" customHeight="1">
      <x:c r="A5" t="str">
        <x:v>OCTG-0004</x:v>
      </x:c>
      <x:c r="B5" t="str">
        <x:v>API reference</x:v>
      </x:c>
      <x:c r="C5" t="str">
        <x:v>Global</x:v>
      </x:c>
      <x:c r="D5" t="str">
        <x:v>J55</x:v>
      </x:c>
      <x:c r="E5" t="str">
        <x:v>API baseline</x:v>
      </x:c>
      <x:c r="F5" t="str">
        <x:v>API 5CT (11th ed + addenda)</x:v>
      </x:c>
      <x:c r="G5" t="str">
        <x:v>Carbon / low alloy</x:v>
      </x:c>
      <x:c r="H5" t="str">
        <x:v>Conventional sweet wells</x:v>
      </x:c>
      <x:c r="I5" t="str">
        <x:v>API 5CT generic casing and tubing (size-specific scope)</x:v>
      </x:c>
      <x:c r="J5" t="str">
        <x:v>Not presumed sour-qualified</x:v>
      </x:c>
      <x:c r="K5" t="str">
        <x:v>Corrosion control may be needed</x:v>
      </x:c>
      <x:c r="L5" t="str">
        <x:v>API / not stated</x:v>
      </x:c>
      <x:c r="M5" t="n">
        <x:v>55</x:v>
      </x:c>
      <x:c r="N5" t="str"/>
      <x:c r="O5" t="str"/>
      <x:c r="P5" t="str"/>
      <x:c r="Q5" t="str">
        <x:v>A · standard carbon</x:v>
      </x:c>
      <x:c r="R5" t="n">
        <x:v>650</x:v>
      </x:c>
      <x:c r="S5" t="n">
        <x:v>800</x:v>
      </x:c>
      <x:c r="T5" t="str">
        <x:v>Published China FOB indicative benchmark (not global mill quote)</x:v>
      </x:c>
      <x:c r="U5"/>
      <x:c r="V5" t="str">
        <x:v>https://www.api.org/products-and-services/standards/important-standards-announcements/spec5ct-tradepress</x:v>
      </x:c>
      <x:c r="W5" t="str">
        <x:v>API standard grade; check 11th ed and 2026 errata</x:v>
      </x:c>
      <x:c r="X5" t="str">
        <x:v>Standard grade; grade name alone does not imply NACE MR0175 acceptance. M65 is historical / withdrawn.</x:v>
      </x:c>
      <x:c r="Y5" t="str">
        <x:v>2026-10-10</x:v>
      </x:c>
    </x:row>
    <x:row r="6" ht="22" customHeight="1">
      <x:c r="A6" t="str">
        <x:v>OCTG-0005</x:v>
      </x:c>
      <x:c r="B6" t="str">
        <x:v>API reference</x:v>
      </x:c>
      <x:c r="C6" t="str">
        <x:v>Global</x:v>
      </x:c>
      <x:c r="D6" t="str">
        <x:v>K55</x:v>
      </x:c>
      <x:c r="E6" t="str">
        <x:v>API baseline</x:v>
      </x:c>
      <x:c r="F6" t="str">
        <x:v>API 5CT (11th ed + addenda)</x:v>
      </x:c>
      <x:c r="G6" t="str">
        <x:v>Carbon / low alloy</x:v>
      </x:c>
      <x:c r="H6" t="str">
        <x:v>Conventional sweet wells; higher UTS than J55</x:v>
      </x:c>
      <x:c r="I6" t="str">
        <x:v>API 5CT generic casing and tubing (size-specific scope)</x:v>
      </x:c>
      <x:c r="J6" t="str">
        <x:v>Not presumed sour-qualified</x:v>
      </x:c>
      <x:c r="K6" t="str">
        <x:v>Corrosion control may be needed</x:v>
      </x:c>
      <x:c r="L6" t="str">
        <x:v>API / not stated</x:v>
      </x:c>
      <x:c r="M6" t="n">
        <x:v>55</x:v>
      </x:c>
      <x:c r="N6" t="str"/>
      <x:c r="O6" t="str"/>
      <x:c r="P6" t="str"/>
      <x:c r="Q6" t="str">
        <x:v>A · standard carbon</x:v>
      </x:c>
      <x:c r="R6" t="n">
        <x:v>680</x:v>
      </x:c>
      <x:c r="S6" t="n">
        <x:v>830</x:v>
      </x:c>
      <x:c r="T6" t="str">
        <x:v>Published China FOB indicative benchmark (not global mill quote)</x:v>
      </x:c>
      <x:c r="U6"/>
      <x:c r="V6" t="str">
        <x:v>https://www.api.org/products-and-services/standards/important-standards-announcements/spec5ct-tradepress</x:v>
      </x:c>
      <x:c r="W6" t="str">
        <x:v>API standard grade; check 11th ed and 2026 errata</x:v>
      </x:c>
      <x:c r="X6" t="str">
        <x:v>Standard grade; grade name alone does not imply NACE MR0175 acceptance. M65 is historical / withdrawn.</x:v>
      </x:c>
      <x:c r="Y6" t="str">
        <x:v>2026-10-10</x:v>
      </x:c>
    </x:row>
    <x:row r="7" ht="22" customHeight="1">
      <x:c r="A7" t="str">
        <x:v>OCTG-0006</x:v>
      </x:c>
      <x:c r="B7" t="str">
        <x:v>API reference</x:v>
      </x:c>
      <x:c r="C7" t="str">
        <x:v>Global</x:v>
      </x:c>
      <x:c r="D7" t="str">
        <x:v>L80 Type 1</x:v>
      </x:c>
      <x:c r="E7" t="str">
        <x:v>API baseline</x:v>
      </x:c>
      <x:c r="F7" t="str">
        <x:v>API 5CT (11th ed + addenda)</x:v>
      </x:c>
      <x:c r="G7" t="str">
        <x:v>Carbon / low alloy</x:v>
      </x:c>
      <x:c r="H7" t="str">
        <x:v>Sour-capable only within ISO 15156 restrictions</x:v>
      </x:c>
      <x:c r="I7" t="str">
        <x:v>API 5CT generic casing and tubing (size-specific scope)</x:v>
      </x:c>
      <x:c r="J7" t="str">
        <x:v>Case-specific NACE MR0175/ISO 15156 qualification</x:v>
      </x:c>
      <x:c r="K7" t="str">
        <x:v>Corrosion control may be needed</x:v>
      </x:c>
      <x:c r="L7" t="str">
        <x:v>API / not stated</x:v>
      </x:c>
      <x:c r="M7" t="n">
        <x:v>80</x:v>
      </x:c>
      <x:c r="N7" t="str"/>
      <x:c r="O7" t="str"/>
      <x:c r="P7" t="str"/>
      <x:c r="Q7" t="str">
        <x:v>A · standard carbon</x:v>
      </x:c>
      <x:c r="R7" t="n">
        <x:v>850</x:v>
      </x:c>
      <x:c r="S7" t="n">
        <x:v>1050</x:v>
      </x:c>
      <x:c r="T7" t="str">
        <x:v>Published China FOB indicative benchmark (not global mill quote)</x:v>
      </x:c>
      <x:c r="U7"/>
      <x:c r="V7" t="str">
        <x:v>https://www.api.org/products-and-services/standards/important-standards-announcements/spec5ct-tradepress</x:v>
      </x:c>
      <x:c r="W7" t="str">
        <x:v>API standard grade; check 11th ed and 2026 errata</x:v>
      </x:c>
      <x:c r="X7" t="str">
        <x:v>Standard grade; grade name alone does not imply NACE MR0175 acceptance. M65 is historical / withdrawn.</x:v>
      </x:c>
      <x:c r="Y7" t="str">
        <x:v>2026-10-10</x:v>
      </x:c>
    </x:row>
    <x:row r="8" ht="22" customHeight="1">
      <x:c r="A8" t="str">
        <x:v>OCTG-0007</x:v>
      </x:c>
      <x:c r="B8" t="str">
        <x:v>API reference</x:v>
      </x:c>
      <x:c r="C8" t="str">
        <x:v>Global</x:v>
      </x:c>
      <x:c r="D8" t="str">
        <x:v>N80 Type 1</x:v>
      </x:c>
      <x:c r="E8" t="str">
        <x:v>API baseline</x:v>
      </x:c>
      <x:c r="F8" t="str">
        <x:v>API 5CT (11th ed + addenda)</x:v>
      </x:c>
      <x:c r="G8" t="str">
        <x:v>Carbon / low alloy</x:v>
      </x:c>
      <x:c r="H8" t="str">
        <x:v>Sweet / higher strength</x:v>
      </x:c>
      <x:c r="I8" t="str">
        <x:v>API 5CT generic casing and tubing (size-specific scope)</x:v>
      </x:c>
      <x:c r="J8" t="str">
        <x:v>Not presumed sour-qualified</x:v>
      </x:c>
      <x:c r="K8" t="str">
        <x:v>Corrosion control may be needed</x:v>
      </x:c>
      <x:c r="L8" t="str">
        <x:v>API / not stated</x:v>
      </x:c>
      <x:c r="M8" t="n">
        <x:v>80</x:v>
      </x:c>
      <x:c r="N8" t="str"/>
      <x:c r="O8" t="str"/>
      <x:c r="P8" t="str"/>
      <x:c r="Q8" t="str">
        <x:v>A · standard carbon</x:v>
      </x:c>
      <x:c r="R8" t="n">
        <x:v>750</x:v>
      </x:c>
      <x:c r="S8" t="n">
        <x:v>920</x:v>
      </x:c>
      <x:c r="T8" t="str">
        <x:v>Published China FOB indicative benchmark (not global mill quote)</x:v>
      </x:c>
      <x:c r="U8"/>
      <x:c r="V8" t="str">
        <x:v>https://www.api.org/products-and-services/standards/important-standards-announcements/spec5ct-tradepress</x:v>
      </x:c>
      <x:c r="W8" t="str">
        <x:v>API standard grade; check 11th ed and 2026 errata</x:v>
      </x:c>
      <x:c r="X8" t="str">
        <x:v>Standard grade; grade name alone does not imply NACE MR0175 acceptance. M65 is historical / withdrawn.</x:v>
      </x:c>
      <x:c r="Y8" t="str">
        <x:v>2026-10-10</x:v>
      </x:c>
    </x:row>
    <x:row r="9" ht="22" customHeight="1">
      <x:c r="A9" t="str">
        <x:v>OCTG-0008</x:v>
      </x:c>
      <x:c r="B9" t="str">
        <x:v>API reference</x:v>
      </x:c>
      <x:c r="C9" t="str">
        <x:v>Global</x:v>
      </x:c>
      <x:c r="D9" t="str">
        <x:v>N80 Type Q</x:v>
      </x:c>
      <x:c r="E9" t="str">
        <x:v>API baseline</x:v>
      </x:c>
      <x:c r="F9" t="str">
        <x:v>API 5CT (11th ed + addenda)</x:v>
      </x:c>
      <x:c r="G9" t="str">
        <x:v>Carbon / low alloy</x:v>
      </x:c>
      <x:c r="H9" t="str">
        <x:v>Sweet / Q&amp;T</x:v>
      </x:c>
      <x:c r="I9" t="str">
        <x:v>API 5CT generic casing and tubing (size-specific scope)</x:v>
      </x:c>
      <x:c r="J9" t="str">
        <x:v>Not presumed sour-qualified</x:v>
      </x:c>
      <x:c r="K9" t="str">
        <x:v>Corrosion control may be needed</x:v>
      </x:c>
      <x:c r="L9" t="str">
        <x:v>API / not stated</x:v>
      </x:c>
      <x:c r="M9" t="n">
        <x:v>80</x:v>
      </x:c>
      <x:c r="N9" t="str"/>
      <x:c r="O9" t="str"/>
      <x:c r="P9" t="str"/>
      <x:c r="Q9" t="str">
        <x:v>A · standard carbon</x:v>
      </x:c>
      <x:c r="R9" t="n">
        <x:v>750</x:v>
      </x:c>
      <x:c r="S9" t="n">
        <x:v>920</x:v>
      </x:c>
      <x:c r="T9" t="str">
        <x:v>Published China FOB indicative benchmark (not global mill quote)</x:v>
      </x:c>
      <x:c r="U9"/>
      <x:c r="V9" t="str">
        <x:v>https://www.api.org/products-and-services/standards/important-standards-announcements/spec5ct-tradepress</x:v>
      </x:c>
      <x:c r="W9" t="str">
        <x:v>API standard grade; check 11th ed and 2026 errata</x:v>
      </x:c>
      <x:c r="X9" t="str">
        <x:v>Standard grade; grade name alone does not imply NACE MR0175 acceptance. M65 is historical / withdrawn.</x:v>
      </x:c>
      <x:c r="Y9" t="str">
        <x:v>2026-10-10</x:v>
      </x:c>
    </x:row>
    <x:row r="10" ht="22" customHeight="1">
      <x:c r="A10" t="str">
        <x:v>OCTG-0009</x:v>
      </x:c>
      <x:c r="B10" t="str">
        <x:v>API reference</x:v>
      </x:c>
      <x:c r="C10" t="str">
        <x:v>Global</x:v>
      </x:c>
      <x:c r="D10" t="str">
        <x:v>P110</x:v>
      </x:c>
      <x:c r="E10" t="str">
        <x:v>API baseline</x:v>
      </x:c>
      <x:c r="F10" t="str">
        <x:v>API 5CT (11th ed + addenda)</x:v>
      </x:c>
      <x:c r="G10" t="str">
        <x:v>Carbon / low alloy</x:v>
      </x:c>
      <x:c r="H10" t="str">
        <x:v>Sweet deep / high strength</x:v>
      </x:c>
      <x:c r="I10" t="str">
        <x:v>API 5CT generic casing and tubing (size-specific scope)</x:v>
      </x:c>
      <x:c r="J10" t="str">
        <x:v>Not presumed sour-qualified</x:v>
      </x:c>
      <x:c r="K10" t="str">
        <x:v>Corrosion control may be needed</x:v>
      </x:c>
      <x:c r="L10" t="str">
        <x:v>API / not stated</x:v>
      </x:c>
      <x:c r="M10" t="n">
        <x:v>110</x:v>
      </x:c>
      <x:c r="N10" t="str"/>
      <x:c r="O10" t="str"/>
      <x:c r="P10" t="str"/>
      <x:c r="Q10" t="str">
        <x:v>A · standard carbon</x:v>
      </x:c>
      <x:c r="R10" t="n">
        <x:v>950</x:v>
      </x:c>
      <x:c r="S10" t="n">
        <x:v>1200</x:v>
      </x:c>
      <x:c r="T10" t="str">
        <x:v>Published China FOB indicative benchmark (not global mill quote)</x:v>
      </x:c>
      <x:c r="U10"/>
      <x:c r="V10" t="str">
        <x:v>https://www.api.org/products-and-services/standards/important-standards-announcements/spec5ct-tradepress</x:v>
      </x:c>
      <x:c r="W10" t="str">
        <x:v>API standard grade; check 11th ed and 2026 errata</x:v>
      </x:c>
      <x:c r="X10" t="str">
        <x:v>Standard grade; grade name alone does not imply NACE MR0175 acceptance. M65 is historical / withdrawn.</x:v>
      </x:c>
      <x:c r="Y10" t="str">
        <x:v>2026-10-10</x:v>
      </x:c>
    </x:row>
    <x:row r="11" ht="22" customHeight="1">
      <x:c r="A11" t="str">
        <x:v>OCTG-0010</x:v>
      </x:c>
      <x:c r="B11" t="str">
        <x:v>API reference</x:v>
      </x:c>
      <x:c r="C11" t="str">
        <x:v>Global</x:v>
      </x:c>
      <x:c r="D11" t="str">
        <x:v>Q125</x:v>
      </x:c>
      <x:c r="E11" t="str">
        <x:v>API baseline</x:v>
      </x:c>
      <x:c r="F11" t="str">
        <x:v>API 5CT (11th ed + addenda)</x:v>
      </x:c>
      <x:c r="G11" t="str">
        <x:v>Carbon / low alloy</x:v>
      </x:c>
      <x:c r="H11" t="str">
        <x:v>Very deep / high mechanical loading</x:v>
      </x:c>
      <x:c r="I11" t="str">
        <x:v>API 5CT generic casing and tubing (size-specific scope)</x:v>
      </x:c>
      <x:c r="J11" t="str">
        <x:v>Not presumed sour-qualified</x:v>
      </x:c>
      <x:c r="K11" t="str">
        <x:v>Corrosion control may be needed</x:v>
      </x:c>
      <x:c r="L11" t="str">
        <x:v>API / not stated</x:v>
      </x:c>
      <x:c r="M11" t="n">
        <x:v>125</x:v>
      </x:c>
      <x:c r="N11" t="str"/>
      <x:c r="O11" t="str"/>
      <x:c r="P11" t="str"/>
      <x:c r="Q11" t="str">
        <x:v>A · standard carbon</x:v>
      </x:c>
      <x:c r="R11"/>
      <x:c r="S11"/>
      <x:c r="T11" t="str">
        <x:v>RFQ required · no public supplier-specific quote</x:v>
      </x:c>
      <x:c r="U11"/>
      <x:c r="V11" t="str">
        <x:v>https://www.api.org/products-and-services/standards/important-standards-announcements/spec5ct-tradepress</x:v>
      </x:c>
      <x:c r="W11" t="str">
        <x:v>API standard grade; check 11th ed and 2026 errata</x:v>
      </x:c>
      <x:c r="X11" t="str">
        <x:v>Standard grade; grade name alone does not imply NACE MR0175 acceptance. M65 is historical / withdrawn.</x:v>
      </x:c>
      <x:c r="Y11" t="str">
        <x:v>2026-10-10</x:v>
      </x:c>
    </x:row>
    <x:row r="12" ht="22" customHeight="1">
      <x:c r="A12" t="str">
        <x:v>OCTG-0011</x:v>
      </x:c>
      <x:c r="B12" t="str">
        <x:v>API reference</x:v>
      </x:c>
      <x:c r="C12" t="str">
        <x:v>Global</x:v>
      </x:c>
      <x:c r="D12" t="str">
        <x:v>R95</x:v>
      </x:c>
      <x:c r="E12" t="str">
        <x:v>API baseline</x:v>
      </x:c>
      <x:c r="F12" t="str">
        <x:v>API 5CT (11th ed + addenda)</x:v>
      </x:c>
      <x:c r="G12" t="str">
        <x:v>Carbon / low alloy</x:v>
      </x:c>
      <x:c r="H12" t="str">
        <x:v>Sweet high strength</x:v>
      </x:c>
      <x:c r="I12" t="str">
        <x:v>API 5CT generic casing and tubing (size-specific scope)</x:v>
      </x:c>
      <x:c r="J12" t="str">
        <x:v>Not presumed sour-qualified</x:v>
      </x:c>
      <x:c r="K12" t="str">
        <x:v>Corrosion control may be needed</x:v>
      </x:c>
      <x:c r="L12" t="str">
        <x:v>API / not stated</x:v>
      </x:c>
      <x:c r="M12" t="n">
        <x:v>95</x:v>
      </x:c>
      <x:c r="N12" t="str"/>
      <x:c r="O12" t="str"/>
      <x:c r="P12" t="str"/>
      <x:c r="Q12" t="str">
        <x:v>A · standard carbon</x:v>
      </x:c>
      <x:c r="R12"/>
      <x:c r="S12"/>
      <x:c r="T12" t="str">
        <x:v>RFQ required · no public supplier-specific quote</x:v>
      </x:c>
      <x:c r="U12"/>
      <x:c r="V12" t="str">
        <x:v>https://www.api.org/products-and-services/standards/important-standards-announcements/spec5ct-tradepress</x:v>
      </x:c>
      <x:c r="W12" t="str">
        <x:v>API standard grade; check 11th ed and 2026 errata</x:v>
      </x:c>
      <x:c r="X12" t="str">
        <x:v>Standard grade; grade name alone does not imply NACE MR0175 acceptance. M65 is historical / withdrawn.</x:v>
      </x:c>
      <x:c r="Y12" t="str">
        <x:v>2026-10-10</x:v>
      </x:c>
    </x:row>
    <x:row r="13" ht="22" customHeight="1">
      <x:c r="A13" t="str">
        <x:v>OCTG-0012</x:v>
      </x:c>
      <x:c r="B13" t="str">
        <x:v>API reference</x:v>
      </x:c>
      <x:c r="C13" t="str">
        <x:v>Global</x:v>
      </x:c>
      <x:c r="D13" t="str">
        <x:v>T95</x:v>
      </x:c>
      <x:c r="E13" t="str">
        <x:v>API baseline</x:v>
      </x:c>
      <x:c r="F13" t="str">
        <x:v>API 5CT (11th ed + addenda)</x:v>
      </x:c>
      <x:c r="G13" t="str">
        <x:v>Carbon / low alloy</x:v>
      </x:c>
      <x:c r="H13" t="str">
        <x:v>Sour service within ISO 15156 limits</x:v>
      </x:c>
      <x:c r="I13" t="str">
        <x:v>API 5CT generic casing and tubing (size-specific scope)</x:v>
      </x:c>
      <x:c r="J13" t="str">
        <x:v>Case-specific NACE MR0175/ISO 15156 qualification</x:v>
      </x:c>
      <x:c r="K13" t="str">
        <x:v>Corrosion control may be needed</x:v>
      </x:c>
      <x:c r="L13" t="str">
        <x:v>API / not stated</x:v>
      </x:c>
      <x:c r="M13" t="n">
        <x:v>95</x:v>
      </x:c>
      <x:c r="N13" t="str"/>
      <x:c r="O13" t="str"/>
      <x:c r="P13" t="str"/>
      <x:c r="Q13" t="str">
        <x:v>A · standard carbon</x:v>
      </x:c>
      <x:c r="R13"/>
      <x:c r="S13"/>
      <x:c r="T13" t="str">
        <x:v>RFQ required · no public supplier-specific quote</x:v>
      </x:c>
      <x:c r="U13"/>
      <x:c r="V13" t="str">
        <x:v>https://www.api.org/products-and-services/standards/important-standards-announcements/spec5ct-tradepress</x:v>
      </x:c>
      <x:c r="W13" t="str">
        <x:v>API standard grade; check 11th ed and 2026 errata</x:v>
      </x:c>
      <x:c r="X13" t="str">
        <x:v>Standard grade; grade name alone does not imply NACE MR0175 acceptance. M65 is historical / withdrawn.</x:v>
      </x:c>
      <x:c r="Y13" t="str">
        <x:v>2026-10-10</x:v>
      </x:c>
    </x:row>
    <x:row r="14" ht="22" customHeight="1">
      <x:c r="A14" t="str">
        <x:v>OCTG-0013</x:v>
      </x:c>
      <x:c r="B14" t="str">
        <x:v>API reference</x:v>
      </x:c>
      <x:c r="C14" t="str">
        <x:v>Global</x:v>
      </x:c>
      <x:c r="D14" t="str">
        <x:v>22-5-3 / S31803 / 110</x:v>
      </x:c>
      <x:c r="E14" t="str">
        <x:v>API CRA category/grade</x:v>
      </x:c>
      <x:c r="F14" t="str">
        <x:v>API 5CRA group/category, PSL2 LIF (2023)</x:v>
      </x:c>
      <x:c r="G14" t="str">
        <x:v>Duplex 22Cr</x:v>
      </x:c>
      <x:c r="H14" t="str">
        <x:v>CO2 / chloride, project-qualified sour</x:v>
      </x:c>
      <x:c r="I14" t="str">
        <x:v>CRA OCTG seamless pipe / coupling stock subject to API scope</x:v>
      </x:c>
      <x:c r="J14" t="str">
        <x:v>Qualification per ISO 15156-3 / NACE MR0175 required</x:v>
      </x:c>
      <x:c r="K14" t="str">
        <x:v>Improved (verify temperature / chloride limits)</x:v>
      </x:c>
      <x:c r="L14" t="str">
        <x:v>API / not stated</x:v>
      </x:c>
      <x:c r="M14" t="n">
        <x:v>110</x:v>
      </x:c>
      <x:c r="N14" t="str">
        <x:v>S31803</x:v>
      </x:c>
      <x:c r="O14" t="str">
        <x:v>2</x:v>
      </x:c>
      <x:c r="P14" t="str">
        <x:v>22-5-3</x:v>
      </x:c>
      <x:c r="Q14" t="str">
        <x:v>F · duplex CRA</x:v>
      </x:c>
      <x:c r="R14"/>
      <x:c r="S14"/>
      <x:c r="T14" t="str">
        <x:v>RFQ required · no public supplier-specific quote</x:v>
      </x:c>
      <x:c r="U14"/>
      <x:c r="V14" t="str">
        <x:v>https://www.api.org/-/media/Files/Certification/Monogram-APIQR/0_API-Monogram-APIQR/LIFs/API_5CRA_Licensing_Information_Form_20230821.pdf</x:v>
      </x:c>
      <x:c r="W14" t="str">
        <x:v>Mapped against API 2023 LIF; verify API 5CRA 3rd ed (2025)</x:v>
      </x:c>
      <x:c r="X14" t="str">
        <x:v>API licensing form dated 2023; eligible category/UNS/strength combinations may differ in API 5CRA 3rd edition (2025). PSL 2 rows are NOT a purchase qualification certificate.</x:v>
      </x:c>
      <x:c r="Y14" t="str">
        <x:v>2026-10-10</x:v>
      </x:c>
    </x:row>
    <x:row r="15" ht="22" customHeight="1">
      <x:c r="A15" t="str">
        <x:v>OCTG-0014</x:v>
      </x:c>
      <x:c r="B15" t="str">
        <x:v>API reference</x:v>
      </x:c>
      <x:c r="C15" t="str">
        <x:v>Global</x:v>
      </x:c>
      <x:c r="D15" t="str">
        <x:v>22-5-3 / S31803 / 125</x:v>
      </x:c>
      <x:c r="E15" t="str">
        <x:v>API CRA category/grade</x:v>
      </x:c>
      <x:c r="F15" t="str">
        <x:v>API 5CRA group/category, PSL2 LIF (2023)</x:v>
      </x:c>
      <x:c r="G15" t="str">
        <x:v>Duplex 22Cr</x:v>
      </x:c>
      <x:c r="H15" t="str">
        <x:v>CO2 / chloride, project-qualified sour</x:v>
      </x:c>
      <x:c r="I15" t="str">
        <x:v>CRA OCTG seamless pipe / coupling stock subject to API scope</x:v>
      </x:c>
      <x:c r="J15" t="str">
        <x:v>Qualification per ISO 15156-3 / NACE MR0175 required</x:v>
      </x:c>
      <x:c r="K15" t="str">
        <x:v>Improved (verify temperature / chloride limits)</x:v>
      </x:c>
      <x:c r="L15" t="str">
        <x:v>API / not stated</x:v>
      </x:c>
      <x:c r="M15" t="n">
        <x:v>125</x:v>
      </x:c>
      <x:c r="N15" t="str">
        <x:v>S31803</x:v>
      </x:c>
      <x:c r="O15" t="str">
        <x:v>2</x:v>
      </x:c>
      <x:c r="P15" t="str">
        <x:v>22-5-3</x:v>
      </x:c>
      <x:c r="Q15" t="str">
        <x:v>F · duplex CRA</x:v>
      </x:c>
      <x:c r="R15"/>
      <x:c r="S15"/>
      <x:c r="T15" t="str">
        <x:v>RFQ required · no public supplier-specific quote</x:v>
      </x:c>
      <x:c r="U15"/>
      <x:c r="V15" t="str">
        <x:v>https://www.api.org/-/media/Files/Certification/Monogram-APIQR/0_API-Monogram-APIQR/LIFs/API_5CRA_Licensing_Information_Form_20230821.pdf</x:v>
      </x:c>
      <x:c r="W15" t="str">
        <x:v>Mapped against API 2023 LIF; verify API 5CRA 3rd ed (2025)</x:v>
      </x:c>
      <x:c r="X15" t="str">
        <x:v>API licensing form dated 2023; eligible category/UNS/strength combinations may differ in API 5CRA 3rd edition (2025). PSL 2 rows are NOT a purchase qualification certificate.</x:v>
      </x:c>
      <x:c r="Y15" t="str">
        <x:v>2026-10-10</x:v>
      </x:c>
    </x:row>
    <x:row r="16" ht="22" customHeight="1">
      <x:c r="A16" t="str">
        <x:v>OCTG-0015</x:v>
      </x:c>
      <x:c r="B16" t="str">
        <x:v>API reference</x:v>
      </x:c>
      <x:c r="C16" t="str">
        <x:v>Global</x:v>
      </x:c>
      <x:c r="D16" t="str">
        <x:v>22-5-3 / S31803 / 65</x:v>
      </x:c>
      <x:c r="E16" t="str">
        <x:v>API CRA category/grade</x:v>
      </x:c>
      <x:c r="F16" t="str">
        <x:v>API 5CRA group/category, PSL2 LIF (2023)</x:v>
      </x:c>
      <x:c r="G16" t="str">
        <x:v>Duplex 22Cr</x:v>
      </x:c>
      <x:c r="H16" t="str">
        <x:v>CO2 / chloride, project-qualified sour</x:v>
      </x:c>
      <x:c r="I16" t="str">
        <x:v>CRA OCTG seamless pipe / coupling stock subject to API scope</x:v>
      </x:c>
      <x:c r="J16" t="str">
        <x:v>Qualification per ISO 15156-3 / NACE MR0175 required</x:v>
      </x:c>
      <x:c r="K16" t="str">
        <x:v>Improved (verify temperature / chloride limits)</x:v>
      </x:c>
      <x:c r="L16" t="str">
        <x:v>API / not stated</x:v>
      </x:c>
      <x:c r="M16" t="n">
        <x:v>65</x:v>
      </x:c>
      <x:c r="N16" t="str">
        <x:v>S31803</x:v>
      </x:c>
      <x:c r="O16" t="str">
        <x:v>2</x:v>
      </x:c>
      <x:c r="P16" t="str">
        <x:v>22-5-3</x:v>
      </x:c>
      <x:c r="Q16" t="str">
        <x:v>F · duplex CRA</x:v>
      </x:c>
      <x:c r="R16"/>
      <x:c r="S16"/>
      <x:c r="T16" t="str">
        <x:v>RFQ required · no public supplier-specific quote</x:v>
      </x:c>
      <x:c r="U16"/>
      <x:c r="V16" t="str">
        <x:v>https://www.api.org/-/media/Files/Certification/Monogram-APIQR/0_API-Monogram-APIQR/LIFs/API_5CRA_Licensing_Information_Form_20230821.pdf</x:v>
      </x:c>
      <x:c r="W16" t="str">
        <x:v>Mapped against API 2023 LIF; verify API 5CRA 3rd ed (2025)</x:v>
      </x:c>
      <x:c r="X16" t="str">
        <x:v>API licensing form dated 2023; eligible category/UNS/strength combinations may differ in API 5CRA 3rd edition (2025). PSL 2 rows are NOT a purchase qualification certificate.</x:v>
      </x:c>
      <x:c r="Y16" t="str">
        <x:v>2026-10-10</x:v>
      </x:c>
    </x:row>
    <x:row r="17" ht="22" customHeight="1">
      <x:c r="A17" t="str">
        <x:v>OCTG-0016</x:v>
      </x:c>
      <x:c r="B17" t="str">
        <x:v>API reference</x:v>
      </x:c>
      <x:c r="C17" t="str">
        <x:v>Global</x:v>
      </x:c>
      <x:c r="D17" t="str">
        <x:v>22-35-4 / N08135 / 110</x:v>
      </x:c>
      <x:c r="E17" t="str">
        <x:v>API CRA category/grade</x:v>
      </x:c>
      <x:c r="F17" t="str">
        <x:v>API 5CRA group/category, PSL2 LIF (2023)</x:v>
      </x:c>
      <x:c r="G17" t="str">
        <x:v>Fe-base austenitic CRA</x:v>
      </x:c>
      <x:c r="H17" t="str">
        <x:v>Critical CO2 / H2S / chloride (qualify)</x:v>
      </x:c>
      <x:c r="I17" t="str">
        <x:v>CRA OCTG seamless pipe / coupling stock subject to API scope</x:v>
      </x:c>
      <x:c r="J17" t="str">
        <x:v>Qualification per ISO 15156-3 / NACE MR0175 required</x:v>
      </x:c>
      <x:c r="K17" t="str">
        <x:v>Improved (verify temperature / chloride limits)</x:v>
      </x:c>
      <x:c r="L17" t="str">
        <x:v>API / not stated</x:v>
      </x:c>
      <x:c r="M17" t="n">
        <x:v>110</x:v>
      </x:c>
      <x:c r="N17" t="str">
        <x:v>N08135</x:v>
      </x:c>
      <x:c r="O17" t="str">
        <x:v>3</x:v>
      </x:c>
      <x:c r="P17" t="str">
        <x:v>22-35-4</x:v>
      </x:c>
      <x:c r="Q17" t="str">
        <x:v>H · high-Ni Fe-base CRA</x:v>
      </x:c>
      <x:c r="R17"/>
      <x:c r="S17"/>
      <x:c r="T17" t="str">
        <x:v>RFQ required · no public supplier-specific quote</x:v>
      </x:c>
      <x:c r="U17"/>
      <x:c r="V17" t="str">
        <x:v>https://www.api.org/-/media/Files/Certification/Monogram-APIQR/0_API-Monogram-APIQR/LIFs/API_5CRA_Licensing_Information_Form_20230821.pdf</x:v>
      </x:c>
      <x:c r="W17" t="str">
        <x:v>Mapped against API 2023 LIF; verify API 5CRA 3rd ed (2025)</x:v>
      </x:c>
      <x:c r="X17" t="str">
        <x:v>API licensing form dated 2023; eligible category/UNS/strength combinations may differ in API 5CRA 3rd edition (2025). PSL 2 rows are NOT a purchase qualification certificate.</x:v>
      </x:c>
      <x:c r="Y17" t="str">
        <x:v>2026-10-10</x:v>
      </x:c>
    </x:row>
    <x:row r="18" ht="22" customHeight="1">
      <x:c r="A18" t="str">
        <x:v>OCTG-0017</x:v>
      </x:c>
      <x:c r="B18" t="str">
        <x:v>API reference</x:v>
      </x:c>
      <x:c r="C18" t="str">
        <x:v>Global</x:v>
      </x:c>
      <x:c r="D18" t="str">
        <x:v>25-32-3 / N08535 / 110</x:v>
      </x:c>
      <x:c r="E18" t="str">
        <x:v>API CRA category/grade</x:v>
      </x:c>
      <x:c r="F18" t="str">
        <x:v>API 5CRA group/category, PSL2 LIF (2023)</x:v>
      </x:c>
      <x:c r="G18" t="str">
        <x:v>Fe-base austenitic CRA</x:v>
      </x:c>
      <x:c r="H18" t="str">
        <x:v>Critical CO2 / H2S / chloride (qualify)</x:v>
      </x:c>
      <x:c r="I18" t="str">
        <x:v>CRA OCTG seamless pipe / coupling stock subject to API scope</x:v>
      </x:c>
      <x:c r="J18" t="str">
        <x:v>Qualification per ISO 15156-3 / NACE MR0175 required</x:v>
      </x:c>
      <x:c r="K18" t="str">
        <x:v>Improved (verify temperature / chloride limits)</x:v>
      </x:c>
      <x:c r="L18" t="str">
        <x:v>API / not stated</x:v>
      </x:c>
      <x:c r="M18" t="n">
        <x:v>110</x:v>
      </x:c>
      <x:c r="N18" t="str">
        <x:v>N08535</x:v>
      </x:c>
      <x:c r="O18" t="str">
        <x:v>3</x:v>
      </x:c>
      <x:c r="P18" t="str">
        <x:v>25-32-3</x:v>
      </x:c>
      <x:c r="Q18" t="str">
        <x:v>H · high-Ni Fe-base CRA</x:v>
      </x:c>
      <x:c r="R18"/>
      <x:c r="S18"/>
      <x:c r="T18" t="str">
        <x:v>RFQ required · no public supplier-specific quote</x:v>
      </x:c>
      <x:c r="U18"/>
      <x:c r="V18" t="str">
        <x:v>https://www.api.org/-/media/Files/Certification/Monogram-APIQR/0_API-Monogram-APIQR/LIFs/API_5CRA_Licensing_Information_Form_20230821.pdf</x:v>
      </x:c>
      <x:c r="W18" t="str">
        <x:v>Mapped against API 2023 LIF; verify API 5CRA 3rd ed (2025)</x:v>
      </x:c>
      <x:c r="X18" t="str">
        <x:v>API licensing form dated 2023; eligible category/UNS/strength combinations may differ in API 5CRA 3rd edition (2025). PSL 2 rows are NOT a purchase qualification certificate.</x:v>
      </x:c>
      <x:c r="Y18" t="str">
        <x:v>2026-10-10</x:v>
      </x:c>
    </x:row>
    <x:row r="19" ht="22" customHeight="1">
      <x:c r="A19" t="str">
        <x:v>OCTG-0018</x:v>
      </x:c>
      <x:c r="B19" t="str">
        <x:v>API reference</x:v>
      </x:c>
      <x:c r="C19" t="str">
        <x:v>Global</x:v>
      </x:c>
      <x:c r="D19" t="str">
        <x:v>25-32-3 / N08535 / 125</x:v>
      </x:c>
      <x:c r="E19" t="str">
        <x:v>API CRA category/grade</x:v>
      </x:c>
      <x:c r="F19" t="str">
        <x:v>API 5CRA group/category, PSL2 LIF (2023)</x:v>
      </x:c>
      <x:c r="G19" t="str">
        <x:v>Fe-base austenitic CRA</x:v>
      </x:c>
      <x:c r="H19" t="str">
        <x:v>Critical CO2 / H2S / chloride (qualify)</x:v>
      </x:c>
      <x:c r="I19" t="str">
        <x:v>CRA OCTG seamless pipe / coupling stock subject to API scope</x:v>
      </x:c>
      <x:c r="J19" t="str">
        <x:v>Qualification per ISO 15156-3 / NACE MR0175 required</x:v>
      </x:c>
      <x:c r="K19" t="str">
        <x:v>Improved (verify temperature / chloride limits)</x:v>
      </x:c>
      <x:c r="L19" t="str">
        <x:v>API / not stated</x:v>
      </x:c>
      <x:c r="M19" t="n">
        <x:v>125</x:v>
      </x:c>
      <x:c r="N19" t="str">
        <x:v>N08535</x:v>
      </x:c>
      <x:c r="O19" t="str">
        <x:v>3</x:v>
      </x:c>
      <x:c r="P19" t="str">
        <x:v>25-32-3</x:v>
      </x:c>
      <x:c r="Q19" t="str">
        <x:v>H · high-Ni Fe-base CRA</x:v>
      </x:c>
      <x:c r="R19"/>
      <x:c r="S19"/>
      <x:c r="T19" t="str">
        <x:v>RFQ required · no public supplier-specific quote</x:v>
      </x:c>
      <x:c r="U19"/>
      <x:c r="V19" t="str">
        <x:v>https://www.api.org/-/media/Files/Certification/Monogram-APIQR/0_API-Monogram-APIQR/LIFs/API_5CRA_Licensing_Information_Form_20230821.pdf</x:v>
      </x:c>
      <x:c r="W19" t="str">
        <x:v>Mapped against API 2023 LIF; verify API 5CRA 3rd ed (2025)</x:v>
      </x:c>
      <x:c r="X19" t="str">
        <x:v>API licensing form dated 2023; eligible category/UNS/strength combinations may differ in API 5CRA 3rd edition (2025). PSL 2 rows are NOT a purchase qualification certificate.</x:v>
      </x:c>
      <x:c r="Y19" t="str">
        <x:v>2026-10-10</x:v>
      </x:c>
    </x:row>
    <x:row r="20" ht="22" customHeight="1">
      <x:c r="A20" t="str">
        <x:v>OCTG-0019</x:v>
      </x:c>
      <x:c r="B20" t="str">
        <x:v>API reference</x:v>
      </x:c>
      <x:c r="C20" t="str">
        <x:v>Global</x:v>
      </x:c>
      <x:c r="D20" t="str">
        <x:v>27-31-4 / N08028 / 110</x:v>
      </x:c>
      <x:c r="E20" t="str">
        <x:v>API CRA category/grade</x:v>
      </x:c>
      <x:c r="F20" t="str">
        <x:v>API 5CRA group/category, PSL2 LIF (2023)</x:v>
      </x:c>
      <x:c r="G20" t="str">
        <x:v>Fe-base austenitic CRA</x:v>
      </x:c>
      <x:c r="H20" t="str">
        <x:v>Critical CO2 / H2S / chloride (qualify)</x:v>
      </x:c>
      <x:c r="I20" t="str">
        <x:v>CRA OCTG seamless pipe / coupling stock subject to API scope</x:v>
      </x:c>
      <x:c r="J20" t="str">
        <x:v>Qualification per ISO 15156-3 / NACE MR0175 required</x:v>
      </x:c>
      <x:c r="K20" t="str">
        <x:v>Improved (verify temperature / chloride limits)</x:v>
      </x:c>
      <x:c r="L20" t="str">
        <x:v>API / not stated</x:v>
      </x:c>
      <x:c r="M20" t="n">
        <x:v>110</x:v>
      </x:c>
      <x:c r="N20" t="str">
        <x:v>N08028</x:v>
      </x:c>
      <x:c r="O20" t="str">
        <x:v>3</x:v>
      </x:c>
      <x:c r="P20" t="str">
        <x:v>27-31-4</x:v>
      </x:c>
      <x:c r="Q20" t="str">
        <x:v>H · high-Ni Fe-base CRA</x:v>
      </x:c>
      <x:c r="R20"/>
      <x:c r="S20"/>
      <x:c r="T20" t="str">
        <x:v>RFQ required · no public supplier-specific quote</x:v>
      </x:c>
      <x:c r="U20"/>
      <x:c r="V20" t="str">
        <x:v>https://www.api.org/-/media/Files/Certification/Monogram-APIQR/0_API-Monogram-APIQR/LIFs/API_5CRA_Licensing_Information_Form_20230821.pdf</x:v>
      </x:c>
      <x:c r="W20" t="str">
        <x:v>Mapped against API 2023 LIF; verify API 5CRA 3rd ed (2025)</x:v>
      </x:c>
      <x:c r="X20" t="str">
        <x:v>API licensing form dated 2023; eligible category/UNS/strength combinations may differ in API 5CRA 3rd edition (2025). PSL 2 rows are NOT a purchase qualification certificate.</x:v>
      </x:c>
      <x:c r="Y20" t="str">
        <x:v>2026-10-10</x:v>
      </x:c>
    </x:row>
    <x:row r="21" ht="22" customHeight="1">
      <x:c r="A21" t="str">
        <x:v>OCTG-0020</x:v>
      </x:c>
      <x:c r="B21" t="str">
        <x:v>API reference</x:v>
      </x:c>
      <x:c r="C21" t="str">
        <x:v>Global</x:v>
      </x:c>
      <x:c r="D21" t="str">
        <x:v>27-31-4 / N08028 / 125</x:v>
      </x:c>
      <x:c r="E21" t="str">
        <x:v>API CRA category/grade</x:v>
      </x:c>
      <x:c r="F21" t="str">
        <x:v>API 5CRA group/category, PSL2 LIF (2023)</x:v>
      </x:c>
      <x:c r="G21" t="str">
        <x:v>Fe-base austenitic CRA</x:v>
      </x:c>
      <x:c r="H21" t="str">
        <x:v>Critical CO2 / H2S / chloride (qualify)</x:v>
      </x:c>
      <x:c r="I21" t="str">
        <x:v>CRA OCTG seamless pipe / coupling stock subject to API scope</x:v>
      </x:c>
      <x:c r="J21" t="str">
        <x:v>Qualification per ISO 15156-3 / NACE MR0175 required</x:v>
      </x:c>
      <x:c r="K21" t="str">
        <x:v>Improved (verify temperature / chloride limits)</x:v>
      </x:c>
      <x:c r="L21" t="str">
        <x:v>API / not stated</x:v>
      </x:c>
      <x:c r="M21" t="n">
        <x:v>125</x:v>
      </x:c>
      <x:c r="N21" t="str">
        <x:v>N08028</x:v>
      </x:c>
      <x:c r="O21" t="str">
        <x:v>3</x:v>
      </x:c>
      <x:c r="P21" t="str">
        <x:v>27-31-4</x:v>
      </x:c>
      <x:c r="Q21" t="str">
        <x:v>H · high-Ni Fe-base CRA</x:v>
      </x:c>
      <x:c r="R21"/>
      <x:c r="S21"/>
      <x:c r="T21" t="str">
        <x:v>RFQ required · no public supplier-specific quote</x:v>
      </x:c>
      <x:c r="U21"/>
      <x:c r="V21" t="str">
        <x:v>https://www.api.org/-/media/Files/Certification/Monogram-APIQR/0_API-Monogram-APIQR/LIFs/API_5CRA_Licensing_Information_Form_20230821.pdf</x:v>
      </x:c>
      <x:c r="W21" t="str">
        <x:v>Mapped against API 2023 LIF; verify API 5CRA 3rd ed (2025)</x:v>
      </x:c>
      <x:c r="X21" t="str">
        <x:v>API licensing form dated 2023; eligible category/UNS/strength combinations may differ in API 5CRA 3rd edition (2025). PSL 2 rows are NOT a purchase qualification certificate.</x:v>
      </x:c>
      <x:c r="Y21" t="str">
        <x:v>2026-10-10</x:v>
      </x:c>
    </x:row>
    <x:row r="22" ht="22" customHeight="1">
      <x:c r="A22" t="str">
        <x:v>OCTG-0021</x:v>
      </x:c>
      <x:c r="B22" t="str">
        <x:v>API reference</x:v>
      </x:c>
      <x:c r="C22" t="str">
        <x:v>Global</x:v>
      </x:c>
      <x:c r="D22" t="str">
        <x:v>L80 3Cr</x:v>
      </x:c>
      <x:c r="E22" t="str">
        <x:v>API baseline</x:v>
      </x:c>
      <x:c r="F22" t="str">
        <x:v>API 5CT (11th ed + addenda)</x:v>
      </x:c>
      <x:c r="G22" t="str">
        <x:v>Low-Cr alloy steel</x:v>
      </x:c>
      <x:c r="H22" t="str">
        <x:v>Mild wet CO2 sweet service</x:v>
      </x:c>
      <x:c r="I22" t="str">
        <x:v>API 5CT generic casing and tubing (size-specific scope)</x:v>
      </x:c>
      <x:c r="J22" t="str">
        <x:v>Not presumed sour-qualified</x:v>
      </x:c>
      <x:c r="K22" t="str">
        <x:v>Corrosion control may be needed</x:v>
      </x:c>
      <x:c r="L22" t="str">
        <x:v>API / not stated</x:v>
      </x:c>
      <x:c r="M22" t="n">
        <x:v>80</x:v>
      </x:c>
      <x:c r="N22" t="str"/>
      <x:c r="O22" t="str"/>
      <x:c r="P22" t="str"/>
      <x:c r="Q22" t="str">
        <x:v>B · low-Cr alloy</x:v>
      </x:c>
      <x:c r="R22"/>
      <x:c r="S22"/>
      <x:c r="T22" t="str">
        <x:v>RFQ required · no public supplier-specific quote</x:v>
      </x:c>
      <x:c r="U22"/>
      <x:c r="V22" t="str">
        <x:v>https://www.api.org/products-and-services/standards/important-standards-announcements/spec5ct-tradepress</x:v>
      </x:c>
      <x:c r="W22" t="str">
        <x:v>API standard grade; check 11th ed and 2026 errata</x:v>
      </x:c>
      <x:c r="X22" t="str">
        <x:v>Standard grade; grade name alone does not imply NACE MR0175 acceptance. M65 is historical / withdrawn.</x:v>
      </x:c>
      <x:c r="Y22" t="str">
        <x:v>2026-10-10</x:v>
      </x:c>
    </x:row>
    <x:row r="23" ht="22" customHeight="1">
      <x:c r="A23" t="str">
        <x:v>OCTG-0022</x:v>
      </x:c>
      <x:c r="B23" t="str">
        <x:v>API reference</x:v>
      </x:c>
      <x:c r="C23" t="str">
        <x:v>Global</x:v>
      </x:c>
      <x:c r="D23" t="str">
        <x:v>13-1-0 / 110 (PSL1)</x:v>
      </x:c>
      <x:c r="E23" t="str">
        <x:v>API CRA category/grade</x:v>
      </x:c>
      <x:c r="F23" t="str">
        <x:v>API 5CRA PSL1 LIF category (2023)</x:v>
      </x:c>
      <x:c r="G23" t="str">
        <x:v>Martensitic 13Cr</x:v>
      </x:c>
      <x:c r="H23" t="str">
        <x:v>Sweet wet CO2</x:v>
      </x:c>
      <x:c r="I23" t="str">
        <x:v>CRA seamless pipes; validate edition</x:v>
      </x:c>
      <x:c r="J23" t="str">
        <x:v>Not established by grade name</x:v>
      </x:c>
      <x:c r="K23" t="str">
        <x:v>Improved (verify temperature / chloride limits)</x:v>
      </x:c>
      <x:c r="L23" t="str">
        <x:v>API / not stated</x:v>
      </x:c>
      <x:c r="M23" t="n">
        <x:v>110</x:v>
      </x:c>
      <x:c r="N23" t="str"/>
      <x:c r="O23" t="str">
        <x:v>1</x:v>
      </x:c>
      <x:c r="P23" t="str">
        <x:v>13-1-0</x:v>
      </x:c>
      <x:c r="Q23" t="str">
        <x:v>D · 13Cr stainless</x:v>
      </x:c>
      <x:c r="R23"/>
      <x:c r="S23"/>
      <x:c r="T23" t="str">
        <x:v>RFQ required · no public supplier-specific quote</x:v>
      </x:c>
      <x:c r="U23"/>
      <x:c r="V23" t="str">
        <x:v>https://www.api.org/-/media/Files/Certification/Monogram-APIQR/0_API-Monogram-APIQR/LIFs/API_5CRA_Licensing_Information_Form_20230821.pdf</x:v>
      </x:c>
      <x:c r="W23" t="str">
        <x:v>Category listed 2023 LIF; check API 2025 edition</x:v>
      </x:c>
      <x:c r="X23" t="str">
        <x:v>API licensing form dated 2023; eligible category/UNS/strength combinations may differ in API 5CRA 3rd edition (2025). PSL 2 rows are NOT a purchase qualification certificate.</x:v>
      </x:c>
      <x:c r="Y23" t="str">
        <x:v>2026-10-10</x:v>
      </x:c>
    </x:row>
    <x:row r="24" ht="22" customHeight="1">
      <x:c r="A24" t="str">
        <x:v>OCTG-0023</x:v>
      </x:c>
      <x:c r="B24" t="str">
        <x:v>API reference</x:v>
      </x:c>
      <x:c r="C24" t="str">
        <x:v>Global</x:v>
      </x:c>
      <x:c r="D24" t="str">
        <x:v>13-1-0 / 80 (PSL1)</x:v>
      </x:c>
      <x:c r="E24" t="str">
        <x:v>API CRA category/grade</x:v>
      </x:c>
      <x:c r="F24" t="str">
        <x:v>API 5CRA PSL1 LIF category (2023)</x:v>
      </x:c>
      <x:c r="G24" t="str">
        <x:v>Martensitic 13Cr</x:v>
      </x:c>
      <x:c r="H24" t="str">
        <x:v>Sweet wet CO2</x:v>
      </x:c>
      <x:c r="I24" t="str">
        <x:v>CRA seamless pipes; validate edition</x:v>
      </x:c>
      <x:c r="J24" t="str">
        <x:v>Not established by grade name</x:v>
      </x:c>
      <x:c r="K24" t="str">
        <x:v>Improved (verify temperature / chloride limits)</x:v>
      </x:c>
      <x:c r="L24" t="str">
        <x:v>API / not stated</x:v>
      </x:c>
      <x:c r="M24" t="n">
        <x:v>80</x:v>
      </x:c>
      <x:c r="N24" t="str"/>
      <x:c r="O24" t="str">
        <x:v>1</x:v>
      </x:c>
      <x:c r="P24" t="str">
        <x:v>13-1-0</x:v>
      </x:c>
      <x:c r="Q24" t="str">
        <x:v>D · 13Cr stainless</x:v>
      </x:c>
      <x:c r="R24"/>
      <x:c r="S24"/>
      <x:c r="T24" t="str">
        <x:v>RFQ required · no public supplier-specific quote</x:v>
      </x:c>
      <x:c r="U24"/>
      <x:c r="V24" t="str">
        <x:v>https://www.api.org/-/media/Files/Certification/Monogram-APIQR/0_API-Monogram-APIQR/LIFs/API_5CRA_Licensing_Information_Form_20230821.pdf</x:v>
      </x:c>
      <x:c r="W24" t="str">
        <x:v>Category listed 2023 LIF; check API 2025 edition</x:v>
      </x:c>
      <x:c r="X24" t="str">
        <x:v>API licensing form dated 2023; eligible category/UNS/strength combinations may differ in API 5CRA 3rd edition (2025). PSL 2 rows are NOT a purchase qualification certificate.</x:v>
      </x:c>
      <x:c r="Y24" t="str">
        <x:v>2026-10-10</x:v>
      </x:c>
    </x:row>
    <x:row r="25" ht="22" customHeight="1">
      <x:c r="A25" t="str">
        <x:v>OCTG-0024</x:v>
      </x:c>
      <x:c r="B25" t="str">
        <x:v>API reference</x:v>
      </x:c>
      <x:c r="C25" t="str">
        <x:v>Global</x:v>
      </x:c>
      <x:c r="D25" t="str">
        <x:v>13-1-0 / 95 (PSL1)</x:v>
      </x:c>
      <x:c r="E25" t="str">
        <x:v>API CRA category/grade</x:v>
      </x:c>
      <x:c r="F25" t="str">
        <x:v>API 5CRA PSL1 LIF category (2023)</x:v>
      </x:c>
      <x:c r="G25" t="str">
        <x:v>Martensitic 13Cr</x:v>
      </x:c>
      <x:c r="H25" t="str">
        <x:v>Sweet wet CO2</x:v>
      </x:c>
      <x:c r="I25" t="str">
        <x:v>CRA seamless pipes; validate edition</x:v>
      </x:c>
      <x:c r="J25" t="str">
        <x:v>Not established by grade name</x:v>
      </x:c>
      <x:c r="K25" t="str">
        <x:v>Improved (verify temperature / chloride limits)</x:v>
      </x:c>
      <x:c r="L25" t="str">
        <x:v>API / not stated</x:v>
      </x:c>
      <x:c r="M25" t="n">
        <x:v>95</x:v>
      </x:c>
      <x:c r="N25" t="str"/>
      <x:c r="O25" t="str">
        <x:v>1</x:v>
      </x:c>
      <x:c r="P25" t="str">
        <x:v>13-1-0</x:v>
      </x:c>
      <x:c r="Q25" t="str">
        <x:v>D · 13Cr stainless</x:v>
      </x:c>
      <x:c r="R25"/>
      <x:c r="S25"/>
      <x:c r="T25" t="str">
        <x:v>RFQ required · no public supplier-specific quote</x:v>
      </x:c>
      <x:c r="U25"/>
      <x:c r="V25" t="str">
        <x:v>https://www.api.org/-/media/Files/Certification/Monogram-APIQR/0_API-Monogram-APIQR/LIFs/API_5CRA_Licensing_Information_Form_20230821.pdf</x:v>
      </x:c>
      <x:c r="W25" t="str">
        <x:v>Category listed 2023 LIF; check API 2025 edition</x:v>
      </x:c>
      <x:c r="X25" t="str">
        <x:v>API licensing form dated 2023; eligible category/UNS/strength combinations may differ in API 5CRA 3rd edition (2025). PSL 2 rows are NOT a purchase qualification certificate.</x:v>
      </x:c>
      <x:c r="Y25" t="str">
        <x:v>2026-10-10</x:v>
      </x:c>
    </x:row>
    <x:row r="26" ht="22" customHeight="1">
      <x:c r="A26" t="str">
        <x:v>OCTG-0025</x:v>
      </x:c>
      <x:c r="B26" t="str">
        <x:v>API reference</x:v>
      </x:c>
      <x:c r="C26" t="str">
        <x:v>Global</x:v>
      </x:c>
      <x:c r="D26" t="str">
        <x:v>L80 13Cr</x:v>
      </x:c>
      <x:c r="E26" t="str">
        <x:v>API baseline</x:v>
      </x:c>
      <x:c r="F26" t="str">
        <x:v>API 5CT (11th ed + addenda)</x:v>
      </x:c>
      <x:c r="G26" t="str">
        <x:v>Martensitic 13Cr</x:v>
      </x:c>
      <x:c r="H26" t="str">
        <x:v>Sweet wet CO2 service; chloride/H2S restrictions</x:v>
      </x:c>
      <x:c r="I26" t="str">
        <x:v>API 5CT generic casing and tubing (size-specific scope)</x:v>
      </x:c>
      <x:c r="J26" t="str">
        <x:v>Not presumed sour-qualified</x:v>
      </x:c>
      <x:c r="K26" t="str">
        <x:v>Improved (verify temperature / chloride limits)</x:v>
      </x:c>
      <x:c r="L26" t="str">
        <x:v>API / not stated</x:v>
      </x:c>
      <x:c r="M26" t="n">
        <x:v>80</x:v>
      </x:c>
      <x:c r="N26" t="str"/>
      <x:c r="O26" t="str"/>
      <x:c r="P26" t="str"/>
      <x:c r="Q26" t="str">
        <x:v>D · 13Cr stainless</x:v>
      </x:c>
      <x:c r="R26"/>
      <x:c r="S26"/>
      <x:c r="T26" t="str">
        <x:v>RFQ required · no public supplier-specific quote</x:v>
      </x:c>
      <x:c r="U26"/>
      <x:c r="V26" t="str">
        <x:v>https://www.api.org/products-and-services/standards/important-standards-announcements/spec5ct-tradepress</x:v>
      </x:c>
      <x:c r="W26" t="str">
        <x:v>API standard grade; check 11th ed and 2026 errata</x:v>
      </x:c>
      <x:c r="X26" t="str">
        <x:v>Standard grade; grade name alone does not imply NACE MR0175 acceptance. M65 is historical / withdrawn.</x:v>
      </x:c>
      <x:c r="Y26" t="str">
        <x:v>2026-10-10</x:v>
      </x:c>
    </x:row>
    <x:row r="27" ht="22" customHeight="1">
      <x:c r="A27" t="str">
        <x:v>OCTG-0026</x:v>
      </x:c>
      <x:c r="B27" t="str">
        <x:v>API reference</x:v>
      </x:c>
      <x:c r="C27" t="str">
        <x:v>Global</x:v>
      </x:c>
      <x:c r="D27" t="str">
        <x:v>L80 9Cr</x:v>
      </x:c>
      <x:c r="E27" t="str">
        <x:v>API baseline</x:v>
      </x:c>
      <x:c r="F27" t="str">
        <x:v>API 5CT (11th ed + addenda)</x:v>
      </x:c>
      <x:c r="G27" t="str">
        <x:v>Martensitic 9Cr</x:v>
      </x:c>
      <x:c r="H27" t="str">
        <x:v>Wet CO2 service; H2S limits must be checked</x:v>
      </x:c>
      <x:c r="I27" t="str">
        <x:v>API 5CT generic casing and tubing (size-specific scope)</x:v>
      </x:c>
      <x:c r="J27" t="str">
        <x:v>Not presumed sour-qualified</x:v>
      </x:c>
      <x:c r="K27" t="str">
        <x:v>Improved (verify temperature / chloride limits)</x:v>
      </x:c>
      <x:c r="L27" t="str">
        <x:v>API / not stated</x:v>
      </x:c>
      <x:c r="M27" t="n">
        <x:v>80</x:v>
      </x:c>
      <x:c r="N27" t="str"/>
      <x:c r="O27" t="str"/>
      <x:c r="P27" t="str"/>
      <x:c r="Q27" t="str">
        <x:v>C · 9Cr stainless</x:v>
      </x:c>
      <x:c r="R27"/>
      <x:c r="S27"/>
      <x:c r="T27" t="str">
        <x:v>RFQ required · no public supplier-specific quote</x:v>
      </x:c>
      <x:c r="U27"/>
      <x:c r="V27" t="str">
        <x:v>https://www.api.org/products-and-services/standards/important-standards-announcements/spec5ct-tradepress</x:v>
      </x:c>
      <x:c r="W27" t="str">
        <x:v>API standard grade; check 11th ed and 2026 errata</x:v>
      </x:c>
      <x:c r="X27" t="str">
        <x:v>Standard grade; grade name alone does not imply NACE MR0175 acceptance. M65 is historical / withdrawn.</x:v>
      </x:c>
      <x:c r="Y27" t="str">
        <x:v>2026-10-10</x:v>
      </x:c>
    </x:row>
    <x:row r="28" ht="22" customHeight="1">
      <x:c r="A28" t="str">
        <x:v>OCTG-0027</x:v>
      </x:c>
      <x:c r="B28" t="str">
        <x:v>API reference</x:v>
      </x:c>
      <x:c r="C28" t="str">
        <x:v>Global</x:v>
      </x:c>
      <x:c r="D28" t="str">
        <x:v>13-5-2 / S41426 / 80</x:v>
      </x:c>
      <x:c r="E28" t="str">
        <x:v>API CRA category/grade</x:v>
      </x:c>
      <x:c r="F28" t="str">
        <x:v>API 5CRA group/category, PSL2 LIF (2023)</x:v>
      </x:c>
      <x:c r="G28" t="str">
        <x:v>Modified / super 13Cr</x:v>
      </x:c>
      <x:c r="H28" t="str">
        <x:v>Limited-H2S CO2 service</x:v>
      </x:c>
      <x:c r="I28" t="str">
        <x:v>CRA OCTG seamless pipe / coupling stock subject to API scope</x:v>
      </x:c>
      <x:c r="J28" t="str">
        <x:v>Qualification per ISO 15156-3 / NACE MR0175 required</x:v>
      </x:c>
      <x:c r="K28" t="str">
        <x:v>Improved (verify temperature / chloride limits)</x:v>
      </x:c>
      <x:c r="L28" t="str">
        <x:v>API / not stated</x:v>
      </x:c>
      <x:c r="M28" t="n">
        <x:v>80</x:v>
      </x:c>
      <x:c r="N28" t="str">
        <x:v>S41426</x:v>
      </x:c>
      <x:c r="O28" t="str">
        <x:v>1</x:v>
      </x:c>
      <x:c r="P28" t="str">
        <x:v>13-5-2</x:v>
      </x:c>
      <x:c r="Q28" t="str">
        <x:v>E · modified/S13Cr</x:v>
      </x:c>
      <x:c r="R28"/>
      <x:c r="S28"/>
      <x:c r="T28" t="str">
        <x:v>RFQ required · no public supplier-specific quote</x:v>
      </x:c>
      <x:c r="U28"/>
      <x:c r="V28" t="str">
        <x:v>https://www.api.org/-/media/Files/Certification/Monogram-APIQR/0_API-Monogram-APIQR/LIFs/API_5CRA_Licensing_Information_Form_20230821.pdf</x:v>
      </x:c>
      <x:c r="W28" t="str">
        <x:v>Mapped against API 2023 LIF; verify API 5CRA 3rd ed (2025)</x:v>
      </x:c>
      <x:c r="X28" t="str">
        <x:v>API licensing form dated 2023; eligible category/UNS/strength combinations may differ in API 5CRA 3rd edition (2025). PSL 2 rows are NOT a purchase qualification certificate.</x:v>
      </x:c>
      <x:c r="Y28" t="str">
        <x:v>2026-10-10</x:v>
      </x:c>
    </x:row>
    <x:row r="29" ht="22" customHeight="1">
      <x:c r="A29" t="str">
        <x:v>OCTG-0028</x:v>
      </x:c>
      <x:c r="B29" t="str">
        <x:v>API reference</x:v>
      </x:c>
      <x:c r="C29" t="str">
        <x:v>Global</x:v>
      </x:c>
      <x:c r="D29" t="str">
        <x:v>13-5-2 / S41426 / 95</x:v>
      </x:c>
      <x:c r="E29" t="str">
        <x:v>API CRA category/grade</x:v>
      </x:c>
      <x:c r="F29" t="str">
        <x:v>API 5CRA group/category, PSL2 LIF (2023)</x:v>
      </x:c>
      <x:c r="G29" t="str">
        <x:v>Modified / super 13Cr</x:v>
      </x:c>
      <x:c r="H29" t="str">
        <x:v>Limited-H2S CO2 service</x:v>
      </x:c>
      <x:c r="I29" t="str">
        <x:v>CRA OCTG seamless pipe / coupling stock subject to API scope</x:v>
      </x:c>
      <x:c r="J29" t="str">
        <x:v>Qualification per ISO 15156-3 / NACE MR0175 required</x:v>
      </x:c>
      <x:c r="K29" t="str">
        <x:v>Improved (verify temperature / chloride limits)</x:v>
      </x:c>
      <x:c r="L29" t="str">
        <x:v>API / not stated</x:v>
      </x:c>
      <x:c r="M29" t="n">
        <x:v>95</x:v>
      </x:c>
      <x:c r="N29" t="str">
        <x:v>S41426</x:v>
      </x:c>
      <x:c r="O29" t="str">
        <x:v>1</x:v>
      </x:c>
      <x:c r="P29" t="str">
        <x:v>13-5-2</x:v>
      </x:c>
      <x:c r="Q29" t="str">
        <x:v>E · modified/S13Cr</x:v>
      </x:c>
      <x:c r="R29"/>
      <x:c r="S29"/>
      <x:c r="T29" t="str">
        <x:v>RFQ required · no public supplier-specific quote</x:v>
      </x:c>
      <x:c r="U29"/>
      <x:c r="V29" t="str">
        <x:v>https://www.api.org/-/media/Files/Certification/Monogram-APIQR/0_API-Monogram-APIQR/LIFs/API_5CRA_Licensing_Information_Form_20230821.pdf</x:v>
      </x:c>
      <x:c r="W29" t="str">
        <x:v>Mapped against API 2023 LIF; verify API 5CRA 3rd ed (2025)</x:v>
      </x:c>
      <x:c r="X29" t="str">
        <x:v>API licensing form dated 2023; eligible category/UNS/strength combinations may differ in API 5CRA 3rd edition (2025). PSL 2 rows are NOT a purchase qualification certificate.</x:v>
      </x:c>
      <x:c r="Y29" t="str">
        <x:v>2026-10-10</x:v>
      </x:c>
    </x:row>
    <x:row r="30" ht="22" customHeight="1">
      <x:c r="A30" t="str">
        <x:v>OCTG-0029</x:v>
      </x:c>
      <x:c r="B30" t="str">
        <x:v>API reference</x:v>
      </x:c>
      <x:c r="C30" t="str">
        <x:v>Global</x:v>
      </x:c>
      <x:c r="D30" t="str">
        <x:v>15-60-16 / N10276 / 110</x:v>
      </x:c>
      <x:c r="E30" t="str">
        <x:v>API CRA category/grade</x:v>
      </x:c>
      <x:c r="F30" t="str">
        <x:v>API 5CRA group/category, PSL2 LIF (2023)</x:v>
      </x:c>
      <x:c r="G30" t="str">
        <x:v>Ni-base CRA</x:v>
      </x:c>
      <x:c r="H30" t="str">
        <x:v>Extreme corrosion / highly alloyed Ni-Cr-Mo (qualify)</x:v>
      </x:c>
      <x:c r="I30" t="str">
        <x:v>CRA OCTG seamless pipe / coupling stock subject to API scope</x:v>
      </x:c>
      <x:c r="J30" t="str">
        <x:v>Qualification per ISO 15156-3 / NACE MR0175 required</x:v>
      </x:c>
      <x:c r="K30" t="str">
        <x:v>Improved (verify temperature / chloride limits)</x:v>
      </x:c>
      <x:c r="L30" t="str">
        <x:v>API / not stated</x:v>
      </x:c>
      <x:c r="M30" t="n">
        <x:v>110</x:v>
      </x:c>
      <x:c r="N30" t="str">
        <x:v>N10276</x:v>
      </x:c>
      <x:c r="O30" t="str">
        <x:v>4</x:v>
      </x:c>
      <x:c r="P30" t="str">
        <x:v>15-60-16</x:v>
      </x:c>
      <x:c r="Q30" t="str">
        <x:v>I · nickel-base CRA</x:v>
      </x:c>
      <x:c r="R30"/>
      <x:c r="S30"/>
      <x:c r="T30" t="str">
        <x:v>RFQ required · no public supplier-specific quote</x:v>
      </x:c>
      <x:c r="U30"/>
      <x:c r="V30" t="str">
        <x:v>https://www.api.org/-/media/Files/Certification/Monogram-APIQR/0_API-Monogram-APIQR/LIFs/API_5CRA_Licensing_Information_Form_20230821.pdf</x:v>
      </x:c>
      <x:c r="W30" t="str">
        <x:v>Mapped against API 2023 LIF; verify API 5CRA 3rd ed (2025)</x:v>
      </x:c>
      <x:c r="X30" t="str">
        <x:v>API licensing form dated 2023; eligible category/UNS/strength combinations may differ in API 5CRA 3rd edition (2025). PSL 2 rows are NOT a purchase qualification certificate.</x:v>
      </x:c>
      <x:c r="Y30" t="str">
        <x:v>2026-10-10</x:v>
      </x:c>
    </x:row>
    <x:row r="31" ht="22" customHeight="1">
      <x:c r="A31" t="str">
        <x:v>OCTG-0030</x:v>
      </x:c>
      <x:c r="B31" t="str">
        <x:v>API reference</x:v>
      </x:c>
      <x:c r="C31" t="str">
        <x:v>Global</x:v>
      </x:c>
      <x:c r="D31" t="str">
        <x:v>15-60-16 / N10276 / 125</x:v>
      </x:c>
      <x:c r="E31" t="str">
        <x:v>API CRA category/grade</x:v>
      </x:c>
      <x:c r="F31" t="str">
        <x:v>API 5CRA group/category, PSL2 LIF (2023)</x:v>
      </x:c>
      <x:c r="G31" t="str">
        <x:v>Ni-base CRA</x:v>
      </x:c>
      <x:c r="H31" t="str">
        <x:v>Extreme corrosion / highly alloyed Ni-Cr-Mo (qualify)</x:v>
      </x:c>
      <x:c r="I31" t="str">
        <x:v>CRA OCTG seamless pipe / coupling stock subject to API scope</x:v>
      </x:c>
      <x:c r="J31" t="str">
        <x:v>Qualification per ISO 15156-3 / NACE MR0175 required</x:v>
      </x:c>
      <x:c r="K31" t="str">
        <x:v>Improved (verify temperature / chloride limits)</x:v>
      </x:c>
      <x:c r="L31" t="str">
        <x:v>API / not stated</x:v>
      </x:c>
      <x:c r="M31" t="n">
        <x:v>125</x:v>
      </x:c>
      <x:c r="N31" t="str">
        <x:v>N10276</x:v>
      </x:c>
      <x:c r="O31" t="str">
        <x:v>4</x:v>
      </x:c>
      <x:c r="P31" t="str">
        <x:v>15-60-16</x:v>
      </x:c>
      <x:c r="Q31" t="str">
        <x:v>I · nickel-base CRA</x:v>
      </x:c>
      <x:c r="R31"/>
      <x:c r="S31"/>
      <x:c r="T31" t="str">
        <x:v>RFQ required · no public supplier-specific quote</x:v>
      </x:c>
      <x:c r="U31"/>
      <x:c r="V31" t="str">
        <x:v>https://www.api.org/-/media/Files/Certification/Monogram-APIQR/0_API-Monogram-APIQR/LIFs/API_5CRA_Licensing_Information_Form_20230821.pdf</x:v>
      </x:c>
      <x:c r="W31" t="str">
        <x:v>Mapped against API 2023 LIF; verify API 5CRA 3rd ed (2025)</x:v>
      </x:c>
      <x:c r="X31" t="str">
        <x:v>API licensing form dated 2023; eligible category/UNS/strength combinations may differ in API 5CRA 3rd edition (2025). PSL 2 rows are NOT a purchase qualification certificate.</x:v>
      </x:c>
      <x:c r="Y31" t="str">
        <x:v>2026-10-10</x:v>
      </x:c>
    </x:row>
    <x:row r="32" ht="22" customHeight="1">
      <x:c r="A32" t="str">
        <x:v>OCTG-0031</x:v>
      </x:c>
      <x:c r="B32" t="str">
        <x:v>API reference</x:v>
      </x:c>
      <x:c r="C32" t="str">
        <x:v>Global</x:v>
      </x:c>
      <x:c r="D32" t="str">
        <x:v>15-60-16 / N10276 / 140</x:v>
      </x:c>
      <x:c r="E32" t="str">
        <x:v>API CRA category/grade</x:v>
      </x:c>
      <x:c r="F32" t="str">
        <x:v>API 5CRA group/category, PSL2 LIF (2023)</x:v>
      </x:c>
      <x:c r="G32" t="str">
        <x:v>Ni-base CRA</x:v>
      </x:c>
      <x:c r="H32" t="str">
        <x:v>Extreme corrosion / highly alloyed Ni-Cr-Mo (qualify)</x:v>
      </x:c>
      <x:c r="I32" t="str">
        <x:v>CRA OCTG seamless pipe / coupling stock subject to API scope</x:v>
      </x:c>
      <x:c r="J32" t="str">
        <x:v>Qualification per ISO 15156-3 / NACE MR0175 required</x:v>
      </x:c>
      <x:c r="K32" t="str">
        <x:v>Improved (verify temperature / chloride limits)</x:v>
      </x:c>
      <x:c r="L32" t="str">
        <x:v>API / not stated</x:v>
      </x:c>
      <x:c r="M32" t="n">
        <x:v>140</x:v>
      </x:c>
      <x:c r="N32" t="str">
        <x:v>N10276</x:v>
      </x:c>
      <x:c r="O32" t="str">
        <x:v>4</x:v>
      </x:c>
      <x:c r="P32" t="str">
        <x:v>15-60-16</x:v>
      </x:c>
      <x:c r="Q32" t="str">
        <x:v>I · nickel-base CRA</x:v>
      </x:c>
      <x:c r="R32"/>
      <x:c r="S32"/>
      <x:c r="T32" t="str">
        <x:v>RFQ required · no public supplier-specific quote</x:v>
      </x:c>
      <x:c r="U32"/>
      <x:c r="V32" t="str">
        <x:v>https://www.api.org/-/media/Files/Certification/Monogram-APIQR/0_API-Monogram-APIQR/LIFs/API_5CRA_Licensing_Information_Form_20230821.pdf</x:v>
      </x:c>
      <x:c r="W32" t="str">
        <x:v>Mapped against API 2023 LIF; verify API 5CRA 3rd ed (2025)</x:v>
      </x:c>
      <x:c r="X32" t="str">
        <x:v>API licensing form dated 2023; eligible category/UNS/strength combinations may differ in API 5CRA 3rd edition (2025). PSL 2 rows are NOT a purchase qualification certificate.</x:v>
      </x:c>
      <x:c r="Y32" t="str">
        <x:v>2026-10-10</x:v>
      </x:c>
    </x:row>
    <x:row r="33" ht="22" customHeight="1">
      <x:c r="A33" t="str">
        <x:v>OCTG-0032</x:v>
      </x:c>
      <x:c r="B33" t="str">
        <x:v>API reference</x:v>
      </x:c>
      <x:c r="C33" t="str">
        <x:v>Global</x:v>
      </x:c>
      <x:c r="D33" t="str">
        <x:v>20-54-9 / N06950 / 110</x:v>
      </x:c>
      <x:c r="E33" t="str">
        <x:v>API CRA category/grade</x:v>
      </x:c>
      <x:c r="F33" t="str">
        <x:v>API 5CRA group/category, PSL2 LIF (2023)</x:v>
      </x:c>
      <x:c r="G33" t="str">
        <x:v>Ni-base CRA</x:v>
      </x:c>
      <x:c r="H33" t="str">
        <x:v>Severe CO2 / H2S / chloride (qualify)</x:v>
      </x:c>
      <x:c r="I33" t="str">
        <x:v>CRA OCTG seamless pipe / coupling stock subject to API scope</x:v>
      </x:c>
      <x:c r="J33" t="str">
        <x:v>Qualification per ISO 15156-3 / NACE MR0175 required</x:v>
      </x:c>
      <x:c r="K33" t="str">
        <x:v>Improved (verify temperature / chloride limits)</x:v>
      </x:c>
      <x:c r="L33" t="str">
        <x:v>API / not stated</x:v>
      </x:c>
      <x:c r="M33" t="n">
        <x:v>110</x:v>
      </x:c>
      <x:c r="N33" t="str">
        <x:v>N06950</x:v>
      </x:c>
      <x:c r="O33" t="str">
        <x:v>4</x:v>
      </x:c>
      <x:c r="P33" t="str">
        <x:v>20-54-9</x:v>
      </x:c>
      <x:c r="Q33" t="str">
        <x:v>I · nickel-base CRA</x:v>
      </x:c>
      <x:c r="R33"/>
      <x:c r="S33"/>
      <x:c r="T33" t="str">
        <x:v>RFQ required · no public supplier-specific quote</x:v>
      </x:c>
      <x:c r="U33"/>
      <x:c r="V33" t="str">
        <x:v>https://www.api.org/-/media/Files/Certification/Monogram-APIQR/0_API-Monogram-APIQR/LIFs/API_5CRA_Licensing_Information_Form_20230821.pdf</x:v>
      </x:c>
      <x:c r="W33" t="str">
        <x:v>Mapped against API 2023 LIF; verify API 5CRA 3rd ed (2025)</x:v>
      </x:c>
      <x:c r="X33" t="str">
        <x:v>API licensing form dated 2023; eligible category/UNS/strength combinations may differ in API 5CRA 3rd edition (2025). PSL 2 rows are NOT a purchase qualification certificate.</x:v>
      </x:c>
      <x:c r="Y33" t="str">
        <x:v>2026-10-10</x:v>
      </x:c>
    </x:row>
    <x:row r="34" ht="22" customHeight="1">
      <x:c r="A34" t="str">
        <x:v>OCTG-0033</x:v>
      </x:c>
      <x:c r="B34" t="str">
        <x:v>API reference</x:v>
      </x:c>
      <x:c r="C34" t="str">
        <x:v>Global</x:v>
      </x:c>
      <x:c r="D34" t="str">
        <x:v>20-54-9 / N06950 / 125</x:v>
      </x:c>
      <x:c r="E34" t="str">
        <x:v>API CRA category/grade</x:v>
      </x:c>
      <x:c r="F34" t="str">
        <x:v>API 5CRA group/category, PSL2 LIF (2023)</x:v>
      </x:c>
      <x:c r="G34" t="str">
        <x:v>Ni-base CRA</x:v>
      </x:c>
      <x:c r="H34" t="str">
        <x:v>Severe CO2 / H2S / chloride (qualify)</x:v>
      </x:c>
      <x:c r="I34" t="str">
        <x:v>CRA OCTG seamless pipe / coupling stock subject to API scope</x:v>
      </x:c>
      <x:c r="J34" t="str">
        <x:v>Qualification per ISO 15156-3 / NACE MR0175 required</x:v>
      </x:c>
      <x:c r="K34" t="str">
        <x:v>Improved (verify temperature / chloride limits)</x:v>
      </x:c>
      <x:c r="L34" t="str">
        <x:v>API / not stated</x:v>
      </x:c>
      <x:c r="M34" t="n">
        <x:v>125</x:v>
      </x:c>
      <x:c r="N34" t="str">
        <x:v>N06950</x:v>
      </x:c>
      <x:c r="O34" t="str">
        <x:v>4</x:v>
      </x:c>
      <x:c r="P34" t="str">
        <x:v>20-54-9</x:v>
      </x:c>
      <x:c r="Q34" t="str">
        <x:v>I · nickel-base CRA</x:v>
      </x:c>
      <x:c r="R34"/>
      <x:c r="S34"/>
      <x:c r="T34" t="str">
        <x:v>RFQ required · no public supplier-specific quote</x:v>
      </x:c>
      <x:c r="U34"/>
      <x:c r="V34" t="str">
        <x:v>https://www.api.org/-/media/Files/Certification/Monogram-APIQR/0_API-Monogram-APIQR/LIFs/API_5CRA_Licensing_Information_Form_20230821.pdf</x:v>
      </x:c>
      <x:c r="W34" t="str">
        <x:v>Mapped against API 2023 LIF; verify API 5CRA 3rd ed (2025)</x:v>
      </x:c>
      <x:c r="X34" t="str">
        <x:v>API licensing form dated 2023; eligible category/UNS/strength combinations may differ in API 5CRA 3rd edition (2025). PSL 2 rows are NOT a purchase qualification certificate.</x:v>
      </x:c>
      <x:c r="Y34" t="str">
        <x:v>2026-10-10</x:v>
      </x:c>
    </x:row>
    <x:row r="35" ht="22" customHeight="1">
      <x:c r="A35" t="str">
        <x:v>OCTG-0034</x:v>
      </x:c>
      <x:c r="B35" t="str">
        <x:v>API reference</x:v>
      </x:c>
      <x:c r="C35" t="str">
        <x:v>Global</x:v>
      </x:c>
      <x:c r="D35" t="str">
        <x:v>21-42-3 / N08825 / 110</x:v>
      </x:c>
      <x:c r="E35" t="str">
        <x:v>API CRA category/grade</x:v>
      </x:c>
      <x:c r="F35" t="str">
        <x:v>API 5CRA group/category, PSL2 LIF (2023)</x:v>
      </x:c>
      <x:c r="G35" t="str">
        <x:v>Ni-base CRA</x:v>
      </x:c>
      <x:c r="H35" t="str">
        <x:v>Severe CO2 / H2S / chloride (qualify)</x:v>
      </x:c>
      <x:c r="I35" t="str">
        <x:v>CRA OCTG seamless pipe / coupling stock subject to API scope</x:v>
      </x:c>
      <x:c r="J35" t="str">
        <x:v>Qualification per ISO 15156-3 / NACE MR0175 required</x:v>
      </x:c>
      <x:c r="K35" t="str">
        <x:v>Improved (verify temperature / chloride limits)</x:v>
      </x:c>
      <x:c r="L35" t="str">
        <x:v>API / not stated</x:v>
      </x:c>
      <x:c r="M35" t="n">
        <x:v>110</x:v>
      </x:c>
      <x:c r="N35" t="str">
        <x:v>N08825</x:v>
      </x:c>
      <x:c r="O35" t="str">
        <x:v>4</x:v>
      </x:c>
      <x:c r="P35" t="str">
        <x:v>21-42-3</x:v>
      </x:c>
      <x:c r="Q35" t="str">
        <x:v>I · nickel-base CRA</x:v>
      </x:c>
      <x:c r="R35"/>
      <x:c r="S35"/>
      <x:c r="T35" t="str">
        <x:v>RFQ required · no public supplier-specific quote</x:v>
      </x:c>
      <x:c r="U35"/>
      <x:c r="V35" t="str">
        <x:v>https://www.api.org/-/media/Files/Certification/Monogram-APIQR/0_API-Monogram-APIQR/LIFs/API_5CRA_Licensing_Information_Form_20230821.pdf</x:v>
      </x:c>
      <x:c r="W35" t="str">
        <x:v>Mapped against API 2023 LIF; verify API 5CRA 3rd ed (2025)</x:v>
      </x:c>
      <x:c r="X35" t="str">
        <x:v>API licensing form dated 2023; eligible category/UNS/strength combinations may differ in API 5CRA 3rd edition (2025). PSL 2 rows are NOT a purchase qualification certificate.</x:v>
      </x:c>
      <x:c r="Y35" t="str">
        <x:v>2026-10-10</x:v>
      </x:c>
    </x:row>
    <x:row r="36" ht="22" customHeight="1">
      <x:c r="A36" t="str">
        <x:v>OCTG-0035</x:v>
      </x:c>
      <x:c r="B36" t="str">
        <x:v>API reference</x:v>
      </x:c>
      <x:c r="C36" t="str">
        <x:v>Global</x:v>
      </x:c>
      <x:c r="D36" t="str">
        <x:v>21-42-3 / N08825 / 125</x:v>
      </x:c>
      <x:c r="E36" t="str">
        <x:v>API CRA category/grade</x:v>
      </x:c>
      <x:c r="F36" t="str">
        <x:v>API 5CRA group/category, PSL2 LIF (2023)</x:v>
      </x:c>
      <x:c r="G36" t="str">
        <x:v>Ni-base CRA</x:v>
      </x:c>
      <x:c r="H36" t="str">
        <x:v>Severe CO2 / H2S / chloride (qualify)</x:v>
      </x:c>
      <x:c r="I36" t="str">
        <x:v>CRA OCTG seamless pipe / coupling stock subject to API scope</x:v>
      </x:c>
      <x:c r="J36" t="str">
        <x:v>Qualification per ISO 15156-3 / NACE MR0175 required</x:v>
      </x:c>
      <x:c r="K36" t="str">
        <x:v>Improved (verify temperature / chloride limits)</x:v>
      </x:c>
      <x:c r="L36" t="str">
        <x:v>API / not stated</x:v>
      </x:c>
      <x:c r="M36" t="n">
        <x:v>125</x:v>
      </x:c>
      <x:c r="N36" t="str">
        <x:v>N08825</x:v>
      </x:c>
      <x:c r="O36" t="str">
        <x:v>4</x:v>
      </x:c>
      <x:c r="P36" t="str">
        <x:v>21-42-3</x:v>
      </x:c>
      <x:c r="Q36" t="str">
        <x:v>I · nickel-base CRA</x:v>
      </x:c>
      <x:c r="R36"/>
      <x:c r="S36"/>
      <x:c r="T36" t="str">
        <x:v>RFQ required · no public supplier-specific quote</x:v>
      </x:c>
      <x:c r="U36"/>
      <x:c r="V36" t="str">
        <x:v>https://www.api.org/-/media/Files/Certification/Monogram-APIQR/0_API-Monogram-APIQR/LIFs/API_5CRA_Licensing_Information_Form_20230821.pdf</x:v>
      </x:c>
      <x:c r="W36" t="str">
        <x:v>Mapped against API 2023 LIF; verify API 5CRA 3rd ed (2025)</x:v>
      </x:c>
      <x:c r="X36" t="str">
        <x:v>API licensing form dated 2023; eligible category/UNS/strength combinations may differ in API 5CRA 3rd edition (2025). PSL 2 rows are NOT a purchase qualification certificate.</x:v>
      </x:c>
      <x:c r="Y36" t="str">
        <x:v>2026-10-10</x:v>
      </x:c>
    </x:row>
    <x:row r="37" ht="22" customHeight="1">
      <x:c r="A37" t="str">
        <x:v>OCTG-0036</x:v>
      </x:c>
      <x:c r="B37" t="str">
        <x:v>API reference</x:v>
      </x:c>
      <x:c r="C37" t="str">
        <x:v>Global</x:v>
      </x:c>
      <x:c r="D37" t="str">
        <x:v>22-50-7 / N06985 / 110</x:v>
      </x:c>
      <x:c r="E37" t="str">
        <x:v>API CRA category/grade</x:v>
      </x:c>
      <x:c r="F37" t="str">
        <x:v>API 5CRA group/category, PSL2 LIF (2023)</x:v>
      </x:c>
      <x:c r="G37" t="str">
        <x:v>Ni-base CRA</x:v>
      </x:c>
      <x:c r="H37" t="str">
        <x:v>Severe CO2 / H2S / chloride (qualify)</x:v>
      </x:c>
      <x:c r="I37" t="str">
        <x:v>CRA OCTG seamless pipe / coupling stock subject to API scope</x:v>
      </x:c>
      <x:c r="J37" t="str">
        <x:v>Qualification per ISO 15156-3 / NACE MR0175 required</x:v>
      </x:c>
      <x:c r="K37" t="str">
        <x:v>Improved (verify temperature / chloride limits)</x:v>
      </x:c>
      <x:c r="L37" t="str">
        <x:v>API / not stated</x:v>
      </x:c>
      <x:c r="M37" t="n">
        <x:v>110</x:v>
      </x:c>
      <x:c r="N37" t="str">
        <x:v>N06985</x:v>
      </x:c>
      <x:c r="O37" t="str">
        <x:v>4</x:v>
      </x:c>
      <x:c r="P37" t="str">
        <x:v>22-50-7</x:v>
      </x:c>
      <x:c r="Q37" t="str">
        <x:v>I · nickel-base CRA</x:v>
      </x:c>
      <x:c r="R37"/>
      <x:c r="S37"/>
      <x:c r="T37" t="str">
        <x:v>RFQ required · no public supplier-specific quote</x:v>
      </x:c>
      <x:c r="U37"/>
      <x:c r="V37" t="str">
        <x:v>https://www.api.org/-/media/Files/Certification/Monogram-APIQR/0_API-Monogram-APIQR/LIFs/API_5CRA_Licensing_Information_Form_20230821.pdf</x:v>
      </x:c>
      <x:c r="W37" t="str">
        <x:v>Mapped against API 2023 LIF; verify API 5CRA 3rd ed (2025)</x:v>
      </x:c>
      <x:c r="X37" t="str">
        <x:v>API licensing form dated 2023; eligible category/UNS/strength combinations may differ in API 5CRA 3rd edition (2025). PSL 2 rows are NOT a purchase qualification certificate.</x:v>
      </x:c>
      <x:c r="Y37" t="str">
        <x:v>2026-10-10</x:v>
      </x:c>
    </x:row>
    <x:row r="38" ht="22" customHeight="1">
      <x:c r="A38" t="str">
        <x:v>OCTG-0037</x:v>
      </x:c>
      <x:c r="B38" t="str">
        <x:v>API reference</x:v>
      </x:c>
      <x:c r="C38" t="str">
        <x:v>Global</x:v>
      </x:c>
      <x:c r="D38" t="str">
        <x:v>22-50-7 / N06985 / 125</x:v>
      </x:c>
      <x:c r="E38" t="str">
        <x:v>API CRA category/grade</x:v>
      </x:c>
      <x:c r="F38" t="str">
        <x:v>API 5CRA group/category, PSL2 LIF (2023)</x:v>
      </x:c>
      <x:c r="G38" t="str">
        <x:v>Ni-base CRA</x:v>
      </x:c>
      <x:c r="H38" t="str">
        <x:v>Severe CO2 / H2S / chloride (qualify)</x:v>
      </x:c>
      <x:c r="I38" t="str">
        <x:v>CRA OCTG seamless pipe / coupling stock subject to API scope</x:v>
      </x:c>
      <x:c r="J38" t="str">
        <x:v>Qualification per ISO 15156-3 / NACE MR0175 required</x:v>
      </x:c>
      <x:c r="K38" t="str">
        <x:v>Improved (verify temperature / chloride limits)</x:v>
      </x:c>
      <x:c r="L38" t="str">
        <x:v>API / not stated</x:v>
      </x:c>
      <x:c r="M38" t="n">
        <x:v>125</x:v>
      </x:c>
      <x:c r="N38" t="str">
        <x:v>N06985</x:v>
      </x:c>
      <x:c r="O38" t="str">
        <x:v>4</x:v>
      </x:c>
      <x:c r="P38" t="str">
        <x:v>22-50-7</x:v>
      </x:c>
      <x:c r="Q38" t="str">
        <x:v>I · nickel-base CRA</x:v>
      </x:c>
      <x:c r="R38"/>
      <x:c r="S38"/>
      <x:c r="T38" t="str">
        <x:v>RFQ required · no public supplier-specific quote</x:v>
      </x:c>
      <x:c r="U38"/>
      <x:c r="V38" t="str">
        <x:v>https://www.api.org/-/media/Files/Certification/Monogram-APIQR/0_API-Monogram-APIQR/LIFs/API_5CRA_Licensing_Information_Form_20230821.pdf</x:v>
      </x:c>
      <x:c r="W38" t="str">
        <x:v>Mapped against API 2023 LIF; verify API 5CRA 3rd ed (2025)</x:v>
      </x:c>
      <x:c r="X38" t="str">
        <x:v>API licensing form dated 2023; eligible category/UNS/strength combinations may differ in API 5CRA 3rd edition (2025). PSL 2 rows are NOT a purchase qualification certificate.</x:v>
      </x:c>
      <x:c r="Y38" t="str">
        <x:v>2026-10-10</x:v>
      </x:c>
    </x:row>
    <x:row r="39" ht="22" customHeight="1">
      <x:c r="A39" t="str">
        <x:v>OCTG-0038</x:v>
      </x:c>
      <x:c r="B39" t="str">
        <x:v>API reference</x:v>
      </x:c>
      <x:c r="C39" t="str">
        <x:v>Global</x:v>
      </x:c>
      <x:c r="D39" t="str">
        <x:v>22-52-11 / 110 (PSL1)</x:v>
      </x:c>
      <x:c r="E39" t="str">
        <x:v>API CRA category/grade</x:v>
      </x:c>
      <x:c r="F39" t="str">
        <x:v>API 5CRA PSL1 LIF category (2023)</x:v>
      </x:c>
      <x:c r="G39" t="str">
        <x:v>Ni-base CRA</x:v>
      </x:c>
      <x:c r="H39" t="str">
        <x:v>Highly corrosive mixed gases</x:v>
      </x:c>
      <x:c r="I39" t="str">
        <x:v>CRA seamless pipes; validate edition</x:v>
      </x:c>
      <x:c r="J39" t="str">
        <x:v>Not established by grade name</x:v>
      </x:c>
      <x:c r="K39" t="str">
        <x:v>Improved (verify temperature / chloride limits)</x:v>
      </x:c>
      <x:c r="L39" t="str">
        <x:v>API / not stated</x:v>
      </x:c>
      <x:c r="M39" t="n">
        <x:v>110</x:v>
      </x:c>
      <x:c r="N39" t="str"/>
      <x:c r="O39" t="str">
        <x:v>4</x:v>
      </x:c>
      <x:c r="P39" t="str">
        <x:v>22-52-11</x:v>
      </x:c>
      <x:c r="Q39" t="str">
        <x:v>I · nickel-base CRA</x:v>
      </x:c>
      <x:c r="R39"/>
      <x:c r="S39"/>
      <x:c r="T39" t="str">
        <x:v>RFQ required · no public supplier-specific quote</x:v>
      </x:c>
      <x:c r="U39"/>
      <x:c r="V39" t="str">
        <x:v>https://www.api.org/-/media/Files/Certification/Monogram-APIQR/0_API-Monogram-APIQR/LIFs/API_5CRA_Licensing_Information_Form_20230821.pdf</x:v>
      </x:c>
      <x:c r="W39" t="str">
        <x:v>Category listed 2023 LIF; check API 2025 edition</x:v>
      </x:c>
      <x:c r="X39" t="str">
        <x:v>API licensing form dated 2023; eligible category/UNS/strength combinations may differ in API 5CRA 3rd edition (2025). PSL 2 rows are NOT a purchase qualification certificate.</x:v>
      </x:c>
      <x:c r="Y39" t="str">
        <x:v>2026-10-10</x:v>
      </x:c>
    </x:row>
    <x:row r="40" ht="22" customHeight="1">
      <x:c r="A40" t="str">
        <x:v>OCTG-0039</x:v>
      </x:c>
      <x:c r="B40" t="str">
        <x:v>API reference</x:v>
      </x:c>
      <x:c r="C40" t="str">
        <x:v>Global</x:v>
      </x:c>
      <x:c r="D40" t="str">
        <x:v>22-52-11 / 125 (PSL1)</x:v>
      </x:c>
      <x:c r="E40" t="str">
        <x:v>API CRA category/grade</x:v>
      </x:c>
      <x:c r="F40" t="str">
        <x:v>API 5CRA PSL1 LIF category (2023)</x:v>
      </x:c>
      <x:c r="G40" t="str">
        <x:v>Ni-base CRA</x:v>
      </x:c>
      <x:c r="H40" t="str">
        <x:v>Highly corrosive mixed gases</x:v>
      </x:c>
      <x:c r="I40" t="str">
        <x:v>CRA seamless pipes; validate edition</x:v>
      </x:c>
      <x:c r="J40" t="str">
        <x:v>Not established by grade name</x:v>
      </x:c>
      <x:c r="K40" t="str">
        <x:v>Improved (verify temperature / chloride limits)</x:v>
      </x:c>
      <x:c r="L40" t="str">
        <x:v>API / not stated</x:v>
      </x:c>
      <x:c r="M40" t="n">
        <x:v>125</x:v>
      </x:c>
      <x:c r="N40" t="str"/>
      <x:c r="O40" t="str">
        <x:v>4</x:v>
      </x:c>
      <x:c r="P40" t="str">
        <x:v>22-52-11</x:v>
      </x:c>
      <x:c r="Q40" t="str">
        <x:v>I · nickel-base CRA</x:v>
      </x:c>
      <x:c r="R40"/>
      <x:c r="S40"/>
      <x:c r="T40" t="str">
        <x:v>RFQ required · no public supplier-specific quote</x:v>
      </x:c>
      <x:c r="U40"/>
      <x:c r="V40" t="str">
        <x:v>https://www.api.org/-/media/Files/Certification/Monogram-APIQR/0_API-Monogram-APIQR/LIFs/API_5CRA_Licensing_Information_Form_20230821.pdf</x:v>
      </x:c>
      <x:c r="W40" t="str">
        <x:v>Category listed 2023 LIF; check API 2025 edition</x:v>
      </x:c>
      <x:c r="X40" t="str">
        <x:v>API licensing form dated 2023; eligible category/UNS/strength combinations may differ in API 5CRA 3rd edition (2025). PSL 2 rows are NOT a purchase qualification certificate.</x:v>
      </x:c>
      <x:c r="Y40" t="str">
        <x:v>2026-10-10</x:v>
      </x:c>
    </x:row>
    <x:row r="41" ht="22" customHeight="1">
      <x:c r="A41" t="str">
        <x:v>OCTG-0040</x:v>
      </x:c>
      <x:c r="B41" t="str">
        <x:v>API reference</x:v>
      </x:c>
      <x:c r="C41" t="str">
        <x:v>Global</x:v>
      </x:c>
      <x:c r="D41" t="str">
        <x:v>22-52-11 / 140 (PSL1)</x:v>
      </x:c>
      <x:c r="E41" t="str">
        <x:v>API CRA category/grade</x:v>
      </x:c>
      <x:c r="F41" t="str">
        <x:v>API 5CRA PSL1 LIF category (2023)</x:v>
      </x:c>
      <x:c r="G41" t="str">
        <x:v>Ni-base CRA</x:v>
      </x:c>
      <x:c r="H41" t="str">
        <x:v>Highly corrosive mixed gases</x:v>
      </x:c>
      <x:c r="I41" t="str">
        <x:v>CRA seamless pipes; validate edition</x:v>
      </x:c>
      <x:c r="J41" t="str">
        <x:v>Not established by grade name</x:v>
      </x:c>
      <x:c r="K41" t="str">
        <x:v>Improved (verify temperature / chloride limits)</x:v>
      </x:c>
      <x:c r="L41" t="str">
        <x:v>API / not stated</x:v>
      </x:c>
      <x:c r="M41" t="n">
        <x:v>140</x:v>
      </x:c>
      <x:c r="N41" t="str"/>
      <x:c r="O41" t="str">
        <x:v>4</x:v>
      </x:c>
      <x:c r="P41" t="str">
        <x:v>22-52-11</x:v>
      </x:c>
      <x:c r="Q41" t="str">
        <x:v>I · nickel-base CRA</x:v>
      </x:c>
      <x:c r="R41"/>
      <x:c r="S41"/>
      <x:c r="T41" t="str">
        <x:v>RFQ required · no public supplier-specific quote</x:v>
      </x:c>
      <x:c r="U41"/>
      <x:c r="V41" t="str">
        <x:v>https://www.api.org/-/media/Files/Certification/Monogram-APIQR/0_API-Monogram-APIQR/LIFs/API_5CRA_Licensing_Information_Form_20230821.pdf</x:v>
      </x:c>
      <x:c r="W41" t="str">
        <x:v>Category listed 2023 LIF; check API 2025 edition</x:v>
      </x:c>
      <x:c r="X41" t="str">
        <x:v>API licensing form dated 2023; eligible category/UNS/strength combinations may differ in API 5CRA 3rd edition (2025). PSL 2 rows are NOT a purchase qualification certificate.</x:v>
      </x:c>
      <x:c r="Y41" t="str">
        <x:v>2026-10-10</x:v>
      </x:c>
    </x:row>
    <x:row r="42" ht="22" customHeight="1">
      <x:c r="A42" t="str">
        <x:v>OCTG-0041</x:v>
      </x:c>
      <x:c r="B42" t="str">
        <x:v>API reference</x:v>
      </x:c>
      <x:c r="C42" t="str">
        <x:v>Global</x:v>
      </x:c>
      <x:c r="D42" t="str">
        <x:v>25-50-6 / N06255 / 110</x:v>
      </x:c>
      <x:c r="E42" t="str">
        <x:v>API CRA category/grade</x:v>
      </x:c>
      <x:c r="F42" t="str">
        <x:v>API 5CRA group/category, PSL2 LIF (2023)</x:v>
      </x:c>
      <x:c r="G42" t="str">
        <x:v>Ni-base CRA</x:v>
      </x:c>
      <x:c r="H42" t="str">
        <x:v>Severe CO2 / H2S / chloride (qualify)</x:v>
      </x:c>
      <x:c r="I42" t="str">
        <x:v>CRA OCTG seamless pipe / coupling stock subject to API scope</x:v>
      </x:c>
      <x:c r="J42" t="str">
        <x:v>Qualification per ISO 15156-3 / NACE MR0175 required</x:v>
      </x:c>
      <x:c r="K42" t="str">
        <x:v>Improved (verify temperature / chloride limits)</x:v>
      </x:c>
      <x:c r="L42" t="str">
        <x:v>API / not stated</x:v>
      </x:c>
      <x:c r="M42" t="n">
        <x:v>110</x:v>
      </x:c>
      <x:c r="N42" t="str">
        <x:v>N06255</x:v>
      </x:c>
      <x:c r="O42" t="str">
        <x:v>4</x:v>
      </x:c>
      <x:c r="P42" t="str">
        <x:v>25-50-6</x:v>
      </x:c>
      <x:c r="Q42" t="str">
        <x:v>I · nickel-base CRA</x:v>
      </x:c>
      <x:c r="R42"/>
      <x:c r="S42"/>
      <x:c r="T42" t="str">
        <x:v>RFQ required · no public supplier-specific quote</x:v>
      </x:c>
      <x:c r="U42"/>
      <x:c r="V42" t="str">
        <x:v>https://www.api.org/-/media/Files/Certification/Monogram-APIQR/0_API-Monogram-APIQR/LIFs/API_5CRA_Licensing_Information_Form_20230821.pdf</x:v>
      </x:c>
      <x:c r="W42" t="str">
        <x:v>Mapped against API 2023 LIF; verify API 5CRA 3rd ed (2025)</x:v>
      </x:c>
      <x:c r="X42" t="str">
        <x:v>API licensing form dated 2023; eligible category/UNS/strength combinations may differ in API 5CRA 3rd edition (2025). PSL 2 rows are NOT a purchase qualification certificate.</x:v>
      </x:c>
      <x:c r="Y42" t="str">
        <x:v>2026-10-10</x:v>
      </x:c>
    </x:row>
    <x:row r="43" ht="22" customHeight="1">
      <x:c r="A43" t="str">
        <x:v>OCTG-0042</x:v>
      </x:c>
      <x:c r="B43" t="str">
        <x:v>API reference</x:v>
      </x:c>
      <x:c r="C43" t="str">
        <x:v>Global</x:v>
      </x:c>
      <x:c r="D43" t="str">
        <x:v>25-50-6 / N06255 / 125</x:v>
      </x:c>
      <x:c r="E43" t="str">
        <x:v>API CRA category/grade</x:v>
      </x:c>
      <x:c r="F43" t="str">
        <x:v>API 5CRA group/category, PSL2 LIF (2023)</x:v>
      </x:c>
      <x:c r="G43" t="str">
        <x:v>Ni-base CRA</x:v>
      </x:c>
      <x:c r="H43" t="str">
        <x:v>Severe CO2 / H2S / chloride (qualify)</x:v>
      </x:c>
      <x:c r="I43" t="str">
        <x:v>CRA OCTG seamless pipe / coupling stock subject to API scope</x:v>
      </x:c>
      <x:c r="J43" t="str">
        <x:v>Qualification per ISO 15156-3 / NACE MR0175 required</x:v>
      </x:c>
      <x:c r="K43" t="str">
        <x:v>Improved (verify temperature / chloride limits)</x:v>
      </x:c>
      <x:c r="L43" t="str">
        <x:v>API / not stated</x:v>
      </x:c>
      <x:c r="M43" t="n">
        <x:v>125</x:v>
      </x:c>
      <x:c r="N43" t="str">
        <x:v>N06255</x:v>
      </x:c>
      <x:c r="O43" t="str">
        <x:v>4</x:v>
      </x:c>
      <x:c r="P43" t="str">
        <x:v>25-50-6</x:v>
      </x:c>
      <x:c r="Q43" t="str">
        <x:v>I · nickel-base CRA</x:v>
      </x:c>
      <x:c r="R43"/>
      <x:c r="S43"/>
      <x:c r="T43" t="str">
        <x:v>RFQ required · no public supplier-specific quote</x:v>
      </x:c>
      <x:c r="U43"/>
      <x:c r="V43" t="str">
        <x:v>https://www.api.org/-/media/Files/Certification/Monogram-APIQR/0_API-Monogram-APIQR/LIFs/API_5CRA_Licensing_Information_Form_20230821.pdf</x:v>
      </x:c>
      <x:c r="W43" t="str">
        <x:v>Mapped against API 2023 LIF; verify API 5CRA 3rd ed (2025)</x:v>
      </x:c>
      <x:c r="X43" t="str">
        <x:v>API licensing form dated 2023; eligible category/UNS/strength combinations may differ in API 5CRA 3rd edition (2025). PSL 2 rows are NOT a purchase qualification certificate.</x:v>
      </x:c>
      <x:c r="Y43" t="str">
        <x:v>2026-10-10</x:v>
      </x:c>
    </x:row>
    <x:row r="44" ht="22" customHeight="1">
      <x:c r="A44" t="str">
        <x:v>OCTG-0043</x:v>
      </x:c>
      <x:c r="B44" t="str">
        <x:v>API reference</x:v>
      </x:c>
      <x:c r="C44" t="str">
        <x:v>Global</x:v>
      </x:c>
      <x:c r="D44" t="str">
        <x:v>25-50-6 / N06975 / 110</x:v>
      </x:c>
      <x:c r="E44" t="str">
        <x:v>API CRA category/grade</x:v>
      </x:c>
      <x:c r="F44" t="str">
        <x:v>API 5CRA group/category, PSL2 LIF (2023)</x:v>
      </x:c>
      <x:c r="G44" t="str">
        <x:v>Ni-base CRA</x:v>
      </x:c>
      <x:c r="H44" t="str">
        <x:v>Severe CO2 / H2S / chloride (qualify)</x:v>
      </x:c>
      <x:c r="I44" t="str">
        <x:v>CRA OCTG seamless pipe / coupling stock subject to API scope</x:v>
      </x:c>
      <x:c r="J44" t="str">
        <x:v>Qualification per ISO 15156-3 / NACE MR0175 required</x:v>
      </x:c>
      <x:c r="K44" t="str">
        <x:v>Improved (verify temperature / chloride limits)</x:v>
      </x:c>
      <x:c r="L44" t="str">
        <x:v>API / not stated</x:v>
      </x:c>
      <x:c r="M44" t="n">
        <x:v>110</x:v>
      </x:c>
      <x:c r="N44" t="str">
        <x:v>N06975</x:v>
      </x:c>
      <x:c r="O44" t="str">
        <x:v>4</x:v>
      </x:c>
      <x:c r="P44" t="str">
        <x:v>25-50-6</x:v>
      </x:c>
      <x:c r="Q44" t="str">
        <x:v>I · nickel-base CRA</x:v>
      </x:c>
      <x:c r="R44"/>
      <x:c r="S44"/>
      <x:c r="T44" t="str">
        <x:v>RFQ required · no public supplier-specific quote</x:v>
      </x:c>
      <x:c r="U44"/>
      <x:c r="V44" t="str">
        <x:v>https://www.api.org/-/media/Files/Certification/Monogram-APIQR/0_API-Monogram-APIQR/LIFs/API_5CRA_Licensing_Information_Form_20230821.pdf</x:v>
      </x:c>
      <x:c r="W44" t="str">
        <x:v>Mapped against API 2023 LIF; verify API 5CRA 3rd ed (2025)</x:v>
      </x:c>
      <x:c r="X44" t="str">
        <x:v>API licensing form dated 2023; eligible category/UNS/strength combinations may differ in API 5CRA 3rd edition (2025). PSL 2 rows are NOT a purchase qualification certificate.</x:v>
      </x:c>
      <x:c r="Y44" t="str">
        <x:v>2026-10-10</x:v>
      </x:c>
    </x:row>
    <x:row r="45" ht="22" customHeight="1">
      <x:c r="A45" t="str">
        <x:v>OCTG-0044</x:v>
      </x:c>
      <x:c r="B45" t="str">
        <x:v>API reference</x:v>
      </x:c>
      <x:c r="C45" t="str">
        <x:v>Global</x:v>
      </x:c>
      <x:c r="D45" t="str">
        <x:v>25-50-6 / N06975 / 125</x:v>
      </x:c>
      <x:c r="E45" t="str">
        <x:v>API CRA category/grade</x:v>
      </x:c>
      <x:c r="F45" t="str">
        <x:v>API 5CRA group/category, PSL2 LIF (2023)</x:v>
      </x:c>
      <x:c r="G45" t="str">
        <x:v>Ni-base CRA</x:v>
      </x:c>
      <x:c r="H45" t="str">
        <x:v>Severe CO2 / H2S / chloride (qualify)</x:v>
      </x:c>
      <x:c r="I45" t="str">
        <x:v>CRA OCTG seamless pipe / coupling stock subject to API scope</x:v>
      </x:c>
      <x:c r="J45" t="str">
        <x:v>Qualification per ISO 15156-3 / NACE MR0175 required</x:v>
      </x:c>
      <x:c r="K45" t="str">
        <x:v>Improved (verify temperature / chloride limits)</x:v>
      </x:c>
      <x:c r="L45" t="str">
        <x:v>API / not stated</x:v>
      </x:c>
      <x:c r="M45" t="n">
        <x:v>125</x:v>
      </x:c>
      <x:c r="N45" t="str">
        <x:v>N06975</x:v>
      </x:c>
      <x:c r="O45" t="str">
        <x:v>4</x:v>
      </x:c>
      <x:c r="P45" t="str">
        <x:v>25-50-6</x:v>
      </x:c>
      <x:c r="Q45" t="str">
        <x:v>I · nickel-base CRA</x:v>
      </x:c>
      <x:c r="R45"/>
      <x:c r="S45"/>
      <x:c r="T45" t="str">
        <x:v>RFQ required · no public supplier-specific quote</x:v>
      </x:c>
      <x:c r="U45"/>
      <x:c r="V45" t="str">
        <x:v>https://www.api.org/-/media/Files/Certification/Monogram-APIQR/0_API-Monogram-APIQR/LIFs/API_5CRA_Licensing_Information_Form_20230821.pdf</x:v>
      </x:c>
      <x:c r="W45" t="str">
        <x:v>Mapped against API 2023 LIF; verify API 5CRA 3rd ed (2025)</x:v>
      </x:c>
      <x:c r="X45" t="str">
        <x:v>API licensing form dated 2023; eligible category/UNS/strength combinations may differ in API 5CRA 3rd edition (2025). PSL 2 rows are NOT a purchase qualification certificate.</x:v>
      </x:c>
      <x:c r="Y45" t="str">
        <x:v>2026-10-10</x:v>
      </x:c>
    </x:row>
    <x:row r="46" ht="22" customHeight="1">
      <x:c r="A46" t="str">
        <x:v>OCTG-0045</x:v>
      </x:c>
      <x:c r="B46" t="str">
        <x:v>API reference</x:v>
      </x:c>
      <x:c r="C46" t="str">
        <x:v>Global</x:v>
      </x:c>
      <x:c r="D46" t="str">
        <x:v>25-7-3 / S31260 / 110</x:v>
      </x:c>
      <x:c r="E46" t="str">
        <x:v>API CRA category/grade</x:v>
      </x:c>
      <x:c r="F46" t="str">
        <x:v>API 5CRA group/category, PSL2 LIF (2023)</x:v>
      </x:c>
      <x:c r="G46" t="str">
        <x:v>Super duplex 25Cr</x:v>
      </x:c>
      <x:c r="H46" t="str">
        <x:v>High CO2 / chloride, project-qualified sour</x:v>
      </x:c>
      <x:c r="I46" t="str">
        <x:v>CRA OCTG seamless pipe / coupling stock subject to API scope</x:v>
      </x:c>
      <x:c r="J46" t="str">
        <x:v>Qualification per ISO 15156-3 / NACE MR0175 required</x:v>
      </x:c>
      <x:c r="K46" t="str">
        <x:v>Improved (verify temperature / chloride limits)</x:v>
      </x:c>
      <x:c r="L46" t="str">
        <x:v>API / not stated</x:v>
      </x:c>
      <x:c r="M46" t="n">
        <x:v>110</x:v>
      </x:c>
      <x:c r="N46" t="str">
        <x:v>S31260</x:v>
      </x:c>
      <x:c r="O46" t="str">
        <x:v>2</x:v>
      </x:c>
      <x:c r="P46" t="str">
        <x:v>25-7-3</x:v>
      </x:c>
      <x:c r="Q46" t="str">
        <x:v>G · super duplex CRA</x:v>
      </x:c>
      <x:c r="R46"/>
      <x:c r="S46"/>
      <x:c r="T46" t="str">
        <x:v>RFQ required · no public supplier-specific quote</x:v>
      </x:c>
      <x:c r="U46"/>
      <x:c r="V46" t="str">
        <x:v>https://www.api.org/-/media/Files/Certification/Monogram-APIQR/0_API-Monogram-APIQR/LIFs/API_5CRA_Licensing_Information_Form_20230821.pdf</x:v>
      </x:c>
      <x:c r="W46" t="str">
        <x:v>Mapped against API 2023 LIF; verify API 5CRA 3rd ed (2025)</x:v>
      </x:c>
      <x:c r="X46" t="str">
        <x:v>API licensing form dated 2023; eligible category/UNS/strength combinations may differ in API 5CRA 3rd edition (2025). PSL 2 rows are NOT a purchase qualification certificate.</x:v>
      </x:c>
      <x:c r="Y46" t="str">
        <x:v>2026-10-10</x:v>
      </x:c>
    </x:row>
    <x:row r="47" ht="22" customHeight="1">
      <x:c r="A47" t="str">
        <x:v>OCTG-0046</x:v>
      </x:c>
      <x:c r="B47" t="str">
        <x:v>API reference</x:v>
      </x:c>
      <x:c r="C47" t="str">
        <x:v>Global</x:v>
      </x:c>
      <x:c r="D47" t="str">
        <x:v>25-7-3 / S31260 / 125</x:v>
      </x:c>
      <x:c r="E47" t="str">
        <x:v>API CRA category/grade</x:v>
      </x:c>
      <x:c r="F47" t="str">
        <x:v>API 5CRA group/category, PSL2 LIF (2023)</x:v>
      </x:c>
      <x:c r="G47" t="str">
        <x:v>Super duplex 25Cr</x:v>
      </x:c>
      <x:c r="H47" t="str">
        <x:v>High CO2 / chloride, project-qualified sour</x:v>
      </x:c>
      <x:c r="I47" t="str">
        <x:v>CRA OCTG seamless pipe / coupling stock subject to API scope</x:v>
      </x:c>
      <x:c r="J47" t="str">
        <x:v>Qualification per ISO 15156-3 / NACE MR0175 required</x:v>
      </x:c>
      <x:c r="K47" t="str">
        <x:v>Improved (verify temperature / chloride limits)</x:v>
      </x:c>
      <x:c r="L47" t="str">
        <x:v>API / not stated</x:v>
      </x:c>
      <x:c r="M47" t="n">
        <x:v>125</x:v>
      </x:c>
      <x:c r="N47" t="str">
        <x:v>S31260</x:v>
      </x:c>
      <x:c r="O47" t="str">
        <x:v>2</x:v>
      </x:c>
      <x:c r="P47" t="str">
        <x:v>25-7-3</x:v>
      </x:c>
      <x:c r="Q47" t="str">
        <x:v>G · super duplex CRA</x:v>
      </x:c>
      <x:c r="R47"/>
      <x:c r="S47"/>
      <x:c r="T47" t="str">
        <x:v>RFQ required · no public supplier-specific quote</x:v>
      </x:c>
      <x:c r="U47"/>
      <x:c r="V47" t="str">
        <x:v>https://www.api.org/-/media/Files/Certification/Monogram-APIQR/0_API-Monogram-APIQR/LIFs/API_5CRA_Licensing_Information_Form_20230821.pdf</x:v>
      </x:c>
      <x:c r="W47" t="str">
        <x:v>Mapped against API 2023 LIF; verify API 5CRA 3rd ed (2025)</x:v>
      </x:c>
      <x:c r="X47" t="str">
        <x:v>API licensing form dated 2023; eligible category/UNS/strength combinations may differ in API 5CRA 3rd edition (2025). PSL 2 rows are NOT a purchase qualification certificate.</x:v>
      </x:c>
      <x:c r="Y47" t="str">
        <x:v>2026-10-10</x:v>
      </x:c>
    </x:row>
    <x:row r="48" ht="22" customHeight="1">
      <x:c r="A48" t="str">
        <x:v>OCTG-0047</x:v>
      </x:c>
      <x:c r="B48" t="str">
        <x:v>API reference</x:v>
      </x:c>
      <x:c r="C48" t="str">
        <x:v>Global</x:v>
      </x:c>
      <x:c r="D48" t="str">
        <x:v>25-7-3 / S31260 / 75</x:v>
      </x:c>
      <x:c r="E48" t="str">
        <x:v>API CRA category/grade</x:v>
      </x:c>
      <x:c r="F48" t="str">
        <x:v>API 5CRA group/category, PSL2 LIF (2023)</x:v>
      </x:c>
      <x:c r="G48" t="str">
        <x:v>Super duplex 25Cr</x:v>
      </x:c>
      <x:c r="H48" t="str">
        <x:v>High CO2 / chloride, project-qualified sour</x:v>
      </x:c>
      <x:c r="I48" t="str">
        <x:v>CRA OCTG seamless pipe / coupling stock subject to API scope</x:v>
      </x:c>
      <x:c r="J48" t="str">
        <x:v>Qualification per ISO 15156-3 / NACE MR0175 required</x:v>
      </x:c>
      <x:c r="K48" t="str">
        <x:v>Improved (verify temperature / chloride limits)</x:v>
      </x:c>
      <x:c r="L48" t="str">
        <x:v>API / not stated</x:v>
      </x:c>
      <x:c r="M48" t="n">
        <x:v>75</x:v>
      </x:c>
      <x:c r="N48" t="str">
        <x:v>S31260</x:v>
      </x:c>
      <x:c r="O48" t="str">
        <x:v>2</x:v>
      </x:c>
      <x:c r="P48" t="str">
        <x:v>25-7-3</x:v>
      </x:c>
      <x:c r="Q48" t="str">
        <x:v>G · super duplex CRA</x:v>
      </x:c>
      <x:c r="R48"/>
      <x:c r="S48"/>
      <x:c r="T48" t="str">
        <x:v>RFQ required · no public supplier-specific quote</x:v>
      </x:c>
      <x:c r="U48"/>
      <x:c r="V48" t="str">
        <x:v>https://www.api.org/-/media/Files/Certification/Monogram-APIQR/0_API-Monogram-APIQR/LIFs/API_5CRA_Licensing_Information_Form_20230821.pdf</x:v>
      </x:c>
      <x:c r="W48" t="str">
        <x:v>Mapped against API 2023 LIF; verify API 5CRA 3rd ed (2025)</x:v>
      </x:c>
      <x:c r="X48" t="str">
        <x:v>API licensing form dated 2023; eligible category/UNS/strength combinations may differ in API 5CRA 3rd edition (2025). PSL 2 rows are NOT a purchase qualification certificate.</x:v>
      </x:c>
      <x:c r="Y48" t="str">
        <x:v>2026-10-10</x:v>
      </x:c>
    </x:row>
    <x:row r="49" ht="22" customHeight="1">
      <x:c r="A49" t="str">
        <x:v>OCTG-0048</x:v>
      </x:c>
      <x:c r="B49" t="str">
        <x:v>API reference</x:v>
      </x:c>
      <x:c r="C49" t="str">
        <x:v>Global</x:v>
      </x:c>
      <x:c r="D49" t="str">
        <x:v>25-7-4 / S32750 / 110</x:v>
      </x:c>
      <x:c r="E49" t="str">
        <x:v>API CRA category/grade</x:v>
      </x:c>
      <x:c r="F49" t="str">
        <x:v>API 5CRA group/category, PSL2 LIF (2023)</x:v>
      </x:c>
      <x:c r="G49" t="str">
        <x:v>Super duplex 25Cr</x:v>
      </x:c>
      <x:c r="H49" t="str">
        <x:v>High CO2 / chloride, project-qualified sour</x:v>
      </x:c>
      <x:c r="I49" t="str">
        <x:v>CRA OCTG seamless pipe / coupling stock subject to API scope</x:v>
      </x:c>
      <x:c r="J49" t="str">
        <x:v>Qualification per ISO 15156-3 / NACE MR0175 required</x:v>
      </x:c>
      <x:c r="K49" t="str">
        <x:v>Improved (verify temperature / chloride limits)</x:v>
      </x:c>
      <x:c r="L49" t="str">
        <x:v>API / not stated</x:v>
      </x:c>
      <x:c r="M49" t="n">
        <x:v>110</x:v>
      </x:c>
      <x:c r="N49" t="str">
        <x:v>S32750</x:v>
      </x:c>
      <x:c r="O49" t="str">
        <x:v>2</x:v>
      </x:c>
      <x:c r="P49" t="str">
        <x:v>25-7-4</x:v>
      </x:c>
      <x:c r="Q49" t="str">
        <x:v>G · super duplex CRA</x:v>
      </x:c>
      <x:c r="R49"/>
      <x:c r="S49"/>
      <x:c r="T49" t="str">
        <x:v>RFQ required · no public supplier-specific quote</x:v>
      </x:c>
      <x:c r="U49"/>
      <x:c r="V49" t="str">
        <x:v>https://www.api.org/-/media/Files/Certification/Monogram-APIQR/0_API-Monogram-APIQR/LIFs/API_5CRA_Licensing_Information_Form_20230821.pdf</x:v>
      </x:c>
      <x:c r="W49" t="str">
        <x:v>Mapped against API 2023 LIF; verify API 5CRA 3rd ed (2025)</x:v>
      </x:c>
      <x:c r="X49" t="str">
        <x:v>API licensing form dated 2023; eligible category/UNS/strength combinations may differ in API 5CRA 3rd edition (2025). PSL 2 rows are NOT a purchase qualification certificate.</x:v>
      </x:c>
      <x:c r="Y49" t="str">
        <x:v>2026-10-10</x:v>
      </x:c>
    </x:row>
    <x:row r="50" ht="22" customHeight="1">
      <x:c r="A50" t="str">
        <x:v>OCTG-0049</x:v>
      </x:c>
      <x:c r="B50" t="str">
        <x:v>API reference</x:v>
      </x:c>
      <x:c r="C50" t="str">
        <x:v>Global</x:v>
      </x:c>
      <x:c r="D50" t="str">
        <x:v>25-7-4 / S32750 / 125</x:v>
      </x:c>
      <x:c r="E50" t="str">
        <x:v>API CRA category/grade</x:v>
      </x:c>
      <x:c r="F50" t="str">
        <x:v>API 5CRA group/category, PSL2 LIF (2023)</x:v>
      </x:c>
      <x:c r="G50" t="str">
        <x:v>Super duplex 25Cr</x:v>
      </x:c>
      <x:c r="H50" t="str">
        <x:v>High CO2 / chloride, project-qualified sour</x:v>
      </x:c>
      <x:c r="I50" t="str">
        <x:v>CRA OCTG seamless pipe / coupling stock subject to API scope</x:v>
      </x:c>
      <x:c r="J50" t="str">
        <x:v>Qualification per ISO 15156-3 / NACE MR0175 required</x:v>
      </x:c>
      <x:c r="K50" t="str">
        <x:v>Improved (verify temperature / chloride limits)</x:v>
      </x:c>
      <x:c r="L50" t="str">
        <x:v>API / not stated</x:v>
      </x:c>
      <x:c r="M50" t="n">
        <x:v>125</x:v>
      </x:c>
      <x:c r="N50" t="str">
        <x:v>S32750</x:v>
      </x:c>
      <x:c r="O50" t="str">
        <x:v>2</x:v>
      </x:c>
      <x:c r="P50" t="str">
        <x:v>25-7-4</x:v>
      </x:c>
      <x:c r="Q50" t="str">
        <x:v>G · super duplex CRA</x:v>
      </x:c>
      <x:c r="R50"/>
      <x:c r="S50"/>
      <x:c r="T50" t="str">
        <x:v>RFQ required · no public supplier-specific quote</x:v>
      </x:c>
      <x:c r="U50"/>
      <x:c r="V50" t="str">
        <x:v>https://www.api.org/-/media/Files/Certification/Monogram-APIQR/0_API-Monogram-APIQR/LIFs/API_5CRA_Licensing_Information_Form_20230821.pdf</x:v>
      </x:c>
      <x:c r="W50" t="str">
        <x:v>Mapped against API 2023 LIF; verify API 5CRA 3rd ed (2025)</x:v>
      </x:c>
      <x:c r="X50" t="str">
        <x:v>API licensing form dated 2023; eligible category/UNS/strength combinations may differ in API 5CRA 3rd edition (2025). PSL 2 rows are NOT a purchase qualification certificate.</x:v>
      </x:c>
      <x:c r="Y50" t="str">
        <x:v>2026-10-10</x:v>
      </x:c>
    </x:row>
    <x:row r="51" ht="22" customHeight="1">
      <x:c r="A51" t="str">
        <x:v>OCTG-0050</x:v>
      </x:c>
      <x:c r="B51" t="str">
        <x:v>API reference</x:v>
      </x:c>
      <x:c r="C51" t="str">
        <x:v>Global</x:v>
      </x:c>
      <x:c r="D51" t="str">
        <x:v>25-7-4 / S32750 / 80</x:v>
      </x:c>
      <x:c r="E51" t="str">
        <x:v>API CRA category/grade</x:v>
      </x:c>
      <x:c r="F51" t="str">
        <x:v>API 5CRA group/category, PSL2 LIF (2023)</x:v>
      </x:c>
      <x:c r="G51" t="str">
        <x:v>Super duplex 25Cr</x:v>
      </x:c>
      <x:c r="H51" t="str">
        <x:v>High CO2 / chloride, project-qualified sour</x:v>
      </x:c>
      <x:c r="I51" t="str">
        <x:v>CRA OCTG seamless pipe / coupling stock subject to API scope</x:v>
      </x:c>
      <x:c r="J51" t="str">
        <x:v>Qualification per ISO 15156-3 / NACE MR0175 required</x:v>
      </x:c>
      <x:c r="K51" t="str">
        <x:v>Improved (verify temperature / chloride limits)</x:v>
      </x:c>
      <x:c r="L51" t="str">
        <x:v>API / not stated</x:v>
      </x:c>
      <x:c r="M51" t="n">
        <x:v>80</x:v>
      </x:c>
      <x:c r="N51" t="str">
        <x:v>S32750</x:v>
      </x:c>
      <x:c r="O51" t="str">
        <x:v>2</x:v>
      </x:c>
      <x:c r="P51" t="str">
        <x:v>25-7-4</x:v>
      </x:c>
      <x:c r="Q51" t="str">
        <x:v>G · super duplex CRA</x:v>
      </x:c>
      <x:c r="R51"/>
      <x:c r="S51"/>
      <x:c r="T51" t="str">
        <x:v>RFQ required · no public supplier-specific quote</x:v>
      </x:c>
      <x:c r="U51"/>
      <x:c r="V51" t="str">
        <x:v>https://www.api.org/-/media/Files/Certification/Monogram-APIQR/0_API-Monogram-APIQR/LIFs/API_5CRA_Licensing_Information_Form_20230821.pdf</x:v>
      </x:c>
      <x:c r="W51" t="str">
        <x:v>Mapped against API 2023 LIF; verify API 5CRA 3rd ed (2025)</x:v>
      </x:c>
      <x:c r="X51" t="str">
        <x:v>API licensing form dated 2023; eligible category/UNS/strength combinations may differ in API 5CRA 3rd edition (2025). PSL 2 rows are NOT a purchase qualification certificate.</x:v>
      </x:c>
      <x:c r="Y51" t="str">
        <x:v>2026-10-10</x:v>
      </x:c>
    </x:row>
    <x:row r="52" ht="22" customHeight="1">
      <x:c r="A52" t="str">
        <x:v>OCTG-0051</x:v>
      </x:c>
      <x:c r="B52" t="str">
        <x:v>API reference</x:v>
      </x:c>
      <x:c r="C52" t="str">
        <x:v>Global</x:v>
      </x:c>
      <x:c r="D52" t="str">
        <x:v>25-7-4 / S32750 / 90</x:v>
      </x:c>
      <x:c r="E52" t="str">
        <x:v>API CRA category/grade</x:v>
      </x:c>
      <x:c r="F52" t="str">
        <x:v>API 5CRA group/category, PSL2 LIF (2023)</x:v>
      </x:c>
      <x:c r="G52" t="str">
        <x:v>Super duplex 25Cr</x:v>
      </x:c>
      <x:c r="H52" t="str">
        <x:v>High CO2 / chloride, project-qualified sour</x:v>
      </x:c>
      <x:c r="I52" t="str">
        <x:v>CRA OCTG seamless pipe / coupling stock subject to API scope</x:v>
      </x:c>
      <x:c r="J52" t="str">
        <x:v>Qualification per ISO 15156-3 / NACE MR0175 required</x:v>
      </x:c>
      <x:c r="K52" t="str">
        <x:v>Improved (verify temperature / chloride limits)</x:v>
      </x:c>
      <x:c r="L52" t="str">
        <x:v>API / not stated</x:v>
      </x:c>
      <x:c r="M52" t="n">
        <x:v>90</x:v>
      </x:c>
      <x:c r="N52" t="str">
        <x:v>S32750</x:v>
      </x:c>
      <x:c r="O52" t="str">
        <x:v>2</x:v>
      </x:c>
      <x:c r="P52" t="str">
        <x:v>25-7-4</x:v>
      </x:c>
      <x:c r="Q52" t="str">
        <x:v>G · super duplex CRA</x:v>
      </x:c>
      <x:c r="R52"/>
      <x:c r="S52"/>
      <x:c r="T52" t="str">
        <x:v>RFQ required · no public supplier-specific quote</x:v>
      </x:c>
      <x:c r="U52"/>
      <x:c r="V52" t="str">
        <x:v>https://www.api.org/-/media/Files/Certification/Monogram-APIQR/0_API-Monogram-APIQR/LIFs/API_5CRA_Licensing_Information_Form_20230821.pdf</x:v>
      </x:c>
      <x:c r="W52" t="str">
        <x:v>Mapped against API 2023 LIF; verify API 5CRA 3rd ed (2025)</x:v>
      </x:c>
      <x:c r="X52" t="str">
        <x:v>API licensing form dated 2023; eligible category/UNS/strength combinations may differ in API 5CRA 3rd edition (2025). PSL 2 rows are NOT a purchase qualification certificate.</x:v>
      </x:c>
      <x:c r="Y52" t="str">
        <x:v>2026-10-10</x:v>
      </x:c>
    </x:row>
    <x:row r="53" ht="22" customHeight="1">
      <x:c r="A53" t="str">
        <x:v>OCTG-0052</x:v>
      </x:c>
      <x:c r="B53" t="str">
        <x:v>API reference</x:v>
      </x:c>
      <x:c r="C53" t="str">
        <x:v>Global</x:v>
      </x:c>
      <x:c r="D53" t="str">
        <x:v>25-7-4 / S32760 / 110</x:v>
      </x:c>
      <x:c r="E53" t="str">
        <x:v>API CRA category/grade</x:v>
      </x:c>
      <x:c r="F53" t="str">
        <x:v>API 5CRA group/category, PSL2 LIF (2023)</x:v>
      </x:c>
      <x:c r="G53" t="str">
        <x:v>Super duplex 25Cr</x:v>
      </x:c>
      <x:c r="H53" t="str">
        <x:v>High CO2 / chloride, project-qualified sour</x:v>
      </x:c>
      <x:c r="I53" t="str">
        <x:v>CRA OCTG seamless pipe / coupling stock subject to API scope</x:v>
      </x:c>
      <x:c r="J53" t="str">
        <x:v>Qualification per ISO 15156-3 / NACE MR0175 required</x:v>
      </x:c>
      <x:c r="K53" t="str">
        <x:v>Improved (verify temperature / chloride limits)</x:v>
      </x:c>
      <x:c r="L53" t="str">
        <x:v>API / not stated</x:v>
      </x:c>
      <x:c r="M53" t="n">
        <x:v>110</x:v>
      </x:c>
      <x:c r="N53" t="str">
        <x:v>S32760</x:v>
      </x:c>
      <x:c r="O53" t="str">
        <x:v>2</x:v>
      </x:c>
      <x:c r="P53" t="str">
        <x:v>25-7-4</x:v>
      </x:c>
      <x:c r="Q53" t="str">
        <x:v>G · super duplex CRA</x:v>
      </x:c>
      <x:c r="R53"/>
      <x:c r="S53"/>
      <x:c r="T53" t="str">
        <x:v>RFQ required · no public supplier-specific quote</x:v>
      </x:c>
      <x:c r="U53"/>
      <x:c r="V53" t="str">
        <x:v>https://www.api.org/-/media/Files/Certification/Monogram-APIQR/0_API-Monogram-APIQR/LIFs/API_5CRA_Licensing_Information_Form_20230821.pdf</x:v>
      </x:c>
      <x:c r="W53" t="str">
        <x:v>Mapped against API 2023 LIF; verify API 5CRA 3rd ed (2025)</x:v>
      </x:c>
      <x:c r="X53" t="str">
        <x:v>API licensing form dated 2023; eligible category/UNS/strength combinations may differ in API 5CRA 3rd edition (2025). PSL 2 rows are NOT a purchase qualification certificate.</x:v>
      </x:c>
      <x:c r="Y53" t="str">
        <x:v>2026-10-10</x:v>
      </x:c>
    </x:row>
    <x:row r="54" ht="22" customHeight="1">
      <x:c r="A54" t="str">
        <x:v>OCTG-0053</x:v>
      </x:c>
      <x:c r="B54" t="str">
        <x:v>API reference</x:v>
      </x:c>
      <x:c r="C54" t="str">
        <x:v>Global</x:v>
      </x:c>
      <x:c r="D54" t="str">
        <x:v>25-7-4 / S32760 / 125</x:v>
      </x:c>
      <x:c r="E54" t="str">
        <x:v>API CRA category/grade</x:v>
      </x:c>
      <x:c r="F54" t="str">
        <x:v>API 5CRA group/category, PSL2 LIF (2023)</x:v>
      </x:c>
      <x:c r="G54" t="str">
        <x:v>Super duplex 25Cr</x:v>
      </x:c>
      <x:c r="H54" t="str">
        <x:v>High CO2 / chloride, project-qualified sour</x:v>
      </x:c>
      <x:c r="I54" t="str">
        <x:v>CRA OCTG seamless pipe / coupling stock subject to API scope</x:v>
      </x:c>
      <x:c r="J54" t="str">
        <x:v>Qualification per ISO 15156-3 / NACE MR0175 required</x:v>
      </x:c>
      <x:c r="K54" t="str">
        <x:v>Improved (verify temperature / chloride limits)</x:v>
      </x:c>
      <x:c r="L54" t="str">
        <x:v>API / not stated</x:v>
      </x:c>
      <x:c r="M54" t="n">
        <x:v>125</x:v>
      </x:c>
      <x:c r="N54" t="str">
        <x:v>S32760</x:v>
      </x:c>
      <x:c r="O54" t="str">
        <x:v>2</x:v>
      </x:c>
      <x:c r="P54" t="str">
        <x:v>25-7-4</x:v>
      </x:c>
      <x:c r="Q54" t="str">
        <x:v>G · super duplex CRA</x:v>
      </x:c>
      <x:c r="R54"/>
      <x:c r="S54"/>
      <x:c r="T54" t="str">
        <x:v>RFQ required · no public supplier-specific quote</x:v>
      </x:c>
      <x:c r="U54"/>
      <x:c r="V54" t="str">
        <x:v>https://www.api.org/-/media/Files/Certification/Monogram-APIQR/0_API-Monogram-APIQR/LIFs/API_5CRA_Licensing_Information_Form_20230821.pdf</x:v>
      </x:c>
      <x:c r="W54" t="str">
        <x:v>Mapped against API 2023 LIF; verify API 5CRA 3rd ed (2025)</x:v>
      </x:c>
      <x:c r="X54" t="str">
        <x:v>API licensing form dated 2023; eligible category/UNS/strength combinations may differ in API 5CRA 3rd edition (2025). PSL 2 rows are NOT a purchase qualification certificate.</x:v>
      </x:c>
      <x:c r="Y54" t="str">
        <x:v>2026-10-10</x:v>
      </x:c>
    </x:row>
    <x:row r="55" ht="22" customHeight="1">
      <x:c r="A55" t="str">
        <x:v>OCTG-0054</x:v>
      </x:c>
      <x:c r="B55" t="str">
        <x:v>API reference</x:v>
      </x:c>
      <x:c r="C55" t="str">
        <x:v>Global</x:v>
      </x:c>
      <x:c r="D55" t="str">
        <x:v>25-7-4 / S32760 / 80</x:v>
      </x:c>
      <x:c r="E55" t="str">
        <x:v>API CRA category/grade</x:v>
      </x:c>
      <x:c r="F55" t="str">
        <x:v>API 5CRA group/category, PSL2 LIF (2023)</x:v>
      </x:c>
      <x:c r="G55" t="str">
        <x:v>Super duplex 25Cr</x:v>
      </x:c>
      <x:c r="H55" t="str">
        <x:v>High CO2 / chloride, project-qualified sour</x:v>
      </x:c>
      <x:c r="I55" t="str">
        <x:v>CRA OCTG seamless pipe / coupling stock subject to API scope</x:v>
      </x:c>
      <x:c r="J55" t="str">
        <x:v>Qualification per ISO 15156-3 / NACE MR0175 required</x:v>
      </x:c>
      <x:c r="K55" t="str">
        <x:v>Improved (verify temperature / chloride limits)</x:v>
      </x:c>
      <x:c r="L55" t="str">
        <x:v>API / not stated</x:v>
      </x:c>
      <x:c r="M55" t="n">
        <x:v>80</x:v>
      </x:c>
      <x:c r="N55" t="str">
        <x:v>S32760</x:v>
      </x:c>
      <x:c r="O55" t="str">
        <x:v>2</x:v>
      </x:c>
      <x:c r="P55" t="str">
        <x:v>25-7-4</x:v>
      </x:c>
      <x:c r="Q55" t="str">
        <x:v>G · super duplex CRA</x:v>
      </x:c>
      <x:c r="R55"/>
      <x:c r="S55"/>
      <x:c r="T55" t="str">
        <x:v>RFQ required · no public supplier-specific quote</x:v>
      </x:c>
      <x:c r="U55"/>
      <x:c r="V55" t="str">
        <x:v>https://www.api.org/-/media/Files/Certification/Monogram-APIQR/0_API-Monogram-APIQR/LIFs/API_5CRA_Licensing_Information_Form_20230821.pdf</x:v>
      </x:c>
      <x:c r="W55" t="str">
        <x:v>Mapped against API 2023 LIF; verify API 5CRA 3rd ed (2025)</x:v>
      </x:c>
      <x:c r="X55" t="str">
        <x:v>API licensing form dated 2023; eligible category/UNS/strength combinations may differ in API 5CRA 3rd edition (2025). PSL 2 rows are NOT a purchase qualification certificate.</x:v>
      </x:c>
      <x:c r="Y55" t="str">
        <x:v>2026-10-10</x:v>
      </x:c>
    </x:row>
    <x:row r="56" ht="22" customHeight="1">
      <x:c r="A56" t="str">
        <x:v>OCTG-0055</x:v>
      </x:c>
      <x:c r="B56" t="str">
        <x:v>API reference</x:v>
      </x:c>
      <x:c r="C56" t="str">
        <x:v>Global</x:v>
      </x:c>
      <x:c r="D56" t="str">
        <x:v>25-7-4 / S32760 / 90</x:v>
      </x:c>
      <x:c r="E56" t="str">
        <x:v>API CRA category/grade</x:v>
      </x:c>
      <x:c r="F56" t="str">
        <x:v>API 5CRA group/category, PSL2 LIF (2023)</x:v>
      </x:c>
      <x:c r="G56" t="str">
        <x:v>Super duplex 25Cr</x:v>
      </x:c>
      <x:c r="H56" t="str">
        <x:v>High CO2 / chloride, project-qualified sour</x:v>
      </x:c>
      <x:c r="I56" t="str">
        <x:v>CRA OCTG seamless pipe / coupling stock subject to API scope</x:v>
      </x:c>
      <x:c r="J56" t="str">
        <x:v>Qualification per ISO 15156-3 / NACE MR0175 required</x:v>
      </x:c>
      <x:c r="K56" t="str">
        <x:v>Improved (verify temperature / chloride limits)</x:v>
      </x:c>
      <x:c r="L56" t="str">
        <x:v>API / not stated</x:v>
      </x:c>
      <x:c r="M56" t="n">
        <x:v>90</x:v>
      </x:c>
      <x:c r="N56" t="str">
        <x:v>S32760</x:v>
      </x:c>
      <x:c r="O56" t="str">
        <x:v>2</x:v>
      </x:c>
      <x:c r="P56" t="str">
        <x:v>25-7-4</x:v>
      </x:c>
      <x:c r="Q56" t="str">
        <x:v>G · super duplex CRA</x:v>
      </x:c>
      <x:c r="R56"/>
      <x:c r="S56"/>
      <x:c r="T56" t="str">
        <x:v>RFQ required · no public supplier-specific quote</x:v>
      </x:c>
      <x:c r="U56"/>
      <x:c r="V56" t="str">
        <x:v>https://www.api.org/-/media/Files/Certification/Monogram-APIQR/0_API-Monogram-APIQR/LIFs/API_5CRA_Licensing_Information_Form_20230821.pdf</x:v>
      </x:c>
      <x:c r="W56" t="str">
        <x:v>Mapped against API 2023 LIF; verify API 5CRA 3rd ed (2025)</x:v>
      </x:c>
      <x:c r="X56" t="str">
        <x:v>API licensing form dated 2023; eligible category/UNS/strength combinations may differ in API 5CRA 3rd edition (2025). PSL 2 rows are NOT a purchase qualification certificate.</x:v>
      </x:c>
      <x:c r="Y56" t="str">
        <x:v>2026-10-10</x:v>
      </x:c>
    </x:row>
    <x:row r="57" ht="22" customHeight="1">
      <x:c r="A57" t="str">
        <x:v>OCTG-0056</x:v>
      </x:c>
      <x:c r="B57" t="str">
        <x:v>API reference</x:v>
      </x:c>
      <x:c r="C57" t="str">
        <x:v>Global</x:v>
      </x:c>
      <x:c r="D57" t="str">
        <x:v>25-7-4 / S39274 / 110</x:v>
      </x:c>
      <x:c r="E57" t="str">
        <x:v>API CRA category/grade</x:v>
      </x:c>
      <x:c r="F57" t="str">
        <x:v>API 5CRA group/category, PSL2 LIF (2023)</x:v>
      </x:c>
      <x:c r="G57" t="str">
        <x:v>Super duplex 25Cr</x:v>
      </x:c>
      <x:c r="H57" t="str">
        <x:v>High CO2 / chloride, project-qualified sour</x:v>
      </x:c>
      <x:c r="I57" t="str">
        <x:v>CRA OCTG seamless pipe / coupling stock subject to API scope</x:v>
      </x:c>
      <x:c r="J57" t="str">
        <x:v>Qualification per ISO 15156-3 / NACE MR0175 required</x:v>
      </x:c>
      <x:c r="K57" t="str">
        <x:v>Improved (verify temperature / chloride limits)</x:v>
      </x:c>
      <x:c r="L57" t="str">
        <x:v>API / not stated</x:v>
      </x:c>
      <x:c r="M57" t="n">
        <x:v>110</x:v>
      </x:c>
      <x:c r="N57" t="str">
        <x:v>S39274</x:v>
      </x:c>
      <x:c r="O57" t="str">
        <x:v>2</x:v>
      </x:c>
      <x:c r="P57" t="str">
        <x:v>25-7-4</x:v>
      </x:c>
      <x:c r="Q57" t="str">
        <x:v>G · super duplex CRA</x:v>
      </x:c>
      <x:c r="R57"/>
      <x:c r="S57"/>
      <x:c r="T57" t="str">
        <x:v>RFQ required · no public supplier-specific quote</x:v>
      </x:c>
      <x:c r="U57"/>
      <x:c r="V57" t="str">
        <x:v>https://www.api.org/-/media/Files/Certification/Monogram-APIQR/0_API-Monogram-APIQR/LIFs/API_5CRA_Licensing_Information_Form_20230821.pdf</x:v>
      </x:c>
      <x:c r="W57" t="str">
        <x:v>Mapped against API 2023 LIF; verify API 5CRA 3rd ed (2025)</x:v>
      </x:c>
      <x:c r="X57" t="str">
        <x:v>API licensing form dated 2023; eligible category/UNS/strength combinations may differ in API 5CRA 3rd edition (2025). PSL 2 rows are NOT a purchase qualification certificate.</x:v>
      </x:c>
      <x:c r="Y57" t="str">
        <x:v>2026-10-10</x:v>
      </x:c>
    </x:row>
    <x:row r="58" ht="22" customHeight="1">
      <x:c r="A58" t="str">
        <x:v>OCTG-0057</x:v>
      </x:c>
      <x:c r="B58" t="str">
        <x:v>API reference</x:v>
      </x:c>
      <x:c r="C58" t="str">
        <x:v>Global</x:v>
      </x:c>
      <x:c r="D58" t="str">
        <x:v>25-7-4 / S39274 / 125</x:v>
      </x:c>
      <x:c r="E58" t="str">
        <x:v>API CRA category/grade</x:v>
      </x:c>
      <x:c r="F58" t="str">
        <x:v>API 5CRA group/category, PSL2 LIF (2023)</x:v>
      </x:c>
      <x:c r="G58" t="str">
        <x:v>Super duplex 25Cr</x:v>
      </x:c>
      <x:c r="H58" t="str">
        <x:v>High CO2 / chloride, project-qualified sour</x:v>
      </x:c>
      <x:c r="I58" t="str">
        <x:v>CRA OCTG seamless pipe / coupling stock subject to API scope</x:v>
      </x:c>
      <x:c r="J58" t="str">
        <x:v>Qualification per ISO 15156-3 / NACE MR0175 required</x:v>
      </x:c>
      <x:c r="K58" t="str">
        <x:v>Improved (verify temperature / chloride limits)</x:v>
      </x:c>
      <x:c r="L58" t="str">
        <x:v>API / not stated</x:v>
      </x:c>
      <x:c r="M58" t="n">
        <x:v>125</x:v>
      </x:c>
      <x:c r="N58" t="str">
        <x:v>S39274</x:v>
      </x:c>
      <x:c r="O58" t="str">
        <x:v>2</x:v>
      </x:c>
      <x:c r="P58" t="str">
        <x:v>25-7-4</x:v>
      </x:c>
      <x:c r="Q58" t="str">
        <x:v>G · super duplex CRA</x:v>
      </x:c>
      <x:c r="R58"/>
      <x:c r="S58"/>
      <x:c r="T58" t="str">
        <x:v>RFQ required · no public supplier-specific quote</x:v>
      </x:c>
      <x:c r="U58"/>
      <x:c r="V58" t="str">
        <x:v>https://www.api.org/-/media/Files/Certification/Monogram-APIQR/0_API-Monogram-APIQR/LIFs/API_5CRA_Licensing_Information_Form_20230821.pdf</x:v>
      </x:c>
      <x:c r="W58" t="str">
        <x:v>Mapped against API 2023 LIF; verify API 5CRA 3rd ed (2025)</x:v>
      </x:c>
      <x:c r="X58" t="str">
        <x:v>API licensing form dated 2023; eligible category/UNS/strength combinations may differ in API 5CRA 3rd edition (2025). PSL 2 rows are NOT a purchase qualification certificate.</x:v>
      </x:c>
      <x:c r="Y58" t="str">
        <x:v>2026-10-10</x:v>
      </x:c>
    </x:row>
    <x:row r="59" ht="22" customHeight="1">
      <x:c r="A59" t="str">
        <x:v>OCTG-0058</x:v>
      </x:c>
      <x:c r="B59" t="str">
        <x:v>API reference</x:v>
      </x:c>
      <x:c r="C59" t="str">
        <x:v>Global</x:v>
      </x:c>
      <x:c r="D59" t="str">
        <x:v>25-7-4 / S39274 / 80</x:v>
      </x:c>
      <x:c r="E59" t="str">
        <x:v>API CRA category/grade</x:v>
      </x:c>
      <x:c r="F59" t="str">
        <x:v>API 5CRA group/category, PSL2 LIF (2023)</x:v>
      </x:c>
      <x:c r="G59" t="str">
        <x:v>Super duplex 25Cr</x:v>
      </x:c>
      <x:c r="H59" t="str">
        <x:v>High CO2 / chloride, project-qualified sour</x:v>
      </x:c>
      <x:c r="I59" t="str">
        <x:v>CRA OCTG seamless pipe / coupling stock subject to API scope</x:v>
      </x:c>
      <x:c r="J59" t="str">
        <x:v>Qualification per ISO 15156-3 / NACE MR0175 required</x:v>
      </x:c>
      <x:c r="K59" t="str">
        <x:v>Improved (verify temperature / chloride limits)</x:v>
      </x:c>
      <x:c r="L59" t="str">
        <x:v>API / not stated</x:v>
      </x:c>
      <x:c r="M59" t="n">
        <x:v>80</x:v>
      </x:c>
      <x:c r="N59" t="str">
        <x:v>S39274</x:v>
      </x:c>
      <x:c r="O59" t="str">
        <x:v>2</x:v>
      </x:c>
      <x:c r="P59" t="str">
        <x:v>25-7-4</x:v>
      </x:c>
      <x:c r="Q59" t="str">
        <x:v>G · super duplex CRA</x:v>
      </x:c>
      <x:c r="R59"/>
      <x:c r="S59"/>
      <x:c r="T59" t="str">
        <x:v>RFQ required · no public supplier-specific quote</x:v>
      </x:c>
      <x:c r="U59"/>
      <x:c r="V59" t="str">
        <x:v>https://www.api.org/-/media/Files/Certification/Monogram-APIQR/0_API-Monogram-APIQR/LIFs/API_5CRA_Licensing_Information_Form_20230821.pdf</x:v>
      </x:c>
      <x:c r="W59" t="str">
        <x:v>Mapped against API 2023 LIF; verify API 5CRA 3rd ed (2025)</x:v>
      </x:c>
      <x:c r="X59" t="str">
        <x:v>API licensing form dated 2023; eligible category/UNS/strength combinations may differ in API 5CRA 3rd edition (2025). PSL 2 rows are NOT a purchase qualification certificate.</x:v>
      </x:c>
      <x:c r="Y59" t="str">
        <x:v>2026-10-10</x:v>
      </x:c>
    </x:row>
    <x:row r="60" ht="22" customHeight="1">
      <x:c r="A60" t="str">
        <x:v>OCTG-0059</x:v>
      </x:c>
      <x:c r="B60" t="str">
        <x:v>API reference</x:v>
      </x:c>
      <x:c r="C60" t="str">
        <x:v>Global</x:v>
      </x:c>
      <x:c r="D60" t="str">
        <x:v>25-7-4 / S39274 / 90</x:v>
      </x:c>
      <x:c r="E60" t="str">
        <x:v>API CRA category/grade</x:v>
      </x:c>
      <x:c r="F60" t="str">
        <x:v>API 5CRA group/category, PSL2 LIF (2023)</x:v>
      </x:c>
      <x:c r="G60" t="str">
        <x:v>Super duplex 25Cr</x:v>
      </x:c>
      <x:c r="H60" t="str">
        <x:v>High CO2 / chloride, project-qualified sour</x:v>
      </x:c>
      <x:c r="I60" t="str">
        <x:v>CRA OCTG seamless pipe / coupling stock subject to API scope</x:v>
      </x:c>
      <x:c r="J60" t="str">
        <x:v>Qualification per ISO 15156-3 / NACE MR0175 required</x:v>
      </x:c>
      <x:c r="K60" t="str">
        <x:v>Improved (verify temperature / chloride limits)</x:v>
      </x:c>
      <x:c r="L60" t="str">
        <x:v>API / not stated</x:v>
      </x:c>
      <x:c r="M60" t="n">
        <x:v>90</x:v>
      </x:c>
      <x:c r="N60" t="str">
        <x:v>S39274</x:v>
      </x:c>
      <x:c r="O60" t="str">
        <x:v>2</x:v>
      </x:c>
      <x:c r="P60" t="str">
        <x:v>25-7-4</x:v>
      </x:c>
      <x:c r="Q60" t="str">
        <x:v>G · super duplex CRA</x:v>
      </x:c>
      <x:c r="R60"/>
      <x:c r="S60"/>
      <x:c r="T60" t="str">
        <x:v>RFQ required · no public supplier-specific quote</x:v>
      </x:c>
      <x:c r="U60"/>
      <x:c r="V60" t="str">
        <x:v>https://www.api.org/-/media/Files/Certification/Monogram-APIQR/0_API-Monogram-APIQR/LIFs/API_5CRA_Licensing_Information_Form_20230821.pdf</x:v>
      </x:c>
      <x:c r="W60" t="str">
        <x:v>Mapped against API 2023 LIF; verify API 5CRA 3rd ed (2025)</x:v>
      </x:c>
      <x:c r="X60" t="str">
        <x:v>API licensing form dated 2023; eligible category/UNS/strength combinations may differ in API 5CRA 3rd edition (2025). PSL 2 rows are NOT a purchase qualification certificate.</x:v>
      </x:c>
      <x:c r="Y60" t="str">
        <x:v>2026-10-10</x:v>
      </x:c>
    </x:row>
    <x:row r="61" ht="22" customHeight="1">
      <x:c r="A61" t="str">
        <x:v>OCTG-0060</x:v>
      </x:c>
      <x:c r="B61" t="str">
        <x:v>API reference</x:v>
      </x:c>
      <x:c r="C61" t="str">
        <x:v>Global</x:v>
      </x:c>
      <x:c r="D61" t="str">
        <x:v>26-6-3 / 110 (PSL1)</x:v>
      </x:c>
      <x:c r="E61" t="str">
        <x:v>API CRA category/grade</x:v>
      </x:c>
      <x:c r="F61" t="str">
        <x:v>API 5CRA PSL1 LIF category (2023)</x:v>
      </x:c>
      <x:c r="G61" t="str">
        <x:v>Super duplex 25Cr</x:v>
      </x:c>
      <x:c r="H61" t="str">
        <x:v>Wet CO2/chloride</x:v>
      </x:c>
      <x:c r="I61" t="str">
        <x:v>CRA seamless pipes; validate edition</x:v>
      </x:c>
      <x:c r="J61" t="str">
        <x:v>Not established by grade name</x:v>
      </x:c>
      <x:c r="K61" t="str">
        <x:v>Improved (verify temperature / chloride limits)</x:v>
      </x:c>
      <x:c r="L61" t="str">
        <x:v>API / not stated</x:v>
      </x:c>
      <x:c r="M61" t="n">
        <x:v>110</x:v>
      </x:c>
      <x:c r="N61" t="str"/>
      <x:c r="O61" t="str">
        <x:v>2</x:v>
      </x:c>
      <x:c r="P61" t="str">
        <x:v>26-6-3</x:v>
      </x:c>
      <x:c r="Q61" t="str">
        <x:v>G · super duplex CRA</x:v>
      </x:c>
      <x:c r="R61"/>
      <x:c r="S61"/>
      <x:c r="T61" t="str">
        <x:v>RFQ required · no public supplier-specific quote</x:v>
      </x:c>
      <x:c r="U61"/>
      <x:c r="V61" t="str">
        <x:v>https://www.api.org/-/media/Files/Certification/Monogram-APIQR/0_API-Monogram-APIQR/LIFs/API_5CRA_Licensing_Information_Form_20230821.pdf</x:v>
      </x:c>
      <x:c r="W61" t="str">
        <x:v>Category listed 2023 LIF; check API 2025 edition</x:v>
      </x:c>
      <x:c r="X61" t="str">
        <x:v>API licensing form dated 2023; eligible category/UNS/strength combinations may differ in API 5CRA 3rd edition (2025). PSL 2 rows are NOT a purchase qualification certificate.</x:v>
      </x:c>
      <x:c r="Y61" t="str">
        <x:v>2026-10-10</x:v>
      </x:c>
    </x:row>
    <x:row r="62" ht="22" customHeight="1">
      <x:c r="A62" t="str">
        <x:v>OCTG-0061</x:v>
      </x:c>
      <x:c r="B62" t="str">
        <x:v>API reference</x:v>
      </x:c>
      <x:c r="C62" t="str">
        <x:v>Global</x:v>
      </x:c>
      <x:c r="D62" t="str">
        <x:v>26-6-3 / 125 (PSL1)</x:v>
      </x:c>
      <x:c r="E62" t="str">
        <x:v>API CRA category/grade</x:v>
      </x:c>
      <x:c r="F62" t="str">
        <x:v>API 5CRA PSL1 LIF category (2023)</x:v>
      </x:c>
      <x:c r="G62" t="str">
        <x:v>Super duplex 25Cr</x:v>
      </x:c>
      <x:c r="H62" t="str">
        <x:v>Wet CO2/chloride</x:v>
      </x:c>
      <x:c r="I62" t="str">
        <x:v>CRA seamless pipes; validate edition</x:v>
      </x:c>
      <x:c r="J62" t="str">
        <x:v>Not established by grade name</x:v>
      </x:c>
      <x:c r="K62" t="str">
        <x:v>Improved (verify temperature / chloride limits)</x:v>
      </x:c>
      <x:c r="L62" t="str">
        <x:v>API / not stated</x:v>
      </x:c>
      <x:c r="M62" t="n">
        <x:v>125</x:v>
      </x:c>
      <x:c r="N62" t="str"/>
      <x:c r="O62" t="str">
        <x:v>2</x:v>
      </x:c>
      <x:c r="P62" t="str">
        <x:v>26-6-3</x:v>
      </x:c>
      <x:c r="Q62" t="str">
        <x:v>G · super duplex CRA</x:v>
      </x:c>
      <x:c r="R62"/>
      <x:c r="S62"/>
      <x:c r="T62" t="str">
        <x:v>RFQ required · no public supplier-specific quote</x:v>
      </x:c>
      <x:c r="U62"/>
      <x:c r="V62" t="str">
        <x:v>https://www.api.org/-/media/Files/Certification/Monogram-APIQR/0_API-Monogram-APIQR/LIFs/API_5CRA_Licensing_Information_Form_20230821.pdf</x:v>
      </x:c>
      <x:c r="W62" t="str">
        <x:v>Category listed 2023 LIF; check API 2025 edition</x:v>
      </x:c>
      <x:c r="X62" t="str">
        <x:v>API licensing form dated 2023; eligible category/UNS/strength combinations may differ in API 5CRA 3rd edition (2025). PSL 2 rows are NOT a purchase qualification certificate.</x:v>
      </x:c>
      <x:c r="Y62" t="str">
        <x:v>2026-10-10</x:v>
      </x:c>
    </x:row>
    <x:row r="63" ht="22" customHeight="1">
      <x:c r="A63" t="str">
        <x:v>OCTG-0062</x:v>
      </x:c>
      <x:c r="B63" t="str">
        <x:v>API reference</x:v>
      </x:c>
      <x:c r="C63" t="str">
        <x:v>Global</x:v>
      </x:c>
      <x:c r="D63" t="str">
        <x:v>26-6-3 / 140 (PSL1)</x:v>
      </x:c>
      <x:c r="E63" t="str">
        <x:v>API CRA category/grade</x:v>
      </x:c>
      <x:c r="F63" t="str">
        <x:v>API 5CRA PSL1 LIF category (2023)</x:v>
      </x:c>
      <x:c r="G63" t="str">
        <x:v>Super duplex 25Cr</x:v>
      </x:c>
      <x:c r="H63" t="str">
        <x:v>Wet CO2/chloride</x:v>
      </x:c>
      <x:c r="I63" t="str">
        <x:v>CRA seamless pipes; validate edition</x:v>
      </x:c>
      <x:c r="J63" t="str">
        <x:v>Not established by grade name</x:v>
      </x:c>
      <x:c r="K63" t="str">
        <x:v>Improved (verify temperature / chloride limits)</x:v>
      </x:c>
      <x:c r="L63" t="str">
        <x:v>API / not stated</x:v>
      </x:c>
      <x:c r="M63" t="n">
        <x:v>140</x:v>
      </x:c>
      <x:c r="N63" t="str"/>
      <x:c r="O63" t="str">
        <x:v>2</x:v>
      </x:c>
      <x:c r="P63" t="str">
        <x:v>26-6-3</x:v>
      </x:c>
      <x:c r="Q63" t="str">
        <x:v>G · super duplex CRA</x:v>
      </x:c>
      <x:c r="R63"/>
      <x:c r="S63"/>
      <x:c r="T63" t="str">
        <x:v>RFQ required · no public supplier-specific quote</x:v>
      </x:c>
      <x:c r="U63"/>
      <x:c r="V63" t="str">
        <x:v>https://www.api.org/-/media/Files/Certification/Monogram-APIQR/0_API-Monogram-APIQR/LIFs/API_5CRA_Licensing_Information_Form_20230821.pdf</x:v>
      </x:c>
      <x:c r="W63" t="str">
        <x:v>Category listed 2023 LIF; check API 2025 edition</x:v>
      </x:c>
      <x:c r="X63" t="str">
        <x:v>API licensing form dated 2023; eligible category/UNS/strength combinations may differ in API 5CRA 3rd edition (2025). PSL 2 rows are NOT a purchase qualification certificate.</x:v>
      </x:c>
      <x:c r="Y63" t="str">
        <x:v>2026-10-10</x:v>
      </x:c>
    </x:row>
    <x:row r="64" ht="22" customHeight="1">
      <x:c r="A64" t="str">
        <x:v>OCTG-0063</x:v>
      </x:c>
      <x:c r="B64" t="str">
        <x:v>API reference</x:v>
      </x:c>
      <x:c r="C64" t="str">
        <x:v>Global</x:v>
      </x:c>
      <x:c r="D64" t="str">
        <x:v>26-6-3 / 80 (PSL1)</x:v>
      </x:c>
      <x:c r="E64" t="str">
        <x:v>API CRA category/grade</x:v>
      </x:c>
      <x:c r="F64" t="str">
        <x:v>API 5CRA PSL1 LIF category (2023)</x:v>
      </x:c>
      <x:c r="G64" t="str">
        <x:v>Super duplex 25Cr</x:v>
      </x:c>
      <x:c r="H64" t="str">
        <x:v>Wet CO2/chloride</x:v>
      </x:c>
      <x:c r="I64" t="str">
        <x:v>CRA seamless pipes; validate edition</x:v>
      </x:c>
      <x:c r="J64" t="str">
        <x:v>Not established by grade name</x:v>
      </x:c>
      <x:c r="K64" t="str">
        <x:v>Improved (verify temperature / chloride limits)</x:v>
      </x:c>
      <x:c r="L64" t="str">
        <x:v>API / not stated</x:v>
      </x:c>
      <x:c r="M64" t="n">
        <x:v>80</x:v>
      </x:c>
      <x:c r="N64" t="str"/>
      <x:c r="O64" t="str">
        <x:v>2</x:v>
      </x:c>
      <x:c r="P64" t="str">
        <x:v>26-6-3</x:v>
      </x:c>
      <x:c r="Q64" t="str">
        <x:v>G · super duplex CRA</x:v>
      </x:c>
      <x:c r="R64"/>
      <x:c r="S64"/>
      <x:c r="T64" t="str">
        <x:v>RFQ required · no public supplier-specific quote</x:v>
      </x:c>
      <x:c r="U64"/>
      <x:c r="V64" t="str">
        <x:v>https://www.api.org/-/media/Files/Certification/Monogram-APIQR/0_API-Monogram-APIQR/LIFs/API_5CRA_Licensing_Information_Form_20230821.pdf</x:v>
      </x:c>
      <x:c r="W64" t="str">
        <x:v>Category listed 2023 LIF; check API 2025 edition</x:v>
      </x:c>
      <x:c r="X64" t="str">
        <x:v>API licensing form dated 2023; eligible category/UNS/strength combinations may differ in API 5CRA 3rd edition (2025). PSL 2 rows are NOT a purchase qualification certificate.</x:v>
      </x:c>
      <x:c r="Y64" t="str">
        <x:v>2026-10-10</x:v>
      </x:c>
    </x:row>
    <x:row r="65" ht="22" customHeight="1">
      <x:c r="A65" t="str">
        <x:v>OCTG-0064</x:v>
      </x:c>
      <x:c r="B65" t="str">
        <x:v>API reference</x:v>
      </x:c>
      <x:c r="C65" t="str">
        <x:v>Global</x:v>
      </x:c>
      <x:c r="D65" t="str">
        <x:v>26-6-3 / 90 (PSL1)</x:v>
      </x:c>
      <x:c r="E65" t="str">
        <x:v>API CRA category/grade</x:v>
      </x:c>
      <x:c r="F65" t="str">
        <x:v>API 5CRA PSL1 LIF category (2023)</x:v>
      </x:c>
      <x:c r="G65" t="str">
        <x:v>Super duplex 25Cr</x:v>
      </x:c>
      <x:c r="H65" t="str">
        <x:v>Wet CO2/chloride</x:v>
      </x:c>
      <x:c r="I65" t="str">
        <x:v>CRA seamless pipes; validate edition</x:v>
      </x:c>
      <x:c r="J65" t="str">
        <x:v>Not established by grade name</x:v>
      </x:c>
      <x:c r="K65" t="str">
        <x:v>Improved (verify temperature / chloride limits)</x:v>
      </x:c>
      <x:c r="L65" t="str">
        <x:v>API / not stated</x:v>
      </x:c>
      <x:c r="M65" t="n">
        <x:v>90</x:v>
      </x:c>
      <x:c r="N65" t="str"/>
      <x:c r="O65" t="str">
        <x:v>2</x:v>
      </x:c>
      <x:c r="P65" t="str">
        <x:v>26-6-3</x:v>
      </x:c>
      <x:c r="Q65" t="str">
        <x:v>G · super duplex CRA</x:v>
      </x:c>
      <x:c r="R65"/>
      <x:c r="S65"/>
      <x:c r="T65" t="str">
        <x:v>RFQ required · no public supplier-specific quote</x:v>
      </x:c>
      <x:c r="U65"/>
      <x:c r="V65" t="str">
        <x:v>https://www.api.org/-/media/Files/Certification/Monogram-APIQR/0_API-Monogram-APIQR/LIFs/API_5CRA_Licensing_Information_Form_20230821.pdf</x:v>
      </x:c>
      <x:c r="W65" t="str">
        <x:v>Category listed 2023 LIF; check API 2025 edition</x:v>
      </x:c>
      <x:c r="X65" t="str">
        <x:v>API licensing form dated 2023; eligible category/UNS/strength combinations may differ in API 5CRA 3rd edition (2025). PSL 2 rows are NOT a purchase qualification certificate.</x:v>
      </x:c>
      <x:c r="Y65" t="str">
        <x:v>2026-10-10</x:v>
      </x:c>
    </x:row>
    <x:row r="66" ht="22" customHeight="1">
      <x:c r="A66" t="str">
        <x:v>OCTG-0065</x:v>
      </x:c>
      <x:c r="B66" t="str">
        <x:v>Tenaris</x:v>
      </x:c>
      <x:c r="C66" t="str">
        <x:v>Global / Italy</x:v>
      </x:c>
      <x:c r="D66" t="str">
        <x:v>K55-IC</x:v>
      </x:c>
      <x:c r="E66" t="str">
        <x:v>Proprietary grade</x:v>
      </x:c>
      <x:c r="F66" t="str">
        <x:v>API 5CT-based / manufacturer specification</x:v>
      </x:c>
      <x:c r="G66" t="str">
        <x:v>Carbon / low alloy</x:v>
      </x:c>
      <x:c r="H66" t="str">
        <x:v>Improved collapse</x:v>
      </x:c>
      <x:c r="I66" t="str">
        <x:v>Casing and tubing (verify sizes)</x:v>
      </x:c>
      <x:c r="J66" t="str">
        <x:v>Not established by grade name</x:v>
      </x:c>
      <x:c r="K66" t="str">
        <x:v>Corrosion control may be needed</x:v>
      </x:c>
      <x:c r="L66" t="str">
        <x:v>Enhanced</x:v>
      </x:c>
      <x:c r="M66" t="n">
        <x:v>55</x:v>
      </x:c>
      <x:c r="N66" t="str"/>
      <x:c r="O66" t="str"/>
      <x:c r="P66" t="str"/>
      <x:c r="Q66" t="str">
        <x:v>A · standard carbon</x:v>
      </x:c>
      <x:c r="R66"/>
      <x:c r="S66"/>
      <x:c r="T66" t="str">
        <x:v>RFQ required · no public supplier-specific quote</x:v>
      </x:c>
      <x:c r="U66"/>
      <x:c r="V66" t="str">
        <x:v>https://www.tenaris.com/en/products-and-services/octg/steel-grades/</x:v>
      </x:c>
      <x:c r="W66" t="str">
        <x:v>Manufacturer-listed</x:v>
      </x:c>
      <x:c r="X66" t="str"/>
      <x:c r="Y66" t="str">
        <x:v>2026-10-10</x:v>
      </x:c>
    </x:row>
    <x:row r="67" ht="22" customHeight="1">
      <x:c r="A67" t="str">
        <x:v>OCTG-0066</x:v>
      </x:c>
      <x:c r="B67" t="str">
        <x:v>Tenaris</x:v>
      </x:c>
      <x:c r="C67" t="str">
        <x:v>Global / Italy</x:v>
      </x:c>
      <x:c r="D67" t="str">
        <x:v>L80-EY</x:v>
      </x:c>
      <x:c r="E67" t="str">
        <x:v>Proprietary grade</x:v>
      </x:c>
      <x:c r="F67" t="str">
        <x:v>API 5CT-based / manufacturer specification</x:v>
      </x:c>
      <x:c r="G67" t="str">
        <x:v>Carbon / low alloy</x:v>
      </x:c>
      <x:c r="H67" t="str">
        <x:v>Enhanced yield/controlled mechanical properties</x:v>
      </x:c>
      <x:c r="I67" t="str">
        <x:v>Casing and tubing (verify sizes)</x:v>
      </x:c>
      <x:c r="J67" t="str">
        <x:v>Not established by grade name</x:v>
      </x:c>
      <x:c r="K67" t="str">
        <x:v>Corrosion control may be needed</x:v>
      </x:c>
      <x:c r="L67" t="str">
        <x:v>API / not stated</x:v>
      </x:c>
      <x:c r="M67" t="n">
        <x:v>80</x:v>
      </x:c>
      <x:c r="N67" t="str"/>
      <x:c r="O67" t="str"/>
      <x:c r="P67" t="str"/>
      <x:c r="Q67" t="str">
        <x:v>A · standard carbon</x:v>
      </x:c>
      <x:c r="R67"/>
      <x:c r="S67"/>
      <x:c r="T67" t="str">
        <x:v>RFQ required · no public supplier-specific quote</x:v>
      </x:c>
      <x:c r="U67"/>
      <x:c r="V67" t="str">
        <x:v>https://www.tenaris.com/en/products-and-services/octg/steel-grades/</x:v>
      </x:c>
      <x:c r="W67" t="str">
        <x:v>Manufacturer-listed</x:v>
      </x:c>
      <x:c r="X67" t="str"/>
      <x:c r="Y67" t="str">
        <x:v>2026-10-10</x:v>
      </x:c>
    </x:row>
    <x:row r="68" ht="22" customHeight="1">
      <x:c r="A68" t="str">
        <x:v>OCTG-0067</x:v>
      </x:c>
      <x:c r="B68" t="str">
        <x:v>Tenaris</x:v>
      </x:c>
      <x:c r="C68" t="str">
        <x:v>Global / Italy</x:v>
      </x:c>
      <x:c r="D68" t="str">
        <x:v>L80-IC</x:v>
      </x:c>
      <x:c r="E68" t="str">
        <x:v>Proprietary grade</x:v>
      </x:c>
      <x:c r="F68" t="str">
        <x:v>API 5CT-based / manufacturer specification</x:v>
      </x:c>
      <x:c r="G68" t="str">
        <x:v>Carbon / low alloy</x:v>
      </x:c>
      <x:c r="H68" t="str">
        <x:v>Improved collapse</x:v>
      </x:c>
      <x:c r="I68" t="str">
        <x:v>Casing and tubing (verify sizes)</x:v>
      </x:c>
      <x:c r="J68" t="str">
        <x:v>Not established by grade name</x:v>
      </x:c>
      <x:c r="K68" t="str">
        <x:v>Corrosion control may be needed</x:v>
      </x:c>
      <x:c r="L68" t="str">
        <x:v>Enhanced</x:v>
      </x:c>
      <x:c r="M68" t="n">
        <x:v>80</x:v>
      </x:c>
      <x:c r="N68" t="str"/>
      <x:c r="O68" t="str"/>
      <x:c r="P68" t="str"/>
      <x:c r="Q68" t="str">
        <x:v>A · standard carbon</x:v>
      </x:c>
      <x:c r="R68"/>
      <x:c r="S68"/>
      <x:c r="T68" t="str">
        <x:v>RFQ required · no public supplier-specific quote</x:v>
      </x:c>
      <x:c r="U68"/>
      <x:c r="V68" t="str">
        <x:v>https://www.tenaris.com/en/products-and-services/octg/steel-grades/</x:v>
      </x:c>
      <x:c r="W68" t="str">
        <x:v>Manufacturer-listed</x:v>
      </x:c>
      <x:c r="X68" t="str"/>
      <x:c r="Y68" t="str">
        <x:v>2026-10-10</x:v>
      </x:c>
    </x:row>
    <x:row r="69" ht="22" customHeight="1">
      <x:c r="A69" t="str">
        <x:v>OCTG-0068</x:v>
      </x:c>
      <x:c r="B69" t="str">
        <x:v>Tenaris</x:v>
      </x:c>
      <x:c r="C69" t="str">
        <x:v>Global / Italy</x:v>
      </x:c>
      <x:c r="D69" t="str">
        <x:v>L80-ICY</x:v>
      </x:c>
      <x:c r="E69" t="str">
        <x:v>Proprietary grade</x:v>
      </x:c>
      <x:c r="F69" t="str">
        <x:v>API 5CT-based / manufacturer specification</x:v>
      </x:c>
      <x:c r="G69" t="str">
        <x:v>Carbon / low alloy</x:v>
      </x:c>
      <x:c r="H69" t="str">
        <x:v>Improved collapse</x:v>
      </x:c>
      <x:c r="I69" t="str">
        <x:v>Casing and tubing (verify sizes)</x:v>
      </x:c>
      <x:c r="J69" t="str">
        <x:v>Not established by grade name</x:v>
      </x:c>
      <x:c r="K69" t="str">
        <x:v>Corrosion control may be needed</x:v>
      </x:c>
      <x:c r="L69" t="str">
        <x:v>Enhanced</x:v>
      </x:c>
      <x:c r="M69" t="n">
        <x:v>80</x:v>
      </x:c>
      <x:c r="N69" t="str"/>
      <x:c r="O69" t="str"/>
      <x:c r="P69" t="str"/>
      <x:c r="Q69" t="str">
        <x:v>A · standard carbon</x:v>
      </x:c>
      <x:c r="R69"/>
      <x:c r="S69"/>
      <x:c r="T69" t="str">
        <x:v>RFQ required · no public supplier-specific quote</x:v>
      </x:c>
      <x:c r="U69"/>
      <x:c r="V69" t="str">
        <x:v>https://www.tenaris.com/en/products-and-services/octg/steel-grades/</x:v>
      </x:c>
      <x:c r="W69" t="str">
        <x:v>Manufacturer-listed</x:v>
      </x:c>
      <x:c r="X69" t="str"/>
      <x:c r="Y69" t="str">
        <x:v>2026-10-10</x:v>
      </x:c>
    </x:row>
    <x:row r="70" ht="22" customHeight="1">
      <x:c r="A70" t="str">
        <x:v>OCTG-0069</x:v>
      </x:c>
      <x:c r="B70" t="str">
        <x:v>Tenaris</x:v>
      </x:c>
      <x:c r="C70" t="str">
        <x:v>Global / Italy</x:v>
      </x:c>
      <x:c r="D70" t="str">
        <x:v>P110-CY</x:v>
      </x:c>
      <x:c r="E70" t="str">
        <x:v>Proprietary grade</x:v>
      </x:c>
      <x:c r="F70" t="str">
        <x:v>API 5CT-based / manufacturer specification</x:v>
      </x:c>
      <x:c r="G70" t="str">
        <x:v>Carbon / low alloy</x:v>
      </x:c>
      <x:c r="H70" t="str">
        <x:v>Controlled yield / mild sour (depending on grade)</x:v>
      </x:c>
      <x:c r="I70" t="str">
        <x:v>Casing and tubing (verify sizes)</x:v>
      </x:c>
      <x:c r="J70" t="str">
        <x:v>Mild/limited sour: verify domain</x:v>
      </x:c>
      <x:c r="K70" t="str">
        <x:v>Corrosion control may be needed</x:v>
      </x:c>
      <x:c r="L70" t="str">
        <x:v>API / not stated</x:v>
      </x:c>
      <x:c r="M70" t="n">
        <x:v>110</x:v>
      </x:c>
      <x:c r="N70" t="str"/>
      <x:c r="O70" t="str"/>
      <x:c r="P70" t="str"/>
      <x:c r="Q70" t="str">
        <x:v>A · standard carbon</x:v>
      </x:c>
      <x:c r="R70"/>
      <x:c r="S70"/>
      <x:c r="T70" t="str">
        <x:v>RFQ required · no public supplier-specific quote</x:v>
      </x:c>
      <x:c r="U70"/>
      <x:c r="V70" t="str">
        <x:v>https://www.tenaris.com/en/products-and-services/octg/steel-grades/</x:v>
      </x:c>
      <x:c r="W70" t="str">
        <x:v>Manufacturer-listed</x:v>
      </x:c>
      <x:c r="X70" t="str"/>
      <x:c r="Y70" t="str">
        <x:v>2026-10-10</x:v>
      </x:c>
    </x:row>
    <x:row r="71" ht="22" customHeight="1">
      <x:c r="A71" t="str">
        <x:v>OCTG-0070</x:v>
      </x:c>
      <x:c r="B71" t="str">
        <x:v>Tenaris</x:v>
      </x:c>
      <x:c r="C71" t="str">
        <x:v>Global / Italy</x:v>
      </x:c>
      <x:c r="D71" t="str">
        <x:v>P110-CYE</x:v>
      </x:c>
      <x:c r="E71" t="str">
        <x:v>Proprietary grade</x:v>
      </x:c>
      <x:c r="F71" t="str">
        <x:v>API 5CT-based / manufacturer specification</x:v>
      </x:c>
      <x:c r="G71" t="str">
        <x:v>Carbon / low alloy</x:v>
      </x:c>
      <x:c r="H71" t="str">
        <x:v>Controlled yield / mild sour (depending on grade)</x:v>
      </x:c>
      <x:c r="I71" t="str">
        <x:v>Casing and tubing (verify sizes)</x:v>
      </x:c>
      <x:c r="J71" t="str">
        <x:v>Mild/limited sour: verify domain</x:v>
      </x:c>
      <x:c r="K71" t="str">
        <x:v>Corrosion control may be needed</x:v>
      </x:c>
      <x:c r="L71" t="str">
        <x:v>API / not stated</x:v>
      </x:c>
      <x:c r="M71" t="n">
        <x:v>110</x:v>
      </x:c>
      <x:c r="N71" t="str"/>
      <x:c r="O71" t="str"/>
      <x:c r="P71" t="str"/>
      <x:c r="Q71" t="str">
        <x:v>A · standard carbon</x:v>
      </x:c>
      <x:c r="R71"/>
      <x:c r="S71"/>
      <x:c r="T71" t="str">
        <x:v>RFQ required · no public supplier-specific quote</x:v>
      </x:c>
      <x:c r="U71"/>
      <x:c r="V71" t="str">
        <x:v>https://www.tenaris.com/en/products-and-services/octg/steel-grades/</x:v>
      </x:c>
      <x:c r="W71" t="str">
        <x:v>Manufacturer-listed</x:v>
      </x:c>
      <x:c r="X71" t="str"/>
      <x:c r="Y71" t="str">
        <x:v>2026-10-10</x:v>
      </x:c>
    </x:row>
    <x:row r="72" ht="22" customHeight="1">
      <x:c r="A72" t="str">
        <x:v>OCTG-0071</x:v>
      </x:c>
      <x:c r="B72" t="str">
        <x:v>Tenaris</x:v>
      </x:c>
      <x:c r="C72" t="str">
        <x:v>Global / Italy</x:v>
      </x:c>
      <x:c r="D72" t="str">
        <x:v>P110-EY</x:v>
      </x:c>
      <x:c r="E72" t="str">
        <x:v>Proprietary grade</x:v>
      </x:c>
      <x:c r="F72" t="str">
        <x:v>API 5CT-based / manufacturer specification</x:v>
      </x:c>
      <x:c r="G72" t="str">
        <x:v>Carbon / low alloy</x:v>
      </x:c>
      <x:c r="H72" t="str">
        <x:v>Enhanced yield/controlled mechanical properties</x:v>
      </x:c>
      <x:c r="I72" t="str">
        <x:v>Casing and tubing (verify sizes)</x:v>
      </x:c>
      <x:c r="J72" t="str">
        <x:v>Not established by grade name</x:v>
      </x:c>
      <x:c r="K72" t="str">
        <x:v>Corrosion control may be needed</x:v>
      </x:c>
      <x:c r="L72" t="str">
        <x:v>API / not stated</x:v>
      </x:c>
      <x:c r="M72" t="n">
        <x:v>110</x:v>
      </x:c>
      <x:c r="N72" t="str"/>
      <x:c r="O72" t="str"/>
      <x:c r="P72" t="str"/>
      <x:c r="Q72" t="str">
        <x:v>A · standard carbon</x:v>
      </x:c>
      <x:c r="R72"/>
      <x:c r="S72"/>
      <x:c r="T72" t="str">
        <x:v>RFQ required · no public supplier-specific quote</x:v>
      </x:c>
      <x:c r="U72"/>
      <x:c r="V72" t="str">
        <x:v>https://www.tenaris.com/en/products-and-services/octg/steel-grades/</x:v>
      </x:c>
      <x:c r="W72" t="str">
        <x:v>Manufacturer-listed</x:v>
      </x:c>
      <x:c r="X72" t="str"/>
      <x:c r="Y72" t="str">
        <x:v>2026-10-10</x:v>
      </x:c>
    </x:row>
    <x:row r="73" ht="22" customHeight="1">
      <x:c r="A73" t="str">
        <x:v>OCTG-0072</x:v>
      </x:c>
      <x:c r="B73" t="str">
        <x:v>Tenaris</x:v>
      </x:c>
      <x:c r="C73" t="str">
        <x:v>Global / Italy</x:v>
      </x:c>
      <x:c r="D73" t="str">
        <x:v>P110-IC</x:v>
      </x:c>
      <x:c r="E73" t="str">
        <x:v>Proprietary grade</x:v>
      </x:c>
      <x:c r="F73" t="str">
        <x:v>API 5CT-based / manufacturer specification</x:v>
      </x:c>
      <x:c r="G73" t="str">
        <x:v>Carbon / low alloy</x:v>
      </x:c>
      <x:c r="H73" t="str">
        <x:v>Improved collapse</x:v>
      </x:c>
      <x:c r="I73" t="str">
        <x:v>Casing and tubing (verify sizes)</x:v>
      </x:c>
      <x:c r="J73" t="str">
        <x:v>Not established by grade name</x:v>
      </x:c>
      <x:c r="K73" t="str">
        <x:v>Corrosion control may be needed</x:v>
      </x:c>
      <x:c r="L73" t="str">
        <x:v>Enhanced</x:v>
      </x:c>
      <x:c r="M73" t="n">
        <x:v>110</x:v>
      </x:c>
      <x:c r="N73" t="str"/>
      <x:c r="O73" t="str"/>
      <x:c r="P73" t="str"/>
      <x:c r="Q73" t="str">
        <x:v>A · standard carbon</x:v>
      </x:c>
      <x:c r="R73"/>
      <x:c r="S73"/>
      <x:c r="T73" t="str">
        <x:v>RFQ required · no public supplier-specific quote</x:v>
      </x:c>
      <x:c r="U73"/>
      <x:c r="V73" t="str">
        <x:v>https://www.tenaris.com/en/products-and-services/octg/steel-grades/</x:v>
      </x:c>
      <x:c r="W73" t="str">
        <x:v>Manufacturer-listed</x:v>
      </x:c>
      <x:c r="X73" t="str"/>
      <x:c r="Y73" t="str">
        <x:v>2026-10-10</x:v>
      </x:c>
    </x:row>
    <x:row r="74" ht="22" customHeight="1">
      <x:c r="A74" t="str">
        <x:v>OCTG-0073</x:v>
      </x:c>
      <x:c r="B74" t="str">
        <x:v>Tenaris</x:v>
      </x:c>
      <x:c r="C74" t="str">
        <x:v>Global / Italy</x:v>
      </x:c>
      <x:c r="D74" t="str">
        <x:v>P110-ICY</x:v>
      </x:c>
      <x:c r="E74" t="str">
        <x:v>Proprietary grade</x:v>
      </x:c>
      <x:c r="F74" t="str">
        <x:v>API 5CT-based / manufacturer specification</x:v>
      </x:c>
      <x:c r="G74" t="str">
        <x:v>Carbon / low alloy</x:v>
      </x:c>
      <x:c r="H74" t="str">
        <x:v>Improved collapse</x:v>
      </x:c>
      <x:c r="I74" t="str">
        <x:v>Casing and tubing (verify sizes)</x:v>
      </x:c>
      <x:c r="J74" t="str">
        <x:v>Not established by grade name</x:v>
      </x:c>
      <x:c r="K74" t="str">
        <x:v>Corrosion control may be needed</x:v>
      </x:c>
      <x:c r="L74" t="str">
        <x:v>Enhanced</x:v>
      </x:c>
      <x:c r="M74" t="n">
        <x:v>110</x:v>
      </x:c>
      <x:c r="N74" t="str"/>
      <x:c r="O74" t="str"/>
      <x:c r="P74" t="str"/>
      <x:c r="Q74" t="str">
        <x:v>A · standard carbon</x:v>
      </x:c>
      <x:c r="R74"/>
      <x:c r="S74"/>
      <x:c r="T74" t="str">
        <x:v>RFQ required · no public supplier-specific quote</x:v>
      </x:c>
      <x:c r="U74"/>
      <x:c r="V74" t="str">
        <x:v>https://www.tenaris.com/en/products-and-services/octg/steel-grades/</x:v>
      </x:c>
      <x:c r="W74" t="str">
        <x:v>Manufacturer-listed</x:v>
      </x:c>
      <x:c r="X74" t="str"/>
      <x:c r="Y74" t="str">
        <x:v>2026-10-10</x:v>
      </x:c>
    </x:row>
    <x:row r="75" ht="22" customHeight="1">
      <x:c r="A75" t="str">
        <x:v>OCTG-0074</x:v>
      </x:c>
      <x:c r="B75" t="str">
        <x:v>Tenaris</x:v>
      </x:c>
      <x:c r="C75" t="str">
        <x:v>Global / Italy</x:v>
      </x:c>
      <x:c r="D75" t="str">
        <x:v>P110-S</x:v>
      </x:c>
      <x:c r="E75" t="str">
        <x:v>Proprietary grade</x:v>
      </x:c>
      <x:c r="F75" t="str">
        <x:v>API 5CT-based / manufacturer specification</x:v>
      </x:c>
      <x:c r="G75" t="str">
        <x:v>Carbon / low alloy</x:v>
      </x:c>
      <x:c r="H75" t="str">
        <x:v>Controlled yield / mild sour (depending on grade)</x:v>
      </x:c>
      <x:c r="I75" t="str">
        <x:v>Casing and tubing (verify sizes)</x:v>
      </x:c>
      <x:c r="J75" t="str">
        <x:v>Mild/limited sour: verify domain</x:v>
      </x:c>
      <x:c r="K75" t="str">
        <x:v>Corrosion control may be needed</x:v>
      </x:c>
      <x:c r="L75" t="str">
        <x:v>API / not stated</x:v>
      </x:c>
      <x:c r="M75" t="n">
        <x:v>110</x:v>
      </x:c>
      <x:c r="N75" t="str"/>
      <x:c r="O75" t="str"/>
      <x:c r="P75" t="str"/>
      <x:c r="Q75" t="str">
        <x:v>A · standard carbon</x:v>
      </x:c>
      <x:c r="R75"/>
      <x:c r="S75"/>
      <x:c r="T75" t="str">
        <x:v>RFQ required · no public supplier-specific quote</x:v>
      </x:c>
      <x:c r="U75"/>
      <x:c r="V75" t="str">
        <x:v>https://www.tenaris.com/en/products-and-services/octg/steel-grades/</x:v>
      </x:c>
      <x:c r="W75" t="str">
        <x:v>Manufacturer-listed</x:v>
      </x:c>
      <x:c r="X75" t="str"/>
      <x:c r="Y75" t="str">
        <x:v>2026-10-10</x:v>
      </x:c>
    </x:row>
    <x:row r="76" ht="22" customHeight="1">
      <x:c r="A76" t="str">
        <x:v>OCTG-0075</x:v>
      </x:c>
      <x:c r="B76" t="str">
        <x:v>Tenaris</x:v>
      </x:c>
      <x:c r="C76" t="str">
        <x:v>Global / Italy</x:v>
      </x:c>
      <x:c r="D76" t="str">
        <x:v>Q125-EY</x:v>
      </x:c>
      <x:c r="E76" t="str">
        <x:v>Proprietary grade</x:v>
      </x:c>
      <x:c r="F76" t="str">
        <x:v>API 5CT-based / manufacturer specification</x:v>
      </x:c>
      <x:c r="G76" t="str">
        <x:v>Carbon / low alloy</x:v>
      </x:c>
      <x:c r="H76" t="str">
        <x:v>Enhanced yield/controlled mechanical properties</x:v>
      </x:c>
      <x:c r="I76" t="str">
        <x:v>Casing and tubing (verify sizes)</x:v>
      </x:c>
      <x:c r="J76" t="str">
        <x:v>Not established by grade name</x:v>
      </x:c>
      <x:c r="K76" t="str">
        <x:v>Corrosion control may be needed</x:v>
      </x:c>
      <x:c r="L76" t="str">
        <x:v>API / not stated</x:v>
      </x:c>
      <x:c r="M76" t="n">
        <x:v>125</x:v>
      </x:c>
      <x:c r="N76" t="str"/>
      <x:c r="O76" t="str"/>
      <x:c r="P76" t="str"/>
      <x:c r="Q76" t="str">
        <x:v>A · standard carbon</x:v>
      </x:c>
      <x:c r="R76"/>
      <x:c r="S76"/>
      <x:c r="T76" t="str">
        <x:v>RFQ required · no public supplier-specific quote</x:v>
      </x:c>
      <x:c r="U76"/>
      <x:c r="V76" t="str">
        <x:v>https://www.tenaris.com/en/products-and-services/octg/steel-grades/</x:v>
      </x:c>
      <x:c r="W76" t="str">
        <x:v>Manufacturer-listed</x:v>
      </x:c>
      <x:c r="X76" t="str"/>
      <x:c r="Y76" t="str">
        <x:v>2026-10-10</x:v>
      </x:c>
    </x:row>
    <x:row r="77" ht="22" customHeight="1">
      <x:c r="A77" t="str">
        <x:v>OCTG-0076</x:v>
      </x:c>
      <x:c r="B77" t="str">
        <x:v>Tenaris</x:v>
      </x:c>
      <x:c r="C77" t="str">
        <x:v>Global / Italy</x:v>
      </x:c>
      <x:c r="D77" t="str">
        <x:v>Q125-IC</x:v>
      </x:c>
      <x:c r="E77" t="str">
        <x:v>Proprietary grade</x:v>
      </x:c>
      <x:c r="F77" t="str">
        <x:v>API 5CT-based / manufacturer specification</x:v>
      </x:c>
      <x:c r="G77" t="str">
        <x:v>Carbon / low alloy</x:v>
      </x:c>
      <x:c r="H77" t="str">
        <x:v>Improved collapse</x:v>
      </x:c>
      <x:c r="I77" t="str">
        <x:v>Casing and tubing (verify sizes)</x:v>
      </x:c>
      <x:c r="J77" t="str">
        <x:v>Not established by grade name</x:v>
      </x:c>
      <x:c r="K77" t="str">
        <x:v>Corrosion control may be needed</x:v>
      </x:c>
      <x:c r="L77" t="str">
        <x:v>Enhanced</x:v>
      </x:c>
      <x:c r="M77" t="n">
        <x:v>125</x:v>
      </x:c>
      <x:c r="N77" t="str"/>
      <x:c r="O77" t="str"/>
      <x:c r="P77" t="str"/>
      <x:c r="Q77" t="str">
        <x:v>A · standard carbon</x:v>
      </x:c>
      <x:c r="R77"/>
      <x:c r="S77"/>
      <x:c r="T77" t="str">
        <x:v>RFQ required · no public supplier-specific quote</x:v>
      </x:c>
      <x:c r="U77"/>
      <x:c r="V77" t="str">
        <x:v>https://www.tenaris.com/en/products-and-services/octg/steel-grades/</x:v>
      </x:c>
      <x:c r="W77" t="str">
        <x:v>Manufacturer-listed</x:v>
      </x:c>
      <x:c r="X77" t="str"/>
      <x:c r="Y77" t="str">
        <x:v>2026-10-10</x:v>
      </x:c>
    </x:row>
    <x:row r="78" ht="22" customHeight="1">
      <x:c r="A78" t="str">
        <x:v>OCTG-0077</x:v>
      </x:c>
      <x:c r="B78" t="str">
        <x:v>Tenaris</x:v>
      </x:c>
      <x:c r="C78" t="str">
        <x:v>Global / Italy</x:v>
      </x:c>
      <x:c r="D78" t="str">
        <x:v>Q125-ICY</x:v>
      </x:c>
      <x:c r="E78" t="str">
        <x:v>Proprietary grade</x:v>
      </x:c>
      <x:c r="F78" t="str">
        <x:v>API 5CT-based / manufacturer specification</x:v>
      </x:c>
      <x:c r="G78" t="str">
        <x:v>Carbon / low alloy</x:v>
      </x:c>
      <x:c r="H78" t="str">
        <x:v>Improved collapse</x:v>
      </x:c>
      <x:c r="I78" t="str">
        <x:v>Casing and tubing (verify sizes)</x:v>
      </x:c>
      <x:c r="J78" t="str">
        <x:v>Not established by grade name</x:v>
      </x:c>
      <x:c r="K78" t="str">
        <x:v>Corrosion control may be needed</x:v>
      </x:c>
      <x:c r="L78" t="str">
        <x:v>Enhanced</x:v>
      </x:c>
      <x:c r="M78" t="n">
        <x:v>125</x:v>
      </x:c>
      <x:c r="N78" t="str"/>
      <x:c r="O78" t="str"/>
      <x:c r="P78" t="str"/>
      <x:c r="Q78" t="str">
        <x:v>A · standard carbon</x:v>
      </x:c>
      <x:c r="R78"/>
      <x:c r="S78"/>
      <x:c r="T78" t="str">
        <x:v>RFQ required · no public supplier-specific quote</x:v>
      </x:c>
      <x:c r="U78"/>
      <x:c r="V78" t="str">
        <x:v>https://www.tenaris.com/en/products-and-services/octg/steel-grades/</x:v>
      </x:c>
      <x:c r="W78" t="str">
        <x:v>Manufacturer-listed</x:v>
      </x:c>
      <x:c r="X78" t="str"/>
      <x:c r="Y78" t="str">
        <x:v>2026-10-10</x:v>
      </x:c>
    </x:row>
    <x:row r="79" ht="22" customHeight="1">
      <x:c r="A79" t="str">
        <x:v>OCTG-0078</x:v>
      </x:c>
      <x:c r="B79" t="str">
        <x:v>Tenaris</x:v>
      </x:c>
      <x:c r="C79" t="str">
        <x:v>Global / Italy</x:v>
      </x:c>
      <x:c r="D79" t="str">
        <x:v>T95-EY</x:v>
      </x:c>
      <x:c r="E79" t="str">
        <x:v>Proprietary grade</x:v>
      </x:c>
      <x:c r="F79" t="str">
        <x:v>API 5CT-based / manufacturer specification</x:v>
      </x:c>
      <x:c r="G79" t="str">
        <x:v>Carbon / low alloy</x:v>
      </x:c>
      <x:c r="H79" t="str">
        <x:v>Enhanced yield/controlled mechanical properties</x:v>
      </x:c>
      <x:c r="I79" t="str">
        <x:v>Casing and tubing (verify sizes)</x:v>
      </x:c>
      <x:c r="J79" t="str">
        <x:v>Not established by grade name</x:v>
      </x:c>
      <x:c r="K79" t="str">
        <x:v>Corrosion control may be needed</x:v>
      </x:c>
      <x:c r="L79" t="str">
        <x:v>API / not stated</x:v>
      </x:c>
      <x:c r="M79" t="n">
        <x:v>95</x:v>
      </x:c>
      <x:c r="N79" t="str"/>
      <x:c r="O79" t="str"/>
      <x:c r="P79" t="str"/>
      <x:c r="Q79" t="str">
        <x:v>A · standard carbon</x:v>
      </x:c>
      <x:c r="R79"/>
      <x:c r="S79"/>
      <x:c r="T79" t="str">
        <x:v>RFQ required · no public supplier-specific quote</x:v>
      </x:c>
      <x:c r="U79"/>
      <x:c r="V79" t="str">
        <x:v>https://www.tenaris.com/en/products-and-services/octg/steel-grades/</x:v>
      </x:c>
      <x:c r="W79" t="str">
        <x:v>Manufacturer-listed</x:v>
      </x:c>
      <x:c r="X79" t="str"/>
      <x:c r="Y79" t="str">
        <x:v>2026-10-10</x:v>
      </x:c>
    </x:row>
    <x:row r="80" ht="22" customHeight="1">
      <x:c r="A80" t="str">
        <x:v>OCTG-0079</x:v>
      </x:c>
      <x:c r="B80" t="str">
        <x:v>Tenaris</x:v>
      </x:c>
      <x:c r="C80" t="str">
        <x:v>Global / Italy</x:v>
      </x:c>
      <x:c r="D80" t="str">
        <x:v>T95-IC</x:v>
      </x:c>
      <x:c r="E80" t="str">
        <x:v>Proprietary grade</x:v>
      </x:c>
      <x:c r="F80" t="str">
        <x:v>API 5CT-based / manufacturer specification</x:v>
      </x:c>
      <x:c r="G80" t="str">
        <x:v>Carbon / low alloy</x:v>
      </x:c>
      <x:c r="H80" t="str">
        <x:v>Improved collapse</x:v>
      </x:c>
      <x:c r="I80" t="str">
        <x:v>Casing and tubing (verify sizes)</x:v>
      </x:c>
      <x:c r="J80" t="str">
        <x:v>Not established by grade name</x:v>
      </x:c>
      <x:c r="K80" t="str">
        <x:v>Corrosion control may be needed</x:v>
      </x:c>
      <x:c r="L80" t="str">
        <x:v>Enhanced</x:v>
      </x:c>
      <x:c r="M80" t="n">
        <x:v>95</x:v>
      </x:c>
      <x:c r="N80" t="str"/>
      <x:c r="O80" t="str"/>
      <x:c r="P80" t="str"/>
      <x:c r="Q80" t="str">
        <x:v>A · standard carbon</x:v>
      </x:c>
      <x:c r="R80"/>
      <x:c r="S80"/>
      <x:c r="T80" t="str">
        <x:v>RFQ required · no public supplier-specific quote</x:v>
      </x:c>
      <x:c r="U80"/>
      <x:c r="V80" t="str">
        <x:v>https://www.tenaris.com/en/products-and-services/octg/steel-grades/</x:v>
      </x:c>
      <x:c r="W80" t="str">
        <x:v>Manufacturer-listed</x:v>
      </x:c>
      <x:c r="X80" t="str"/>
      <x:c r="Y80" t="str">
        <x:v>2026-10-10</x:v>
      </x:c>
    </x:row>
    <x:row r="81" ht="22" customHeight="1">
      <x:c r="A81" t="str">
        <x:v>OCTG-0080</x:v>
      </x:c>
      <x:c r="B81" t="str">
        <x:v>Tenaris</x:v>
      </x:c>
      <x:c r="C81" t="str">
        <x:v>Global / Italy</x:v>
      </x:c>
      <x:c r="D81" t="str">
        <x:v>T95-ICY</x:v>
      </x:c>
      <x:c r="E81" t="str">
        <x:v>Proprietary grade</x:v>
      </x:c>
      <x:c r="F81" t="str">
        <x:v>API 5CT-based / manufacturer specification</x:v>
      </x:c>
      <x:c r="G81" t="str">
        <x:v>Carbon / low alloy</x:v>
      </x:c>
      <x:c r="H81" t="str">
        <x:v>Improved collapse</x:v>
      </x:c>
      <x:c r="I81" t="str">
        <x:v>Casing and tubing (verify sizes)</x:v>
      </x:c>
      <x:c r="J81" t="str">
        <x:v>Not established by grade name</x:v>
      </x:c>
      <x:c r="K81" t="str">
        <x:v>Corrosion control may be needed</x:v>
      </x:c>
      <x:c r="L81" t="str">
        <x:v>Enhanced</x:v>
      </x:c>
      <x:c r="M81" t="n">
        <x:v>95</x:v>
      </x:c>
      <x:c r="N81" t="str"/>
      <x:c r="O81" t="str"/>
      <x:c r="P81" t="str"/>
      <x:c r="Q81" t="str">
        <x:v>A · standard carbon</x:v>
      </x:c>
      <x:c r="R81"/>
      <x:c r="S81"/>
      <x:c r="T81" t="str">
        <x:v>RFQ required · no public supplier-specific quote</x:v>
      </x:c>
      <x:c r="U81"/>
      <x:c r="V81" t="str">
        <x:v>https://www.tenaris.com/en/products-and-services/octg/steel-grades/</x:v>
      </x:c>
      <x:c r="W81" t="str">
        <x:v>Manufacturer-listed</x:v>
      </x:c>
      <x:c r="X81" t="str"/>
      <x:c r="Y81" t="str">
        <x:v>2026-10-10</x:v>
      </x:c>
    </x:row>
    <x:row r="82" ht="22" customHeight="1">
      <x:c r="A82" t="str">
        <x:v>OCTG-0081</x:v>
      </x:c>
      <x:c r="B82" t="str">
        <x:v>Tenaris</x:v>
      </x:c>
      <x:c r="C82" t="str">
        <x:v>Global / Italy</x:v>
      </x:c>
      <x:c r="D82" t="str">
        <x:v>TN 100HS</x:v>
      </x:c>
      <x:c r="E82" t="str">
        <x:v>Proprietary grade</x:v>
      </x:c>
      <x:c r="F82" t="str">
        <x:v>API 5CT-based / manufacturer specification</x:v>
      </x:c>
      <x:c r="G82" t="str">
        <x:v>Carbon / low alloy</x:v>
      </x:c>
      <x:c r="H82" t="str">
        <x:v>Sour service (manufacturer qualified domain)</x:v>
      </x:c>
      <x:c r="I82" t="str">
        <x:v>Casing and tubing (verify sizes)</x:v>
      </x:c>
      <x:c r="J82" t="str">
        <x:v>Sour service: manufacturer-defined limits</x:v>
      </x:c>
      <x:c r="K82" t="str">
        <x:v>Corrosion control may be needed</x:v>
      </x:c>
      <x:c r="L82" t="str">
        <x:v>API / not stated</x:v>
      </x:c>
      <x:c r="M82" t="n">
        <x:v>100</x:v>
      </x:c>
      <x:c r="N82" t="str"/>
      <x:c r="O82" t="str"/>
      <x:c r="P82" t="str"/>
      <x:c r="Q82" t="str">
        <x:v>A · standard carbon</x:v>
      </x:c>
      <x:c r="R82"/>
      <x:c r="S82"/>
      <x:c r="T82" t="str">
        <x:v>RFQ required · no public supplier-specific quote</x:v>
      </x:c>
      <x:c r="U82"/>
      <x:c r="V82" t="str">
        <x:v>https://www.tenaris.com/en/products-and-services/octg/steel-grades/</x:v>
      </x:c>
      <x:c r="W82" t="str">
        <x:v>Manufacturer-listed</x:v>
      </x:c>
      <x:c r="X82" t="str"/>
      <x:c r="Y82" t="str">
        <x:v>2026-10-10</x:v>
      </x:c>
    </x:row>
    <x:row r="83" ht="22" customHeight="1">
      <x:c r="A83" t="str">
        <x:v>OCTG-0082</x:v>
      </x:c>
      <x:c r="B83" t="str">
        <x:v>Tenaris</x:v>
      </x:c>
      <x:c r="C83" t="str">
        <x:v>Global / Italy</x:v>
      </x:c>
      <x:c r="D83" t="str">
        <x:v>TN 100SS</x:v>
      </x:c>
      <x:c r="E83" t="str">
        <x:v>Proprietary grade</x:v>
      </x:c>
      <x:c r="F83" t="str">
        <x:v>API 5CT-based / manufacturer specification</x:v>
      </x:c>
      <x:c r="G83" t="str">
        <x:v>Carbon / low alloy</x:v>
      </x:c>
      <x:c r="H83" t="str">
        <x:v>Sour service (manufacturer qualified domain)</x:v>
      </x:c>
      <x:c r="I83" t="str">
        <x:v>Casing and tubing (verify sizes)</x:v>
      </x:c>
      <x:c r="J83" t="str">
        <x:v>Sour service: manufacturer-defined limits</x:v>
      </x:c>
      <x:c r="K83" t="str">
        <x:v>Corrosion control may be needed</x:v>
      </x:c>
      <x:c r="L83" t="str">
        <x:v>API / not stated</x:v>
      </x:c>
      <x:c r="M83" t="n">
        <x:v>100</x:v>
      </x:c>
      <x:c r="N83" t="str"/>
      <x:c r="O83" t="str"/>
      <x:c r="P83" t="str"/>
      <x:c r="Q83" t="str">
        <x:v>A · standard carbon</x:v>
      </x:c>
      <x:c r="R83"/>
      <x:c r="S83"/>
      <x:c r="T83" t="str">
        <x:v>RFQ required · no public supplier-specific quote</x:v>
      </x:c>
      <x:c r="U83"/>
      <x:c r="V83" t="str">
        <x:v>https://www.tenaris.com/en/products-and-services/octg/steel-grades/</x:v>
      </x:c>
      <x:c r="W83" t="str">
        <x:v>Manufacturer-listed</x:v>
      </x:c>
      <x:c r="X83" t="str"/>
      <x:c r="Y83" t="str">
        <x:v>2026-10-10</x:v>
      </x:c>
    </x:row>
    <x:row r="84" ht="22" customHeight="1">
      <x:c r="A84" t="str">
        <x:v>OCTG-0083</x:v>
      </x:c>
      <x:c r="B84" t="str">
        <x:v>Tenaris</x:v>
      </x:c>
      <x:c r="C84" t="str">
        <x:v>Global / Italy</x:v>
      </x:c>
      <x:c r="D84" t="str">
        <x:v>TN 110HC</x:v>
      </x:c>
      <x:c r="E84" t="str">
        <x:v>Proprietary grade</x:v>
      </x:c>
      <x:c r="F84" t="str">
        <x:v>API 5CT-based / manufacturer specification</x:v>
      </x:c>
      <x:c r="G84" t="str">
        <x:v>Carbon / low alloy</x:v>
      </x:c>
      <x:c r="H84" t="str">
        <x:v>High collapse / external pressure</x:v>
      </x:c>
      <x:c r="I84" t="str">
        <x:v>Casing and tubing (verify sizes)</x:v>
      </x:c>
      <x:c r="J84" t="str">
        <x:v>Not established by grade name</x:v>
      </x:c>
      <x:c r="K84" t="str">
        <x:v>Corrosion control may be needed</x:v>
      </x:c>
      <x:c r="L84" t="str">
        <x:v>Enhanced</x:v>
      </x:c>
      <x:c r="M84" t="n">
        <x:v>110</x:v>
      </x:c>
      <x:c r="N84" t="str"/>
      <x:c r="O84" t="str"/>
      <x:c r="P84" t="str"/>
      <x:c r="Q84" t="str">
        <x:v>A · standard carbon</x:v>
      </x:c>
      <x:c r="R84"/>
      <x:c r="S84"/>
      <x:c r="T84" t="str">
        <x:v>RFQ required · no public supplier-specific quote</x:v>
      </x:c>
      <x:c r="U84"/>
      <x:c r="V84" t="str">
        <x:v>https://www.tenaris.com/en/products-and-services/octg/steel-grades/</x:v>
      </x:c>
      <x:c r="W84" t="str">
        <x:v>Manufacturer-listed</x:v>
      </x:c>
      <x:c r="X84" t="str"/>
      <x:c r="Y84" t="str">
        <x:v>2026-10-10</x:v>
      </x:c>
    </x:row>
    <x:row r="85" ht="22" customHeight="1">
      <x:c r="A85" t="str">
        <x:v>OCTG-0084</x:v>
      </x:c>
      <x:c r="B85" t="str">
        <x:v>Tenaris</x:v>
      </x:c>
      <x:c r="C85" t="str">
        <x:v>Global / Italy</x:v>
      </x:c>
      <x:c r="D85" t="str">
        <x:v>TN 110HCY</x:v>
      </x:c>
      <x:c r="E85" t="str">
        <x:v>Proprietary grade</x:v>
      </x:c>
      <x:c r="F85" t="str">
        <x:v>API 5CT-based / manufacturer specification</x:v>
      </x:c>
      <x:c r="G85" t="str">
        <x:v>Carbon / low alloy</x:v>
      </x:c>
      <x:c r="H85" t="str">
        <x:v>High collapse / external pressure</x:v>
      </x:c>
      <x:c r="I85" t="str">
        <x:v>Casing and tubing (verify sizes)</x:v>
      </x:c>
      <x:c r="J85" t="str">
        <x:v>Not established by grade name</x:v>
      </x:c>
      <x:c r="K85" t="str">
        <x:v>Corrosion control may be needed</x:v>
      </x:c>
      <x:c r="L85" t="str">
        <x:v>Enhanced</x:v>
      </x:c>
      <x:c r="M85" t="n">
        <x:v>110</x:v>
      </x:c>
      <x:c r="N85" t="str"/>
      <x:c r="O85" t="str"/>
      <x:c r="P85" t="str"/>
      <x:c r="Q85" t="str">
        <x:v>A · standard carbon</x:v>
      </x:c>
      <x:c r="R85"/>
      <x:c r="S85"/>
      <x:c r="T85" t="str">
        <x:v>RFQ required · no public supplier-specific quote</x:v>
      </x:c>
      <x:c r="U85"/>
      <x:c r="V85" t="str">
        <x:v>https://www.tenaris.com/en/products-and-services/octg/steel-grades/</x:v>
      </x:c>
      <x:c r="W85" t="str">
        <x:v>Manufacturer-listed</x:v>
      </x:c>
      <x:c r="X85" t="str"/>
      <x:c r="Y85" t="str">
        <x:v>2026-10-10</x:v>
      </x:c>
    </x:row>
    <x:row r="86" ht="22" customHeight="1">
      <x:c r="A86" t="str">
        <x:v>OCTG-0085</x:v>
      </x:c>
      <x:c r="B86" t="str">
        <x:v>Tenaris</x:v>
      </x:c>
      <x:c r="C86" t="str">
        <x:v>Global / Italy</x:v>
      </x:c>
      <x:c r="D86" t="str">
        <x:v>TN 110HS</x:v>
      </x:c>
      <x:c r="E86" t="str">
        <x:v>Proprietary grade</x:v>
      </x:c>
      <x:c r="F86" t="str">
        <x:v>API 5CT-based / manufacturer specification</x:v>
      </x:c>
      <x:c r="G86" t="str">
        <x:v>Carbon / low alloy</x:v>
      </x:c>
      <x:c r="H86" t="str">
        <x:v>Sour service (manufacturer qualified domain)</x:v>
      </x:c>
      <x:c r="I86" t="str">
        <x:v>Casing and tubing (verify sizes)</x:v>
      </x:c>
      <x:c r="J86" t="str">
        <x:v>Sour service: manufacturer-defined limits</x:v>
      </x:c>
      <x:c r="K86" t="str">
        <x:v>Corrosion control may be needed</x:v>
      </x:c>
      <x:c r="L86" t="str">
        <x:v>API / not stated</x:v>
      </x:c>
      <x:c r="M86" t="n">
        <x:v>110</x:v>
      </x:c>
      <x:c r="N86" t="str"/>
      <x:c r="O86" t="str"/>
      <x:c r="P86" t="str"/>
      <x:c r="Q86" t="str">
        <x:v>A · standard carbon</x:v>
      </x:c>
      <x:c r="R86"/>
      <x:c r="S86"/>
      <x:c r="T86" t="str">
        <x:v>RFQ required · no public supplier-specific quote</x:v>
      </x:c>
      <x:c r="U86"/>
      <x:c r="V86" t="str">
        <x:v>https://www.tenaris.com/en/products-and-services/octg/steel-grades/</x:v>
      </x:c>
      <x:c r="W86" t="str">
        <x:v>Manufacturer-listed</x:v>
      </x:c>
      <x:c r="X86" t="str"/>
      <x:c r="Y86" t="str">
        <x:v>2026-10-10</x:v>
      </x:c>
    </x:row>
    <x:row r="87" ht="22" customHeight="1">
      <x:c r="A87" t="str">
        <x:v>OCTG-0086</x:v>
      </x:c>
      <x:c r="B87" t="str">
        <x:v>Tenaris</x:v>
      </x:c>
      <x:c r="C87" t="str">
        <x:v>Global / Italy</x:v>
      </x:c>
      <x:c r="D87" t="str">
        <x:v>TN 110LT</x:v>
      </x:c>
      <x:c r="E87" t="str">
        <x:v>Proprietary grade</x:v>
      </x:c>
      <x:c r="F87" t="str">
        <x:v>API 5CT-based / manufacturer specification</x:v>
      </x:c>
      <x:c r="G87" t="str">
        <x:v>Carbon / low alloy</x:v>
      </x:c>
      <x:c r="H87" t="str">
        <x:v>Low temperature / toughness grade</x:v>
      </x:c>
      <x:c r="I87" t="str">
        <x:v>Casing and tubing (verify sizes)</x:v>
      </x:c>
      <x:c r="J87" t="str">
        <x:v>Not established by grade name</x:v>
      </x:c>
      <x:c r="K87" t="str">
        <x:v>Corrosion control may be needed</x:v>
      </x:c>
      <x:c r="L87" t="str">
        <x:v>API / not stated</x:v>
      </x:c>
      <x:c r="M87" t="n">
        <x:v>110</x:v>
      </x:c>
      <x:c r="N87" t="str"/>
      <x:c r="O87" t="str"/>
      <x:c r="P87" t="str"/>
      <x:c r="Q87" t="str">
        <x:v>A · standard carbon</x:v>
      </x:c>
      <x:c r="R87"/>
      <x:c r="S87"/>
      <x:c r="T87" t="str">
        <x:v>RFQ required · no public supplier-specific quote</x:v>
      </x:c>
      <x:c r="U87"/>
      <x:c r="V87" t="str">
        <x:v>https://www.tenaris.com/en/products-and-services/octg/steel-grades/</x:v>
      </x:c>
      <x:c r="W87" t="str">
        <x:v>Manufacturer-listed</x:v>
      </x:c>
      <x:c r="X87" t="str"/>
      <x:c r="Y87" t="str">
        <x:v>2026-10-10</x:v>
      </x:c>
    </x:row>
    <x:row r="88" ht="22" customHeight="1">
      <x:c r="A88" t="str">
        <x:v>OCTG-0087</x:v>
      </x:c>
      <x:c r="B88" t="str">
        <x:v>Tenaris</x:v>
      </x:c>
      <x:c r="C88" t="str">
        <x:v>Global / Italy</x:v>
      </x:c>
      <x:c r="D88" t="str">
        <x:v>TN 110S</x:v>
      </x:c>
      <x:c r="E88" t="str">
        <x:v>Proprietary grade</x:v>
      </x:c>
      <x:c r="F88" t="str">
        <x:v>API 5CT-based / manufacturer specification</x:v>
      </x:c>
      <x:c r="G88" t="str">
        <x:v>Carbon / low alloy</x:v>
      </x:c>
      <x:c r="H88" t="str">
        <x:v>Controlled yield / mild sour (depending on grade)</x:v>
      </x:c>
      <x:c r="I88" t="str">
        <x:v>Casing and tubing (verify sizes)</x:v>
      </x:c>
      <x:c r="J88" t="str">
        <x:v>Mild/limited sour: verify domain</x:v>
      </x:c>
      <x:c r="K88" t="str">
        <x:v>Corrosion control may be needed</x:v>
      </x:c>
      <x:c r="L88" t="str">
        <x:v>API / not stated</x:v>
      </x:c>
      <x:c r="M88" t="n">
        <x:v>110</x:v>
      </x:c>
      <x:c r="N88" t="str"/>
      <x:c r="O88" t="str"/>
      <x:c r="P88" t="str"/>
      <x:c r="Q88" t="str">
        <x:v>A · standard carbon</x:v>
      </x:c>
      <x:c r="R88"/>
      <x:c r="S88"/>
      <x:c r="T88" t="str">
        <x:v>RFQ required · no public supplier-specific quote</x:v>
      </x:c>
      <x:c r="U88"/>
      <x:c r="V88" t="str">
        <x:v>https://www.tenaris.com/en/products-and-services/octg/steel-grades/</x:v>
      </x:c>
      <x:c r="W88" t="str">
        <x:v>Manufacturer-listed</x:v>
      </x:c>
      <x:c r="X88" t="str"/>
      <x:c r="Y88" t="str">
        <x:v>2026-10-10</x:v>
      </x:c>
    </x:row>
    <x:row r="89" ht="22" customHeight="1">
      <x:c r="A89" t="str">
        <x:v>OCTG-0088</x:v>
      </x:c>
      <x:c r="B89" t="str">
        <x:v>Tenaris</x:v>
      </x:c>
      <x:c r="C89" t="str">
        <x:v>Global / Italy</x:v>
      </x:c>
      <x:c r="D89" t="str">
        <x:v>TN 110SS</x:v>
      </x:c>
      <x:c r="E89" t="str">
        <x:v>Proprietary grade</x:v>
      </x:c>
      <x:c r="F89" t="str">
        <x:v>API 5CT-based / manufacturer specification</x:v>
      </x:c>
      <x:c r="G89" t="str">
        <x:v>Carbon / low alloy</x:v>
      </x:c>
      <x:c r="H89" t="str">
        <x:v>Sour service (manufacturer qualified domain)</x:v>
      </x:c>
      <x:c r="I89" t="str">
        <x:v>Casing and tubing (verify sizes)</x:v>
      </x:c>
      <x:c r="J89" t="str">
        <x:v>Sour service: manufacturer-defined limits</x:v>
      </x:c>
      <x:c r="K89" t="str">
        <x:v>Corrosion control may be needed</x:v>
      </x:c>
      <x:c r="L89" t="str">
        <x:v>API / not stated</x:v>
      </x:c>
      <x:c r="M89" t="n">
        <x:v>110</x:v>
      </x:c>
      <x:c r="N89" t="str"/>
      <x:c r="O89" t="str"/>
      <x:c r="P89" t="str"/>
      <x:c r="Q89" t="str">
        <x:v>A · standard carbon</x:v>
      </x:c>
      <x:c r="R89"/>
      <x:c r="S89"/>
      <x:c r="T89" t="str">
        <x:v>RFQ required · no public supplier-specific quote</x:v>
      </x:c>
      <x:c r="U89"/>
      <x:c r="V89" t="str">
        <x:v>https://www.tenaris.com/en/products-and-services/octg/steel-grades/</x:v>
      </x:c>
      <x:c r="W89" t="str">
        <x:v>Manufacturer-listed</x:v>
      </x:c>
      <x:c r="X89" t="str"/>
      <x:c r="Y89" t="str">
        <x:v>2026-10-10</x:v>
      </x:c>
    </x:row>
    <x:row r="90" ht="22" customHeight="1">
      <x:c r="A90" t="str">
        <x:v>OCTG-0089</x:v>
      </x:c>
      <x:c r="B90" t="str">
        <x:v>Tenaris</x:v>
      </x:c>
      <x:c r="C90" t="str">
        <x:v>Global / Italy</x:v>
      </x:c>
      <x:c r="D90" t="str">
        <x:v>TN 125HC</x:v>
      </x:c>
      <x:c r="E90" t="str">
        <x:v>Proprietary grade</x:v>
      </x:c>
      <x:c r="F90" t="str">
        <x:v>API 5CT-based / manufacturer specification</x:v>
      </x:c>
      <x:c r="G90" t="str">
        <x:v>Carbon / low alloy</x:v>
      </x:c>
      <x:c r="H90" t="str">
        <x:v>High collapse / external pressure</x:v>
      </x:c>
      <x:c r="I90" t="str">
        <x:v>Casing and tubing (verify sizes)</x:v>
      </x:c>
      <x:c r="J90" t="str">
        <x:v>Not established by grade name</x:v>
      </x:c>
      <x:c r="K90" t="str">
        <x:v>Corrosion control may be needed</x:v>
      </x:c>
      <x:c r="L90" t="str">
        <x:v>Enhanced</x:v>
      </x:c>
      <x:c r="M90" t="n">
        <x:v>125</x:v>
      </x:c>
      <x:c r="N90" t="str"/>
      <x:c r="O90" t="str"/>
      <x:c r="P90" t="str"/>
      <x:c r="Q90" t="str">
        <x:v>A · standard carbon</x:v>
      </x:c>
      <x:c r="R90"/>
      <x:c r="S90"/>
      <x:c r="T90" t="str">
        <x:v>RFQ required · no public supplier-specific quote</x:v>
      </x:c>
      <x:c r="U90"/>
      <x:c r="V90" t="str">
        <x:v>https://www.tenaris.com/en/products-and-services/octg/steel-grades/</x:v>
      </x:c>
      <x:c r="W90" t="str">
        <x:v>Manufacturer-listed</x:v>
      </x:c>
      <x:c r="X90" t="str"/>
      <x:c r="Y90" t="str">
        <x:v>2026-10-10</x:v>
      </x:c>
    </x:row>
    <x:row r="91" ht="22" customHeight="1">
      <x:c r="A91" t="str">
        <x:v>OCTG-0090</x:v>
      </x:c>
      <x:c r="B91" t="str">
        <x:v>Tenaris</x:v>
      </x:c>
      <x:c r="C91" t="str">
        <x:v>Global / Italy</x:v>
      </x:c>
      <x:c r="D91" t="str">
        <x:v>TN 125HCY</x:v>
      </x:c>
      <x:c r="E91" t="str">
        <x:v>Proprietary grade</x:v>
      </x:c>
      <x:c r="F91" t="str">
        <x:v>API 5CT-based / manufacturer specification</x:v>
      </x:c>
      <x:c r="G91" t="str">
        <x:v>Carbon / low alloy</x:v>
      </x:c>
      <x:c r="H91" t="str">
        <x:v>High collapse / external pressure</x:v>
      </x:c>
      <x:c r="I91" t="str">
        <x:v>Casing and tubing (verify sizes)</x:v>
      </x:c>
      <x:c r="J91" t="str">
        <x:v>Not established by grade name</x:v>
      </x:c>
      <x:c r="K91" t="str">
        <x:v>Corrosion control may be needed</x:v>
      </x:c>
      <x:c r="L91" t="str">
        <x:v>Enhanced</x:v>
      </x:c>
      <x:c r="M91" t="n">
        <x:v>125</x:v>
      </x:c>
      <x:c r="N91" t="str"/>
      <x:c r="O91" t="str"/>
      <x:c r="P91" t="str"/>
      <x:c r="Q91" t="str">
        <x:v>A · standard carbon</x:v>
      </x:c>
      <x:c r="R91"/>
      <x:c r="S91"/>
      <x:c r="T91" t="str">
        <x:v>RFQ required · no public supplier-specific quote</x:v>
      </x:c>
      <x:c r="U91"/>
      <x:c r="V91" t="str">
        <x:v>https://www.tenaris.com/en/products-and-services/octg/steel-grades/</x:v>
      </x:c>
      <x:c r="W91" t="str">
        <x:v>Manufacturer-listed</x:v>
      </x:c>
      <x:c r="X91" t="str"/>
      <x:c r="Y91" t="str">
        <x:v>2026-10-10</x:v>
      </x:c>
    </x:row>
    <x:row r="92" ht="22" customHeight="1">
      <x:c r="A92" t="str">
        <x:v>OCTG-0091</x:v>
      </x:c>
      <x:c r="B92" t="str">
        <x:v>Tenaris</x:v>
      </x:c>
      <x:c r="C92" t="str">
        <x:v>Global / Italy</x:v>
      </x:c>
      <x:c r="D92" t="str">
        <x:v>TN 125HS</x:v>
      </x:c>
      <x:c r="E92" t="str">
        <x:v>Proprietary grade</x:v>
      </x:c>
      <x:c r="F92" t="str">
        <x:v>API 5CT-based / manufacturer specification</x:v>
      </x:c>
      <x:c r="G92" t="str">
        <x:v>Carbon / low alloy</x:v>
      </x:c>
      <x:c r="H92" t="str">
        <x:v>Sour service (manufacturer qualified domain)</x:v>
      </x:c>
      <x:c r="I92" t="str">
        <x:v>Casing and tubing (verify sizes)</x:v>
      </x:c>
      <x:c r="J92" t="str">
        <x:v>Sour service: manufacturer-defined limits</x:v>
      </x:c>
      <x:c r="K92" t="str">
        <x:v>Corrosion control may be needed</x:v>
      </x:c>
      <x:c r="L92" t="str">
        <x:v>API / not stated</x:v>
      </x:c>
      <x:c r="M92" t="n">
        <x:v>125</x:v>
      </x:c>
      <x:c r="N92" t="str"/>
      <x:c r="O92" t="str"/>
      <x:c r="P92" t="str"/>
      <x:c r="Q92" t="str">
        <x:v>A · standard carbon</x:v>
      </x:c>
      <x:c r="R92"/>
      <x:c r="S92"/>
      <x:c r="T92" t="str">
        <x:v>RFQ required · no public supplier-specific quote</x:v>
      </x:c>
      <x:c r="U92"/>
      <x:c r="V92" t="str">
        <x:v>https://www.tenaris.com/en/products-and-services/octg/steel-grades/</x:v>
      </x:c>
      <x:c r="W92" t="str">
        <x:v>Manufacturer-listed</x:v>
      </x:c>
      <x:c r="X92" t="str"/>
      <x:c r="Y92" t="str">
        <x:v>2026-10-10</x:v>
      </x:c>
    </x:row>
    <x:row r="93" ht="22" customHeight="1">
      <x:c r="A93" t="str">
        <x:v>OCTG-0092</x:v>
      </x:c>
      <x:c r="B93" t="str">
        <x:v>Tenaris</x:v>
      </x:c>
      <x:c r="C93" t="str">
        <x:v>Global / Italy</x:v>
      </x:c>
      <x:c r="D93" t="str">
        <x:v>TN 125LT</x:v>
      </x:c>
      <x:c r="E93" t="str">
        <x:v>Proprietary grade</x:v>
      </x:c>
      <x:c r="F93" t="str">
        <x:v>API 5CT-based / manufacturer specification</x:v>
      </x:c>
      <x:c r="G93" t="str">
        <x:v>Carbon / low alloy</x:v>
      </x:c>
      <x:c r="H93" t="str">
        <x:v>Low temperature / toughness grade</x:v>
      </x:c>
      <x:c r="I93" t="str">
        <x:v>Casing and tubing (verify sizes)</x:v>
      </x:c>
      <x:c r="J93" t="str">
        <x:v>Not established by grade name</x:v>
      </x:c>
      <x:c r="K93" t="str">
        <x:v>Corrosion control may be needed</x:v>
      </x:c>
      <x:c r="L93" t="str">
        <x:v>API / not stated</x:v>
      </x:c>
      <x:c r="M93" t="n">
        <x:v>125</x:v>
      </x:c>
      <x:c r="N93" t="str"/>
      <x:c r="O93" t="str"/>
      <x:c r="P93" t="str"/>
      <x:c r="Q93" t="str">
        <x:v>A · standard carbon</x:v>
      </x:c>
      <x:c r="R93"/>
      <x:c r="S93"/>
      <x:c r="T93" t="str">
        <x:v>RFQ required · no public supplier-specific quote</x:v>
      </x:c>
      <x:c r="U93"/>
      <x:c r="V93" t="str">
        <x:v>https://www.tenaris.com/en/products-and-services/octg/steel-grades/</x:v>
      </x:c>
      <x:c r="W93" t="str">
        <x:v>Manufacturer-listed</x:v>
      </x:c>
      <x:c r="X93" t="str"/>
      <x:c r="Y93" t="str">
        <x:v>2026-10-10</x:v>
      </x:c>
    </x:row>
    <x:row r="94" ht="22" customHeight="1">
      <x:c r="A94" t="str">
        <x:v>OCTG-0093</x:v>
      </x:c>
      <x:c r="B94" t="str">
        <x:v>Tenaris</x:v>
      </x:c>
      <x:c r="C94" t="str">
        <x:v>Global / Italy</x:v>
      </x:c>
      <x:c r="D94" t="str">
        <x:v>TN 125SS</x:v>
      </x:c>
      <x:c r="E94" t="str">
        <x:v>Proprietary grade</x:v>
      </x:c>
      <x:c r="F94" t="str">
        <x:v>API 5CT-based / manufacturer specification</x:v>
      </x:c>
      <x:c r="G94" t="str">
        <x:v>Carbon / low alloy</x:v>
      </x:c>
      <x:c r="H94" t="str">
        <x:v>Sour service (manufacturer qualified domain)</x:v>
      </x:c>
      <x:c r="I94" t="str">
        <x:v>Casing and tubing (verify sizes)</x:v>
      </x:c>
      <x:c r="J94" t="str">
        <x:v>Sour service: manufacturer-defined limits</x:v>
      </x:c>
      <x:c r="K94" t="str">
        <x:v>Corrosion control may be needed</x:v>
      </x:c>
      <x:c r="L94" t="str">
        <x:v>API / not stated</x:v>
      </x:c>
      <x:c r="M94" t="n">
        <x:v>125</x:v>
      </x:c>
      <x:c r="N94" t="str"/>
      <x:c r="O94" t="str"/>
      <x:c r="P94" t="str"/>
      <x:c r="Q94" t="str">
        <x:v>A · standard carbon</x:v>
      </x:c>
      <x:c r="R94"/>
      <x:c r="S94"/>
      <x:c r="T94" t="str">
        <x:v>RFQ required · no public supplier-specific quote</x:v>
      </x:c>
      <x:c r="U94"/>
      <x:c r="V94" t="str">
        <x:v>https://www.tenaris.com/en/products-and-services/octg/steel-grades/</x:v>
      </x:c>
      <x:c r="W94" t="str">
        <x:v>Manufacturer-listed</x:v>
      </x:c>
      <x:c r="X94" t="str"/>
      <x:c r="Y94" t="str">
        <x:v>2026-10-10</x:v>
      </x:c>
    </x:row>
    <x:row r="95" ht="22" customHeight="1">
      <x:c r="A95" t="str">
        <x:v>OCTG-0094</x:v>
      </x:c>
      <x:c r="B95" t="str">
        <x:v>Tenaris</x:v>
      </x:c>
      <x:c r="C95" t="str">
        <x:v>Global / Italy</x:v>
      </x:c>
      <x:c r="D95" t="str">
        <x:v>TN 130CY</x:v>
      </x:c>
      <x:c r="E95" t="str">
        <x:v>Proprietary grade</x:v>
      </x:c>
      <x:c r="F95" t="str">
        <x:v>API 5CT-based / manufacturer specification</x:v>
      </x:c>
      <x:c r="G95" t="str">
        <x:v>Carbon / low alloy</x:v>
      </x:c>
      <x:c r="H95" t="str">
        <x:v>Controlled yield / mild sour (depending on grade)</x:v>
      </x:c>
      <x:c r="I95" t="str">
        <x:v>Casing and tubing (verify sizes)</x:v>
      </x:c>
      <x:c r="J95" t="str">
        <x:v>Mild/limited sour: verify domain</x:v>
      </x:c>
      <x:c r="K95" t="str">
        <x:v>Corrosion control may be needed</x:v>
      </x:c>
      <x:c r="L95" t="str">
        <x:v>API / not stated</x:v>
      </x:c>
      <x:c r="M95" t="n">
        <x:v>130</x:v>
      </x:c>
      <x:c r="N95" t="str"/>
      <x:c r="O95" t="str"/>
      <x:c r="P95" t="str"/>
      <x:c r="Q95" t="str">
        <x:v>A · standard carbon</x:v>
      </x:c>
      <x:c r="R95"/>
      <x:c r="S95"/>
      <x:c r="T95" t="str">
        <x:v>RFQ required · no public supplier-specific quote</x:v>
      </x:c>
      <x:c r="U95"/>
      <x:c r="V95" t="str">
        <x:v>https://www.tenaris.com/en/products-and-services/octg/steel-grades/</x:v>
      </x:c>
      <x:c r="W95" t="str">
        <x:v>Manufacturer-listed</x:v>
      </x:c>
      <x:c r="X95" t="str"/>
      <x:c r="Y95" t="str">
        <x:v>2026-10-10</x:v>
      </x:c>
    </x:row>
    <x:row r="96" ht="22" customHeight="1">
      <x:c r="A96" t="str">
        <x:v>OCTG-0095</x:v>
      </x:c>
      <x:c r="B96" t="str">
        <x:v>Tenaris</x:v>
      </x:c>
      <x:c r="C96" t="str">
        <x:v>Global / Italy</x:v>
      </x:c>
      <x:c r="D96" t="str">
        <x:v>TN 135DW</x:v>
      </x:c>
      <x:c r="E96" t="str">
        <x:v>Proprietary grade</x:v>
      </x:c>
      <x:c r="F96" t="str">
        <x:v>API 5CT-based / manufacturer specification</x:v>
      </x:c>
      <x:c r="G96" t="str">
        <x:v>Carbon / low alloy</x:v>
      </x:c>
      <x:c r="H96" t="str">
        <x:v>Deep well / high tensile load</x:v>
      </x:c>
      <x:c r="I96" t="str">
        <x:v>Casing and tubing (verify sizes)</x:v>
      </x:c>
      <x:c r="J96" t="str">
        <x:v>Not established by grade name</x:v>
      </x:c>
      <x:c r="K96" t="str">
        <x:v>Corrosion control may be needed</x:v>
      </x:c>
      <x:c r="L96" t="str">
        <x:v>API / not stated</x:v>
      </x:c>
      <x:c r="M96" t="n">
        <x:v>135</x:v>
      </x:c>
      <x:c r="N96" t="str"/>
      <x:c r="O96" t="str"/>
      <x:c r="P96" t="str"/>
      <x:c r="Q96" t="str">
        <x:v>A · standard carbon</x:v>
      </x:c>
      <x:c r="R96"/>
      <x:c r="S96"/>
      <x:c r="T96" t="str">
        <x:v>RFQ required · no public supplier-specific quote</x:v>
      </x:c>
      <x:c r="U96"/>
      <x:c r="V96" t="str">
        <x:v>https://www.tenaris.com/en/products-and-services/octg/steel-grades/</x:v>
      </x:c>
      <x:c r="W96" t="str">
        <x:v>Manufacturer-listed</x:v>
      </x:c>
      <x:c r="X96" t="str"/>
      <x:c r="Y96" t="str">
        <x:v>2026-10-10</x:v>
      </x:c>
    </x:row>
    <x:row r="97" ht="22" customHeight="1">
      <x:c r="A97" t="str">
        <x:v>OCTG-0096</x:v>
      </x:c>
      <x:c r="B97" t="str">
        <x:v>Tenaris</x:v>
      </x:c>
      <x:c r="C97" t="str">
        <x:v>Global / Italy</x:v>
      </x:c>
      <x:c r="D97" t="str">
        <x:v>TN 140CY</x:v>
      </x:c>
      <x:c r="E97" t="str">
        <x:v>Proprietary grade</x:v>
      </x:c>
      <x:c r="F97" t="str">
        <x:v>API 5CT-based / manufacturer specification</x:v>
      </x:c>
      <x:c r="G97" t="str">
        <x:v>Carbon / low alloy</x:v>
      </x:c>
      <x:c r="H97" t="str">
        <x:v>Controlled yield / mild sour (depending on grade)</x:v>
      </x:c>
      <x:c r="I97" t="str">
        <x:v>Casing and tubing (verify sizes)</x:v>
      </x:c>
      <x:c r="J97" t="str">
        <x:v>Mild/limited sour: verify domain</x:v>
      </x:c>
      <x:c r="K97" t="str">
        <x:v>Corrosion control may be needed</x:v>
      </x:c>
      <x:c r="L97" t="str">
        <x:v>API / not stated</x:v>
      </x:c>
      <x:c r="M97" t="n">
        <x:v>140</x:v>
      </x:c>
      <x:c r="N97" t="str"/>
      <x:c r="O97" t="str"/>
      <x:c r="P97" t="str"/>
      <x:c r="Q97" t="str">
        <x:v>A · standard carbon</x:v>
      </x:c>
      <x:c r="R97"/>
      <x:c r="S97"/>
      <x:c r="T97" t="str">
        <x:v>RFQ required · no public supplier-specific quote</x:v>
      </x:c>
      <x:c r="U97"/>
      <x:c r="V97" t="str">
        <x:v>https://www.tenaris.com/en/products-and-services/octg/steel-grades/</x:v>
      </x:c>
      <x:c r="W97" t="str">
        <x:v>Manufacturer-listed</x:v>
      </x:c>
      <x:c r="X97" t="str"/>
      <x:c r="Y97" t="str">
        <x:v>2026-10-10</x:v>
      </x:c>
    </x:row>
    <x:row r="98" ht="22" customHeight="1">
      <x:c r="A98" t="str">
        <x:v>OCTG-0097</x:v>
      </x:c>
      <x:c r="B98" t="str">
        <x:v>Tenaris</x:v>
      </x:c>
      <x:c r="C98" t="str">
        <x:v>Global / Italy</x:v>
      </x:c>
      <x:c r="D98" t="str">
        <x:v>TN 140DW</x:v>
      </x:c>
      <x:c r="E98" t="str">
        <x:v>Proprietary grade</x:v>
      </x:c>
      <x:c r="F98" t="str">
        <x:v>API 5CT-based / manufacturer specification</x:v>
      </x:c>
      <x:c r="G98" t="str">
        <x:v>Carbon / low alloy</x:v>
      </x:c>
      <x:c r="H98" t="str">
        <x:v>Deep well / high tensile load</x:v>
      </x:c>
      <x:c r="I98" t="str">
        <x:v>Casing and tubing (verify sizes)</x:v>
      </x:c>
      <x:c r="J98" t="str">
        <x:v>Not established by grade name</x:v>
      </x:c>
      <x:c r="K98" t="str">
        <x:v>Corrosion control may be needed</x:v>
      </x:c>
      <x:c r="L98" t="str">
        <x:v>API / not stated</x:v>
      </x:c>
      <x:c r="M98" t="n">
        <x:v>140</x:v>
      </x:c>
      <x:c r="N98" t="str"/>
      <x:c r="O98" t="str"/>
      <x:c r="P98" t="str"/>
      <x:c r="Q98" t="str">
        <x:v>A · standard carbon</x:v>
      </x:c>
      <x:c r="R98"/>
      <x:c r="S98"/>
      <x:c r="T98" t="str">
        <x:v>RFQ required · no public supplier-specific quote</x:v>
      </x:c>
      <x:c r="U98"/>
      <x:c r="V98" t="str">
        <x:v>https://www.tenaris.com/en/products-and-services/octg/steel-grades/</x:v>
      </x:c>
      <x:c r="W98" t="str">
        <x:v>Manufacturer-listed</x:v>
      </x:c>
      <x:c r="X98" t="str"/>
      <x:c r="Y98" t="str">
        <x:v>2026-10-10</x:v>
      </x:c>
    </x:row>
    <x:row r="99" ht="22" customHeight="1">
      <x:c r="A99" t="str">
        <x:v>OCTG-0098</x:v>
      </x:c>
      <x:c r="B99" t="str">
        <x:v>Tenaris</x:v>
      </x:c>
      <x:c r="C99" t="str">
        <x:v>Global / Italy</x:v>
      </x:c>
      <x:c r="D99" t="str">
        <x:v>TN 140HC</x:v>
      </x:c>
      <x:c r="E99" t="str">
        <x:v>Proprietary grade</x:v>
      </x:c>
      <x:c r="F99" t="str">
        <x:v>API 5CT-based / manufacturer specification</x:v>
      </x:c>
      <x:c r="G99" t="str">
        <x:v>Carbon / low alloy</x:v>
      </x:c>
      <x:c r="H99" t="str">
        <x:v>High collapse / external pressure</x:v>
      </x:c>
      <x:c r="I99" t="str">
        <x:v>Casing and tubing (verify sizes)</x:v>
      </x:c>
      <x:c r="J99" t="str">
        <x:v>Not established by grade name</x:v>
      </x:c>
      <x:c r="K99" t="str">
        <x:v>Corrosion control may be needed</x:v>
      </x:c>
      <x:c r="L99" t="str">
        <x:v>Enhanced</x:v>
      </x:c>
      <x:c r="M99" t="n">
        <x:v>140</x:v>
      </x:c>
      <x:c r="N99" t="str"/>
      <x:c r="O99" t="str"/>
      <x:c r="P99" t="str"/>
      <x:c r="Q99" t="str">
        <x:v>A · standard carbon</x:v>
      </x:c>
      <x:c r="R99"/>
      <x:c r="S99"/>
      <x:c r="T99" t="str">
        <x:v>RFQ required · no public supplier-specific quote</x:v>
      </x:c>
      <x:c r="U99"/>
      <x:c r="V99" t="str">
        <x:v>https://www.tenaris.com/en/products-and-services/octg/steel-grades/</x:v>
      </x:c>
      <x:c r="W99" t="str">
        <x:v>Manufacturer-listed</x:v>
      </x:c>
      <x:c r="X99" t="str"/>
      <x:c r="Y99" t="str">
        <x:v>2026-10-10</x:v>
      </x:c>
    </x:row>
    <x:row r="100" ht="22" customHeight="1">
      <x:c r="A100" t="str">
        <x:v>OCTG-0099</x:v>
      </x:c>
      <x:c r="B100" t="str">
        <x:v>Tenaris</x:v>
      </x:c>
      <x:c r="C100" t="str">
        <x:v>Global / Italy</x:v>
      </x:c>
      <x:c r="D100" t="str">
        <x:v>TN 140HC-RY</x:v>
      </x:c>
      <x:c r="E100" t="str">
        <x:v>Proprietary grade</x:v>
      </x:c>
      <x:c r="F100" t="str">
        <x:v>API 5CT-based / manufacturer specification</x:v>
      </x:c>
      <x:c r="G100" t="str">
        <x:v>Carbon / low alloy</x:v>
      </x:c>
      <x:c r="H100" t="str">
        <x:v>High collapse / external pressure</x:v>
      </x:c>
      <x:c r="I100" t="str">
        <x:v>Casing and tubing (verify sizes)</x:v>
      </x:c>
      <x:c r="J100" t="str">
        <x:v>Not established by grade name</x:v>
      </x:c>
      <x:c r="K100" t="str">
        <x:v>Corrosion control may be needed</x:v>
      </x:c>
      <x:c r="L100" t="str">
        <x:v>Enhanced</x:v>
      </x:c>
      <x:c r="M100" t="n">
        <x:v>140</x:v>
      </x:c>
      <x:c r="N100" t="str"/>
      <x:c r="O100" t="str"/>
      <x:c r="P100" t="str"/>
      <x:c r="Q100" t="str">
        <x:v>A · standard carbon</x:v>
      </x:c>
      <x:c r="R100"/>
      <x:c r="S100"/>
      <x:c r="T100" t="str">
        <x:v>RFQ required · no public supplier-specific quote</x:v>
      </x:c>
      <x:c r="U100"/>
      <x:c r="V100" t="str">
        <x:v>https://www.tenaris.com/en/products-and-services/octg/steel-grades/</x:v>
      </x:c>
      <x:c r="W100" t="str">
        <x:v>Manufacturer-listed</x:v>
      </x:c>
      <x:c r="X100" t="str"/>
      <x:c r="Y100" t="str">
        <x:v>2026-10-10</x:v>
      </x:c>
    </x:row>
    <x:row r="101" ht="22" customHeight="1">
      <x:c r="A101" t="str">
        <x:v>OCTG-0100</x:v>
      </x:c>
      <x:c r="B101" t="str">
        <x:v>Tenaris</x:v>
      </x:c>
      <x:c r="C101" t="str">
        <x:v>Global / Italy</x:v>
      </x:c>
      <x:c r="D101" t="str">
        <x:v>TN 150DW</x:v>
      </x:c>
      <x:c r="E101" t="str">
        <x:v>Proprietary grade</x:v>
      </x:c>
      <x:c r="F101" t="str">
        <x:v>API 5CT-based / manufacturer specification</x:v>
      </x:c>
      <x:c r="G101" t="str">
        <x:v>Carbon / low alloy</x:v>
      </x:c>
      <x:c r="H101" t="str">
        <x:v>Deep well / high tensile load</x:v>
      </x:c>
      <x:c r="I101" t="str">
        <x:v>Casing and tubing (verify sizes)</x:v>
      </x:c>
      <x:c r="J101" t="str">
        <x:v>Not established by grade name</x:v>
      </x:c>
      <x:c r="K101" t="str">
        <x:v>Corrosion control may be needed</x:v>
      </x:c>
      <x:c r="L101" t="str">
        <x:v>API / not stated</x:v>
      </x:c>
      <x:c r="M101" t="n">
        <x:v>150</x:v>
      </x:c>
      <x:c r="N101" t="str"/>
      <x:c r="O101" t="str"/>
      <x:c r="P101" t="str"/>
      <x:c r="Q101" t="str">
        <x:v>A · standard carbon</x:v>
      </x:c>
      <x:c r="R101"/>
      <x:c r="S101"/>
      <x:c r="T101" t="str">
        <x:v>RFQ required · no public supplier-specific quote</x:v>
      </x:c>
      <x:c r="U101"/>
      <x:c r="V101" t="str">
        <x:v>https://www.tenaris.com/en/products-and-services/octg/steel-grades/</x:v>
      </x:c>
      <x:c r="W101" t="str">
        <x:v>Manufacturer-listed</x:v>
      </x:c>
      <x:c r="X101" t="str"/>
      <x:c r="Y101" t="str">
        <x:v>2026-10-10</x:v>
      </x:c>
    </x:row>
    <x:row r="102" ht="22" customHeight="1">
      <x:c r="A102" t="str">
        <x:v>OCTG-0101</x:v>
      </x:c>
      <x:c r="B102" t="str">
        <x:v>Tenaris</x:v>
      </x:c>
      <x:c r="C102" t="str">
        <x:v>Global / Italy</x:v>
      </x:c>
      <x:c r="D102" t="str">
        <x:v>TN 35HD</x:v>
      </x:c>
      <x:c r="E102" t="str">
        <x:v>Proprietary grade</x:v>
      </x:c>
      <x:c r="F102" t="str">
        <x:v>API 5CT-based / manufacturer specification</x:v>
      </x:c>
      <x:c r="G102" t="str">
        <x:v>Carbon / low alloy</x:v>
      </x:c>
      <x:c r="H102" t="str">
        <x:v>Other specialty / HD family (manufacturer defined)</x:v>
      </x:c>
      <x:c r="I102" t="str">
        <x:v>Casing and tubing (verify sizes)</x:v>
      </x:c>
      <x:c r="J102" t="str">
        <x:v>Not established by grade name</x:v>
      </x:c>
      <x:c r="K102" t="str">
        <x:v>Corrosion control may be needed</x:v>
      </x:c>
      <x:c r="L102" t="str">
        <x:v>API / not stated</x:v>
      </x:c>
      <x:c r="M102" t="n">
        <x:v>35</x:v>
      </x:c>
      <x:c r="N102" t="str"/>
      <x:c r="O102" t="str"/>
      <x:c r="P102" t="str"/>
      <x:c r="Q102" t="str">
        <x:v>A · standard carbon</x:v>
      </x:c>
      <x:c r="R102"/>
      <x:c r="S102"/>
      <x:c r="T102" t="str">
        <x:v>RFQ required · no public supplier-specific quote</x:v>
      </x:c>
      <x:c r="U102"/>
      <x:c r="V102" t="str">
        <x:v>https://www.tenaris.com/en/products-and-services/octg/steel-grades/</x:v>
      </x:c>
      <x:c r="W102" t="str">
        <x:v>Manufacturer-listed</x:v>
      </x:c>
      <x:c r="X102" t="str"/>
      <x:c r="Y102" t="str">
        <x:v>2026-10-10</x:v>
      </x:c>
    </x:row>
    <x:row r="103" ht="22" customHeight="1">
      <x:c r="A103" t="str">
        <x:v>OCTG-0102</x:v>
      </x:c>
      <x:c r="B103" t="str">
        <x:v>Tenaris</x:v>
      </x:c>
      <x:c r="C103" t="str">
        <x:v>Global / Italy</x:v>
      </x:c>
      <x:c r="D103" t="str">
        <x:v>TN 45HD</x:v>
      </x:c>
      <x:c r="E103" t="str">
        <x:v>Proprietary grade</x:v>
      </x:c>
      <x:c r="F103" t="str">
        <x:v>API 5CT-based / manufacturer specification</x:v>
      </x:c>
      <x:c r="G103" t="str">
        <x:v>Carbon / low alloy</x:v>
      </x:c>
      <x:c r="H103" t="str">
        <x:v>Other specialty / HD family (manufacturer defined)</x:v>
      </x:c>
      <x:c r="I103" t="str">
        <x:v>Casing and tubing (verify sizes)</x:v>
      </x:c>
      <x:c r="J103" t="str">
        <x:v>Not established by grade name</x:v>
      </x:c>
      <x:c r="K103" t="str">
        <x:v>Corrosion control may be needed</x:v>
      </x:c>
      <x:c r="L103" t="str">
        <x:v>API / not stated</x:v>
      </x:c>
      <x:c r="M103" t="n">
        <x:v>45</x:v>
      </x:c>
      <x:c r="N103" t="str"/>
      <x:c r="O103" t="str"/>
      <x:c r="P103" t="str"/>
      <x:c r="Q103" t="str">
        <x:v>A · standard carbon</x:v>
      </x:c>
      <x:c r="R103"/>
      <x:c r="S103"/>
      <x:c r="T103" t="str">
        <x:v>RFQ required · no public supplier-specific quote</x:v>
      </x:c>
      <x:c r="U103"/>
      <x:c r="V103" t="str">
        <x:v>https://www.tenaris.com/en/products-and-services/octg/steel-grades/</x:v>
      </x:c>
      <x:c r="W103" t="str">
        <x:v>Manufacturer-listed</x:v>
      </x:c>
      <x:c r="X103" t="str"/>
      <x:c r="Y103" t="str">
        <x:v>2026-10-10</x:v>
      </x:c>
    </x:row>
    <x:row r="104" ht="22" customHeight="1">
      <x:c r="A104" t="str">
        <x:v>OCTG-0103</x:v>
      </x:c>
      <x:c r="B104" t="str">
        <x:v>Tenaris</x:v>
      </x:c>
      <x:c r="C104" t="str">
        <x:v>Global / Italy</x:v>
      </x:c>
      <x:c r="D104" t="str">
        <x:v>TN 55LT</x:v>
      </x:c>
      <x:c r="E104" t="str">
        <x:v>Proprietary grade</x:v>
      </x:c>
      <x:c r="F104" t="str">
        <x:v>API 5CT-based / manufacturer specification</x:v>
      </x:c>
      <x:c r="G104" t="str">
        <x:v>Carbon / low alloy</x:v>
      </x:c>
      <x:c r="H104" t="str">
        <x:v>Low temperature / toughness grade</x:v>
      </x:c>
      <x:c r="I104" t="str">
        <x:v>Casing and tubing (verify sizes)</x:v>
      </x:c>
      <x:c r="J104" t="str">
        <x:v>Not established by grade name</x:v>
      </x:c>
      <x:c r="K104" t="str">
        <x:v>Corrosion control may be needed</x:v>
      </x:c>
      <x:c r="L104" t="str">
        <x:v>API / not stated</x:v>
      </x:c>
      <x:c r="M104" t="n">
        <x:v>55</x:v>
      </x:c>
      <x:c r="N104" t="str"/>
      <x:c r="O104" t="str"/>
      <x:c r="P104" t="str"/>
      <x:c r="Q104" t="str">
        <x:v>A · standard carbon</x:v>
      </x:c>
      <x:c r="R104"/>
      <x:c r="S104"/>
      <x:c r="T104" t="str">
        <x:v>RFQ required · no public supplier-specific quote</x:v>
      </x:c>
      <x:c r="U104"/>
      <x:c r="V104" t="str">
        <x:v>https://www.tenaris.com/en/products-and-services/octg/steel-grades/</x:v>
      </x:c>
      <x:c r="W104" t="str">
        <x:v>Manufacturer-listed</x:v>
      </x:c>
      <x:c r="X104" t="str"/>
      <x:c r="Y104" t="str">
        <x:v>2026-10-10</x:v>
      </x:c>
    </x:row>
    <x:row r="105" ht="22" customHeight="1">
      <x:c r="A105" t="str">
        <x:v>OCTG-0104</x:v>
      </x:c>
      <x:c r="B105" t="str">
        <x:v>Tenaris</x:v>
      </x:c>
      <x:c r="C105" t="str">
        <x:v>Global / Italy</x:v>
      </x:c>
      <x:c r="D105" t="str">
        <x:v>TN 55TH</x:v>
      </x:c>
      <x:c r="E105" t="str">
        <x:v>Proprietary grade</x:v>
      </x:c>
      <x:c r="F105" t="str">
        <x:v>API 5CT-based / manufacturer specification</x:v>
      </x:c>
      <x:c r="G105" t="str">
        <x:v>Carbon / low alloy</x:v>
      </x:c>
      <x:c r="H105" t="str">
        <x:v>Thermal/temperature specialty (see Tenaris datasheet)</x:v>
      </x:c>
      <x:c r="I105" t="str">
        <x:v>Casing and tubing (verify sizes)</x:v>
      </x:c>
      <x:c r="J105" t="str">
        <x:v>Not established by grade name</x:v>
      </x:c>
      <x:c r="K105" t="str">
        <x:v>Corrosion control may be needed</x:v>
      </x:c>
      <x:c r="L105" t="str">
        <x:v>API / not stated</x:v>
      </x:c>
      <x:c r="M105" t="n">
        <x:v>55</x:v>
      </x:c>
      <x:c r="N105" t="str"/>
      <x:c r="O105" t="str"/>
      <x:c r="P105" t="str"/>
      <x:c r="Q105" t="str">
        <x:v>A · standard carbon</x:v>
      </x:c>
      <x:c r="R105"/>
      <x:c r="S105"/>
      <x:c r="T105" t="str">
        <x:v>RFQ required · no public supplier-specific quote</x:v>
      </x:c>
      <x:c r="U105"/>
      <x:c r="V105" t="str">
        <x:v>https://www.tenaris.com/en/products-and-services/octg/steel-grades/</x:v>
      </x:c>
      <x:c r="W105" t="str">
        <x:v>Grade code verified; detailed application requires datasheet</x:v>
      </x:c>
      <x:c r="X105" t="str"/>
      <x:c r="Y105" t="str">
        <x:v>2026-10-10</x:v>
      </x:c>
    </x:row>
    <x:row r="106" ht="22" customHeight="1">
      <x:c r="A106" t="str">
        <x:v>OCTG-0105</x:v>
      </x:c>
      <x:c r="B106" t="str">
        <x:v>Tenaris</x:v>
      </x:c>
      <x:c r="C106" t="str">
        <x:v>Global / Italy</x:v>
      </x:c>
      <x:c r="D106" t="str">
        <x:v>TN 55TL</x:v>
      </x:c>
      <x:c r="E106" t="str">
        <x:v>Proprietary grade</x:v>
      </x:c>
      <x:c r="F106" t="str">
        <x:v>API 5CT-based / manufacturer specification</x:v>
      </x:c>
      <x:c r="G106" t="str">
        <x:v>Carbon / low alloy</x:v>
      </x:c>
      <x:c r="H106" t="str">
        <x:v>Thermal/temperature specialty (see Tenaris datasheet)</x:v>
      </x:c>
      <x:c r="I106" t="str">
        <x:v>Casing and tubing (verify sizes)</x:v>
      </x:c>
      <x:c r="J106" t="str">
        <x:v>Not established by grade name</x:v>
      </x:c>
      <x:c r="K106" t="str">
        <x:v>Corrosion control may be needed</x:v>
      </x:c>
      <x:c r="L106" t="str">
        <x:v>API / not stated</x:v>
      </x:c>
      <x:c r="M106" t="n">
        <x:v>55</x:v>
      </x:c>
      <x:c r="N106" t="str"/>
      <x:c r="O106" t="str"/>
      <x:c r="P106" t="str"/>
      <x:c r="Q106" t="str">
        <x:v>A · standard carbon</x:v>
      </x:c>
      <x:c r="R106"/>
      <x:c r="S106"/>
      <x:c r="T106" t="str">
        <x:v>RFQ required · no public supplier-specific quote</x:v>
      </x:c>
      <x:c r="U106"/>
      <x:c r="V106" t="str">
        <x:v>https://www.tenaris.com/en/products-and-services/octg/steel-grades/</x:v>
      </x:c>
      <x:c r="W106" t="str">
        <x:v>Grade code verified; detailed application requires datasheet</x:v>
      </x:c>
      <x:c r="X106" t="str"/>
      <x:c r="Y106" t="str">
        <x:v>2026-10-10</x:v>
      </x:c>
    </x:row>
    <x:row r="107" ht="22" customHeight="1">
      <x:c r="A107" t="str">
        <x:v>OCTG-0106</x:v>
      </x:c>
      <x:c r="B107" t="str">
        <x:v>Tenaris</x:v>
      </x:c>
      <x:c r="C107" t="str">
        <x:v>Global / Italy</x:v>
      </x:c>
      <x:c r="D107" t="str">
        <x:v>TN 60HD</x:v>
      </x:c>
      <x:c r="E107" t="str">
        <x:v>Proprietary grade</x:v>
      </x:c>
      <x:c r="F107" t="str">
        <x:v>API 5CT-based / manufacturer specification</x:v>
      </x:c>
      <x:c r="G107" t="str">
        <x:v>Carbon / low alloy</x:v>
      </x:c>
      <x:c r="H107" t="str">
        <x:v>Other specialty / HD family (manufacturer defined)</x:v>
      </x:c>
      <x:c r="I107" t="str">
        <x:v>Casing and tubing (verify sizes)</x:v>
      </x:c>
      <x:c r="J107" t="str">
        <x:v>Not established by grade name</x:v>
      </x:c>
      <x:c r="K107" t="str">
        <x:v>Corrosion control may be needed</x:v>
      </x:c>
      <x:c r="L107" t="str">
        <x:v>API / not stated</x:v>
      </x:c>
      <x:c r="M107" t="n">
        <x:v>60</x:v>
      </x:c>
      <x:c r="N107" t="str"/>
      <x:c r="O107" t="str"/>
      <x:c r="P107" t="str"/>
      <x:c r="Q107" t="str">
        <x:v>A · standard carbon</x:v>
      </x:c>
      <x:c r="R107"/>
      <x:c r="S107"/>
      <x:c r="T107" t="str">
        <x:v>RFQ required · no public supplier-specific quote</x:v>
      </x:c>
      <x:c r="U107"/>
      <x:c r="V107" t="str">
        <x:v>https://www.tenaris.com/en/products-and-services/octg/steel-grades/</x:v>
      </x:c>
      <x:c r="W107" t="str">
        <x:v>Manufacturer-listed</x:v>
      </x:c>
      <x:c r="X107" t="str"/>
      <x:c r="Y107" t="str">
        <x:v>2026-10-10</x:v>
      </x:c>
    </x:row>
    <x:row r="108" ht="22" customHeight="1">
      <x:c r="A108" t="str">
        <x:v>OCTG-0107</x:v>
      </x:c>
      <x:c r="B108" t="str">
        <x:v>Tenaris</x:v>
      </x:c>
      <x:c r="C108" t="str">
        <x:v>Global / Italy</x:v>
      </x:c>
      <x:c r="D108" t="str">
        <x:v>TN 70HD</x:v>
      </x:c>
      <x:c r="E108" t="str">
        <x:v>Proprietary grade</x:v>
      </x:c>
      <x:c r="F108" t="str">
        <x:v>API 5CT-based / manufacturer specification</x:v>
      </x:c>
      <x:c r="G108" t="str">
        <x:v>Carbon / low alloy</x:v>
      </x:c>
      <x:c r="H108" t="str">
        <x:v>Other specialty / HD family (manufacturer defined)</x:v>
      </x:c>
      <x:c r="I108" t="str">
        <x:v>Casing and tubing (verify sizes)</x:v>
      </x:c>
      <x:c r="J108" t="str">
        <x:v>Not established by grade name</x:v>
      </x:c>
      <x:c r="K108" t="str">
        <x:v>Corrosion control may be needed</x:v>
      </x:c>
      <x:c r="L108" t="str">
        <x:v>API / not stated</x:v>
      </x:c>
      <x:c r="M108" t="n">
        <x:v>70</x:v>
      </x:c>
      <x:c r="N108" t="str"/>
      <x:c r="O108" t="str"/>
      <x:c r="P108" t="str"/>
      <x:c r="Q108" t="str">
        <x:v>A · standard carbon</x:v>
      </x:c>
      <x:c r="R108"/>
      <x:c r="S108"/>
      <x:c r="T108" t="str">
        <x:v>RFQ required · no public supplier-specific quote</x:v>
      </x:c>
      <x:c r="U108"/>
      <x:c r="V108" t="str">
        <x:v>https://www.tenaris.com/en/products-and-services/octg/steel-grades/</x:v>
      </x:c>
      <x:c r="W108" t="str">
        <x:v>Manufacturer-listed</x:v>
      </x:c>
      <x:c r="X108" t="str"/>
      <x:c r="Y108" t="str">
        <x:v>2026-10-10</x:v>
      </x:c>
    </x:row>
    <x:row r="109" ht="22" customHeight="1">
      <x:c r="A109" t="str">
        <x:v>OCTG-0108</x:v>
      </x:c>
      <x:c r="B109" t="str">
        <x:v>Tenaris</x:v>
      </x:c>
      <x:c r="C109" t="str">
        <x:v>Global / Italy</x:v>
      </x:c>
      <x:c r="D109" t="str">
        <x:v>TN 80EY</x:v>
      </x:c>
      <x:c r="E109" t="str">
        <x:v>Proprietary grade</x:v>
      </x:c>
      <x:c r="F109" t="str">
        <x:v>API 5CT-based / manufacturer specification</x:v>
      </x:c>
      <x:c r="G109" t="str">
        <x:v>Carbon / low alloy</x:v>
      </x:c>
      <x:c r="H109" t="str">
        <x:v>Enhanced yield/controlled mechanical properties</x:v>
      </x:c>
      <x:c r="I109" t="str">
        <x:v>Casing and tubing (verify sizes)</x:v>
      </x:c>
      <x:c r="J109" t="str">
        <x:v>Not established by grade name</x:v>
      </x:c>
      <x:c r="K109" t="str">
        <x:v>Corrosion control may be needed</x:v>
      </x:c>
      <x:c r="L109" t="str">
        <x:v>API / not stated</x:v>
      </x:c>
      <x:c r="M109" t="n">
        <x:v>80</x:v>
      </x:c>
      <x:c r="N109" t="str"/>
      <x:c r="O109" t="str"/>
      <x:c r="P109" t="str"/>
      <x:c r="Q109" t="str">
        <x:v>A · standard carbon</x:v>
      </x:c>
      <x:c r="R109"/>
      <x:c r="S109"/>
      <x:c r="T109" t="str">
        <x:v>RFQ required · no public supplier-specific quote</x:v>
      </x:c>
      <x:c r="U109"/>
      <x:c r="V109" t="str">
        <x:v>https://www.tenaris.com/en/products-and-services/octg/steel-grades/</x:v>
      </x:c>
      <x:c r="W109" t="str">
        <x:v>Manufacturer-listed</x:v>
      </x:c>
      <x:c r="X109" t="str"/>
      <x:c r="Y109" t="str">
        <x:v>2026-10-10</x:v>
      </x:c>
    </x:row>
    <x:row r="110" ht="22" customHeight="1">
      <x:c r="A110" t="str">
        <x:v>OCTG-0109</x:v>
      </x:c>
      <x:c r="B110" t="str">
        <x:v>Tenaris</x:v>
      </x:c>
      <x:c r="C110" t="str">
        <x:v>Global / Italy</x:v>
      </x:c>
      <x:c r="D110" t="str">
        <x:v>TN 80EY-HC</x:v>
      </x:c>
      <x:c r="E110" t="str">
        <x:v>Proprietary grade</x:v>
      </x:c>
      <x:c r="F110" t="str">
        <x:v>API 5CT-based / manufacturer specification</x:v>
      </x:c>
      <x:c r="G110" t="str">
        <x:v>Carbon / low alloy</x:v>
      </x:c>
      <x:c r="H110" t="str">
        <x:v>Enhanced yield/controlled mechanical properties</x:v>
      </x:c>
      <x:c r="I110" t="str">
        <x:v>Casing and tubing (verify sizes)</x:v>
      </x:c>
      <x:c r="J110" t="str">
        <x:v>Not established by grade name</x:v>
      </x:c>
      <x:c r="K110" t="str">
        <x:v>Corrosion control may be needed</x:v>
      </x:c>
      <x:c r="L110" t="str">
        <x:v>API / not stated</x:v>
      </x:c>
      <x:c r="M110" t="n">
        <x:v>80</x:v>
      </x:c>
      <x:c r="N110" t="str"/>
      <x:c r="O110" t="str"/>
      <x:c r="P110" t="str"/>
      <x:c r="Q110" t="str">
        <x:v>A · standard carbon</x:v>
      </x:c>
      <x:c r="R110"/>
      <x:c r="S110"/>
      <x:c r="T110" t="str">
        <x:v>RFQ required · no public supplier-specific quote</x:v>
      </x:c>
      <x:c r="U110"/>
      <x:c r="V110" t="str">
        <x:v>https://www.tenaris.com/en/products-and-services/octg/steel-grades/</x:v>
      </x:c>
      <x:c r="W110" t="str">
        <x:v>Manufacturer-listed</x:v>
      </x:c>
      <x:c r="X110" t="str"/>
      <x:c r="Y110" t="str">
        <x:v>2026-10-10</x:v>
      </x:c>
    </x:row>
    <x:row r="111" ht="22" customHeight="1">
      <x:c r="A111" t="str">
        <x:v>OCTG-0110</x:v>
      </x:c>
      <x:c r="B111" t="str">
        <x:v>Tenaris</x:v>
      </x:c>
      <x:c r="C111" t="str">
        <x:v>Global / Italy</x:v>
      </x:c>
      <x:c r="D111" t="str">
        <x:v>TN 80HC</x:v>
      </x:c>
      <x:c r="E111" t="str">
        <x:v>Proprietary grade</x:v>
      </x:c>
      <x:c r="F111" t="str">
        <x:v>API 5CT-based / manufacturer specification</x:v>
      </x:c>
      <x:c r="G111" t="str">
        <x:v>Carbon / low alloy</x:v>
      </x:c>
      <x:c r="H111" t="str">
        <x:v>High collapse / external pressure</x:v>
      </x:c>
      <x:c r="I111" t="str">
        <x:v>Casing and tubing (verify sizes)</x:v>
      </x:c>
      <x:c r="J111" t="str">
        <x:v>Not established by grade name</x:v>
      </x:c>
      <x:c r="K111" t="str">
        <x:v>Corrosion control may be needed</x:v>
      </x:c>
      <x:c r="L111" t="str">
        <x:v>Enhanced</x:v>
      </x:c>
      <x:c r="M111" t="n">
        <x:v>80</x:v>
      </x:c>
      <x:c r="N111" t="str"/>
      <x:c r="O111" t="str"/>
      <x:c r="P111" t="str"/>
      <x:c r="Q111" t="str">
        <x:v>A · standard carbon</x:v>
      </x:c>
      <x:c r="R111"/>
      <x:c r="S111"/>
      <x:c r="T111" t="str">
        <x:v>RFQ required · no public supplier-specific quote</x:v>
      </x:c>
      <x:c r="U111"/>
      <x:c r="V111" t="str">
        <x:v>https://www.tenaris.com/en/products-and-services/octg/steel-grades/</x:v>
      </x:c>
      <x:c r="W111" t="str">
        <x:v>Manufacturer-listed</x:v>
      </x:c>
      <x:c r="X111" t="str"/>
      <x:c r="Y111" t="str">
        <x:v>2026-10-10</x:v>
      </x:c>
    </x:row>
    <x:row r="112" ht="22" customHeight="1">
      <x:c r="A112" t="str">
        <x:v>OCTG-0111</x:v>
      </x:c>
      <x:c r="B112" t="str">
        <x:v>Tenaris</x:v>
      </x:c>
      <x:c r="C112" t="str">
        <x:v>Global / Italy</x:v>
      </x:c>
      <x:c r="D112" t="str">
        <x:v>TN 80HS</x:v>
      </x:c>
      <x:c r="E112" t="str">
        <x:v>Proprietary grade</x:v>
      </x:c>
      <x:c r="F112" t="str">
        <x:v>API 5CT-based / manufacturer specification</x:v>
      </x:c>
      <x:c r="G112" t="str">
        <x:v>Carbon / low alloy</x:v>
      </x:c>
      <x:c r="H112" t="str">
        <x:v>Sour service (manufacturer qualified domain)</x:v>
      </x:c>
      <x:c r="I112" t="str">
        <x:v>Casing and tubing (verify sizes)</x:v>
      </x:c>
      <x:c r="J112" t="str">
        <x:v>Sour service: manufacturer-defined limits</x:v>
      </x:c>
      <x:c r="K112" t="str">
        <x:v>Corrosion control may be needed</x:v>
      </x:c>
      <x:c r="L112" t="str">
        <x:v>API / not stated</x:v>
      </x:c>
      <x:c r="M112" t="n">
        <x:v>80</x:v>
      </x:c>
      <x:c r="N112" t="str"/>
      <x:c r="O112" t="str"/>
      <x:c r="P112" t="str"/>
      <x:c r="Q112" t="str">
        <x:v>A · standard carbon</x:v>
      </x:c>
      <x:c r="R112"/>
      <x:c r="S112"/>
      <x:c r="T112" t="str">
        <x:v>RFQ required · no public supplier-specific quote</x:v>
      </x:c>
      <x:c r="U112"/>
      <x:c r="V112" t="str">
        <x:v>https://www.tenaris.com/en/products-and-services/octg/steel-grades/</x:v>
      </x:c>
      <x:c r="W112" t="str">
        <x:v>Manufacturer-listed</x:v>
      </x:c>
      <x:c r="X112" t="str"/>
      <x:c r="Y112" t="str">
        <x:v>2026-10-10</x:v>
      </x:c>
    </x:row>
    <x:row r="113" ht="22" customHeight="1">
      <x:c r="A113" t="str">
        <x:v>OCTG-0112</x:v>
      </x:c>
      <x:c r="B113" t="str">
        <x:v>Tenaris</x:v>
      </x:c>
      <x:c r="C113" t="str">
        <x:v>Global / Italy</x:v>
      </x:c>
      <x:c r="D113" t="str">
        <x:v>TN 80LT</x:v>
      </x:c>
      <x:c r="E113" t="str">
        <x:v>Proprietary grade</x:v>
      </x:c>
      <x:c r="F113" t="str">
        <x:v>API 5CT-based / manufacturer specification</x:v>
      </x:c>
      <x:c r="G113" t="str">
        <x:v>Carbon / low alloy</x:v>
      </x:c>
      <x:c r="H113" t="str">
        <x:v>Low temperature / toughness grade</x:v>
      </x:c>
      <x:c r="I113" t="str">
        <x:v>Casing and tubing (verify sizes)</x:v>
      </x:c>
      <x:c r="J113" t="str">
        <x:v>Not established by grade name</x:v>
      </x:c>
      <x:c r="K113" t="str">
        <x:v>Corrosion control may be needed</x:v>
      </x:c>
      <x:c r="L113" t="str">
        <x:v>API / not stated</x:v>
      </x:c>
      <x:c r="M113" t="n">
        <x:v>80</x:v>
      </x:c>
      <x:c r="N113" t="str"/>
      <x:c r="O113" t="str"/>
      <x:c r="P113" t="str"/>
      <x:c r="Q113" t="str">
        <x:v>A · standard carbon</x:v>
      </x:c>
      <x:c r="R113"/>
      <x:c r="S113"/>
      <x:c r="T113" t="str">
        <x:v>RFQ required · no public supplier-specific quote</x:v>
      </x:c>
      <x:c r="U113"/>
      <x:c r="V113" t="str">
        <x:v>https://www.tenaris.com/en/products-and-services/octg/steel-grades/</x:v>
      </x:c>
      <x:c r="W113" t="str">
        <x:v>Manufacturer-listed</x:v>
      </x:c>
      <x:c r="X113" t="str"/>
      <x:c r="Y113" t="str">
        <x:v>2026-10-10</x:v>
      </x:c>
    </x:row>
    <x:row r="114" ht="22" customHeight="1">
      <x:c r="A114" t="str">
        <x:v>OCTG-0113</x:v>
      </x:c>
      <x:c r="B114" t="str">
        <x:v>Tenaris</x:v>
      </x:c>
      <x:c r="C114" t="str">
        <x:v>Global / Italy</x:v>
      </x:c>
      <x:c r="D114" t="str">
        <x:v>TN 80S</x:v>
      </x:c>
      <x:c r="E114" t="str">
        <x:v>Proprietary grade</x:v>
      </x:c>
      <x:c r="F114" t="str">
        <x:v>API 5CT-based / manufacturer specification</x:v>
      </x:c>
      <x:c r="G114" t="str">
        <x:v>Carbon / low alloy</x:v>
      </x:c>
      <x:c r="H114" t="str">
        <x:v>Sour service (manufacturer qualified domain)</x:v>
      </x:c>
      <x:c r="I114" t="str">
        <x:v>Casing and tubing (verify sizes)</x:v>
      </x:c>
      <x:c r="J114" t="str">
        <x:v>Sour service: manufacturer-defined limits</x:v>
      </x:c>
      <x:c r="K114" t="str">
        <x:v>Corrosion control may be needed</x:v>
      </x:c>
      <x:c r="L114" t="str">
        <x:v>API / not stated</x:v>
      </x:c>
      <x:c r="M114" t="n">
        <x:v>80</x:v>
      </x:c>
      <x:c r="N114" t="str"/>
      <x:c r="O114" t="str"/>
      <x:c r="P114" t="str"/>
      <x:c r="Q114" t="str">
        <x:v>A · standard carbon</x:v>
      </x:c>
      <x:c r="R114"/>
      <x:c r="S114"/>
      <x:c r="T114" t="str">
        <x:v>RFQ required · no public supplier-specific quote</x:v>
      </x:c>
      <x:c r="U114"/>
      <x:c r="V114" t="str">
        <x:v>https://www.tenaris.com/en/products-and-services/octg/steel-grades/</x:v>
      </x:c>
      <x:c r="W114" t="str">
        <x:v>Manufacturer-listed</x:v>
      </x:c>
      <x:c r="X114" t="str"/>
      <x:c r="Y114" t="str">
        <x:v>2026-10-10</x:v>
      </x:c>
    </x:row>
    <x:row r="115" ht="22" customHeight="1">
      <x:c r="A115" t="str">
        <x:v>OCTG-0114</x:v>
      </x:c>
      <x:c r="B115" t="str">
        <x:v>Tenaris</x:v>
      </x:c>
      <x:c r="C115" t="str">
        <x:v>Global / Italy</x:v>
      </x:c>
      <x:c r="D115" t="str">
        <x:v>TN 80SS</x:v>
      </x:c>
      <x:c r="E115" t="str">
        <x:v>Proprietary grade</x:v>
      </x:c>
      <x:c r="F115" t="str">
        <x:v>API 5CT-based / manufacturer specification</x:v>
      </x:c>
      <x:c r="G115" t="str">
        <x:v>Carbon / low alloy</x:v>
      </x:c>
      <x:c r="H115" t="str">
        <x:v>Sour service (manufacturer qualified domain)</x:v>
      </x:c>
      <x:c r="I115" t="str">
        <x:v>Casing and tubing (verify sizes)</x:v>
      </x:c>
      <x:c r="J115" t="str">
        <x:v>Sour service: manufacturer-defined limits</x:v>
      </x:c>
      <x:c r="K115" t="str">
        <x:v>Corrosion control may be needed</x:v>
      </x:c>
      <x:c r="L115" t="str">
        <x:v>API / not stated</x:v>
      </x:c>
      <x:c r="M115" t="n">
        <x:v>80</x:v>
      </x:c>
      <x:c r="N115" t="str"/>
      <x:c r="O115" t="str"/>
      <x:c r="P115" t="str"/>
      <x:c r="Q115" t="str">
        <x:v>A · standard carbon</x:v>
      </x:c>
      <x:c r="R115"/>
      <x:c r="S115"/>
      <x:c r="T115" t="str">
        <x:v>RFQ required · no public supplier-specific quote</x:v>
      </x:c>
      <x:c r="U115"/>
      <x:c r="V115" t="str">
        <x:v>https://www.tenaris.com/en/products-and-services/octg/steel-grades/</x:v>
      </x:c>
      <x:c r="W115" t="str">
        <x:v>Manufacturer-listed</x:v>
      </x:c>
      <x:c r="X115" t="str"/>
      <x:c r="Y115" t="str">
        <x:v>2026-10-10</x:v>
      </x:c>
    </x:row>
    <x:row r="116" ht="22" customHeight="1">
      <x:c r="A116" t="str">
        <x:v>OCTG-0115</x:v>
      </x:c>
      <x:c r="B116" t="str">
        <x:v>Tenaris</x:v>
      </x:c>
      <x:c r="C116" t="str">
        <x:v>Global / Italy</x:v>
      </x:c>
      <x:c r="D116" t="str">
        <x:v>TN 80TH</x:v>
      </x:c>
      <x:c r="E116" t="str">
        <x:v>Proprietary grade</x:v>
      </x:c>
      <x:c r="F116" t="str">
        <x:v>API 5CT-based / manufacturer specification</x:v>
      </x:c>
      <x:c r="G116" t="str">
        <x:v>Carbon / low alloy</x:v>
      </x:c>
      <x:c r="H116" t="str">
        <x:v>Thermal/temperature specialty (see Tenaris datasheet)</x:v>
      </x:c>
      <x:c r="I116" t="str">
        <x:v>Casing and tubing (verify sizes)</x:v>
      </x:c>
      <x:c r="J116" t="str">
        <x:v>Not established by grade name</x:v>
      </x:c>
      <x:c r="K116" t="str">
        <x:v>Corrosion control may be needed</x:v>
      </x:c>
      <x:c r="L116" t="str">
        <x:v>API / not stated</x:v>
      </x:c>
      <x:c r="M116" t="n">
        <x:v>80</x:v>
      </x:c>
      <x:c r="N116" t="str"/>
      <x:c r="O116" t="str"/>
      <x:c r="P116" t="str"/>
      <x:c r="Q116" t="str">
        <x:v>A · standard carbon</x:v>
      </x:c>
      <x:c r="R116"/>
      <x:c r="S116"/>
      <x:c r="T116" t="str">
        <x:v>RFQ required · no public supplier-specific quote</x:v>
      </x:c>
      <x:c r="U116"/>
      <x:c r="V116" t="str">
        <x:v>https://www.tenaris.com/en/products-and-services/octg/steel-grades/</x:v>
      </x:c>
      <x:c r="W116" t="str">
        <x:v>Grade code verified; detailed application requires datasheet</x:v>
      </x:c>
      <x:c r="X116" t="str"/>
      <x:c r="Y116" t="str">
        <x:v>2026-10-10</x:v>
      </x:c>
    </x:row>
    <x:row r="117" ht="22" customHeight="1">
      <x:c r="A117" t="str">
        <x:v>OCTG-0116</x:v>
      </x:c>
      <x:c r="B117" t="str">
        <x:v>Tenaris</x:v>
      </x:c>
      <x:c r="C117" t="str">
        <x:v>Global / Italy</x:v>
      </x:c>
      <x:c r="D117" t="str">
        <x:v>TN 80TL</x:v>
      </x:c>
      <x:c r="E117" t="str">
        <x:v>Proprietary grade</x:v>
      </x:c>
      <x:c r="F117" t="str">
        <x:v>API 5CT-based / manufacturer specification</x:v>
      </x:c>
      <x:c r="G117" t="str">
        <x:v>Carbon / low alloy</x:v>
      </x:c>
      <x:c r="H117" t="str">
        <x:v>Thermal/temperature specialty (see Tenaris datasheet)</x:v>
      </x:c>
      <x:c r="I117" t="str">
        <x:v>Casing and tubing (verify sizes)</x:v>
      </x:c>
      <x:c r="J117" t="str">
        <x:v>Not established by grade name</x:v>
      </x:c>
      <x:c r="K117" t="str">
        <x:v>Corrosion control may be needed</x:v>
      </x:c>
      <x:c r="L117" t="str">
        <x:v>API / not stated</x:v>
      </x:c>
      <x:c r="M117" t="n">
        <x:v>80</x:v>
      </x:c>
      <x:c r="N117" t="str"/>
      <x:c r="O117" t="str"/>
      <x:c r="P117" t="str"/>
      <x:c r="Q117" t="str">
        <x:v>A · standard carbon</x:v>
      </x:c>
      <x:c r="R117"/>
      <x:c r="S117"/>
      <x:c r="T117" t="str">
        <x:v>RFQ required · no public supplier-specific quote</x:v>
      </x:c>
      <x:c r="U117"/>
      <x:c r="V117" t="str">
        <x:v>https://www.tenaris.com/en/products-and-services/octg/steel-grades/</x:v>
      </x:c>
      <x:c r="W117" t="str">
        <x:v>Grade code verified; detailed application requires datasheet</x:v>
      </x:c>
      <x:c r="X117" t="str"/>
      <x:c r="Y117" t="str">
        <x:v>2026-10-10</x:v>
      </x:c>
    </x:row>
    <x:row r="118" ht="22" customHeight="1">
      <x:c r="A118" t="str">
        <x:v>OCTG-0117</x:v>
      </x:c>
      <x:c r="B118" t="str">
        <x:v>Tenaris</x:v>
      </x:c>
      <x:c r="C118" t="str">
        <x:v>Global / Italy</x:v>
      </x:c>
      <x:c r="D118" t="str">
        <x:v>TN 90S</x:v>
      </x:c>
      <x:c r="E118" t="str">
        <x:v>Proprietary grade</x:v>
      </x:c>
      <x:c r="F118" t="str">
        <x:v>API 5CT-based / manufacturer specification</x:v>
      </x:c>
      <x:c r="G118" t="str">
        <x:v>Carbon / low alloy</x:v>
      </x:c>
      <x:c r="H118" t="str">
        <x:v>Sour service (manufacturer qualified domain)</x:v>
      </x:c>
      <x:c r="I118" t="str">
        <x:v>Casing and tubing (verify sizes)</x:v>
      </x:c>
      <x:c r="J118" t="str">
        <x:v>Sour service: manufacturer-defined limits</x:v>
      </x:c>
      <x:c r="K118" t="str">
        <x:v>Corrosion control may be needed</x:v>
      </x:c>
      <x:c r="L118" t="str">
        <x:v>API / not stated</x:v>
      </x:c>
      <x:c r="M118" t="n">
        <x:v>90</x:v>
      </x:c>
      <x:c r="N118" t="str"/>
      <x:c r="O118" t="str"/>
      <x:c r="P118" t="str"/>
      <x:c r="Q118" t="str">
        <x:v>A · standard carbon</x:v>
      </x:c>
      <x:c r="R118"/>
      <x:c r="S118"/>
      <x:c r="T118" t="str">
        <x:v>RFQ required · no public supplier-specific quote</x:v>
      </x:c>
      <x:c r="U118"/>
      <x:c r="V118" t="str">
        <x:v>https://www.tenaris.com/en/products-and-services/octg/steel-grades/</x:v>
      </x:c>
      <x:c r="W118" t="str">
        <x:v>Manufacturer-listed</x:v>
      </x:c>
      <x:c r="X118" t="str"/>
      <x:c r="Y118" t="str">
        <x:v>2026-10-10</x:v>
      </x:c>
    </x:row>
    <x:row r="119" ht="22" customHeight="1">
      <x:c r="A119" t="str">
        <x:v>OCTG-0118</x:v>
      </x:c>
      <x:c r="B119" t="str">
        <x:v>Tenaris</x:v>
      </x:c>
      <x:c r="C119" t="str">
        <x:v>Global / Italy</x:v>
      </x:c>
      <x:c r="D119" t="str">
        <x:v>TN 90SS</x:v>
      </x:c>
      <x:c r="E119" t="str">
        <x:v>Proprietary grade</x:v>
      </x:c>
      <x:c r="F119" t="str">
        <x:v>API 5CT-based / manufacturer specification</x:v>
      </x:c>
      <x:c r="G119" t="str">
        <x:v>Carbon / low alloy</x:v>
      </x:c>
      <x:c r="H119" t="str">
        <x:v>Sour service (manufacturer qualified domain)</x:v>
      </x:c>
      <x:c r="I119" t="str">
        <x:v>Casing and tubing (verify sizes)</x:v>
      </x:c>
      <x:c r="J119" t="str">
        <x:v>Sour service: manufacturer-defined limits</x:v>
      </x:c>
      <x:c r="K119" t="str">
        <x:v>Corrosion control may be needed</x:v>
      </x:c>
      <x:c r="L119" t="str">
        <x:v>API / not stated</x:v>
      </x:c>
      <x:c r="M119" t="n">
        <x:v>90</x:v>
      </x:c>
      <x:c r="N119" t="str"/>
      <x:c r="O119" t="str"/>
      <x:c r="P119" t="str"/>
      <x:c r="Q119" t="str">
        <x:v>A · standard carbon</x:v>
      </x:c>
      <x:c r="R119"/>
      <x:c r="S119"/>
      <x:c r="T119" t="str">
        <x:v>RFQ required · no public supplier-specific quote</x:v>
      </x:c>
      <x:c r="U119"/>
      <x:c r="V119" t="str">
        <x:v>https://www.tenaris.com/en/products-and-services/octg/steel-grades/</x:v>
      </x:c>
      <x:c r="W119" t="str">
        <x:v>Manufacturer-listed</x:v>
      </x:c>
      <x:c r="X119" t="str"/>
      <x:c r="Y119" t="str">
        <x:v>2026-10-10</x:v>
      </x:c>
    </x:row>
    <x:row r="120" ht="22" customHeight="1">
      <x:c r="A120" t="str">
        <x:v>OCTG-0119</x:v>
      </x:c>
      <x:c r="B120" t="str">
        <x:v>Tenaris</x:v>
      </x:c>
      <x:c r="C120" t="str">
        <x:v>Global / Italy</x:v>
      </x:c>
      <x:c r="D120" t="str">
        <x:v>TN 95HC</x:v>
      </x:c>
      <x:c r="E120" t="str">
        <x:v>Proprietary grade</x:v>
      </x:c>
      <x:c r="F120" t="str">
        <x:v>API 5CT-based / manufacturer specification</x:v>
      </x:c>
      <x:c r="G120" t="str">
        <x:v>Carbon / low alloy</x:v>
      </x:c>
      <x:c r="H120" t="str">
        <x:v>High collapse / external pressure</x:v>
      </x:c>
      <x:c r="I120" t="str">
        <x:v>Casing and tubing (verify sizes)</x:v>
      </x:c>
      <x:c r="J120" t="str">
        <x:v>Not established by grade name</x:v>
      </x:c>
      <x:c r="K120" t="str">
        <x:v>Corrosion control may be needed</x:v>
      </x:c>
      <x:c r="L120" t="str">
        <x:v>Enhanced</x:v>
      </x:c>
      <x:c r="M120" t="n">
        <x:v>95</x:v>
      </x:c>
      <x:c r="N120" t="str"/>
      <x:c r="O120" t="str"/>
      <x:c r="P120" t="str"/>
      <x:c r="Q120" t="str">
        <x:v>A · standard carbon</x:v>
      </x:c>
      <x:c r="R120"/>
      <x:c r="S120"/>
      <x:c r="T120" t="str">
        <x:v>RFQ required · no public supplier-specific quote</x:v>
      </x:c>
      <x:c r="U120"/>
      <x:c r="V120" t="str">
        <x:v>https://www.tenaris.com/en/products-and-services/octg/steel-grades/</x:v>
      </x:c>
      <x:c r="W120" t="str">
        <x:v>Manufacturer-listed</x:v>
      </x:c>
      <x:c r="X120" t="str"/>
      <x:c r="Y120" t="str">
        <x:v>2026-10-10</x:v>
      </x:c>
    </x:row>
    <x:row r="121" ht="22" customHeight="1">
      <x:c r="A121" t="str">
        <x:v>OCTG-0120</x:v>
      </x:c>
      <x:c r="B121" t="str">
        <x:v>Tenaris</x:v>
      </x:c>
      <x:c r="C121" t="str">
        <x:v>Global / Italy</x:v>
      </x:c>
      <x:c r="D121" t="str">
        <x:v>TN 95HS</x:v>
      </x:c>
      <x:c r="E121" t="str">
        <x:v>Proprietary grade</x:v>
      </x:c>
      <x:c r="F121" t="str">
        <x:v>API 5CT-based / manufacturer specification</x:v>
      </x:c>
      <x:c r="G121" t="str">
        <x:v>Carbon / low alloy</x:v>
      </x:c>
      <x:c r="H121" t="str">
        <x:v>Sour service (manufacturer qualified domain)</x:v>
      </x:c>
      <x:c r="I121" t="str">
        <x:v>Casing and tubing (verify sizes)</x:v>
      </x:c>
      <x:c r="J121" t="str">
        <x:v>Sour service: manufacturer-defined limits</x:v>
      </x:c>
      <x:c r="K121" t="str">
        <x:v>Corrosion control may be needed</x:v>
      </x:c>
      <x:c r="L121" t="str">
        <x:v>API / not stated</x:v>
      </x:c>
      <x:c r="M121" t="n">
        <x:v>95</x:v>
      </x:c>
      <x:c r="N121" t="str"/>
      <x:c r="O121" t="str"/>
      <x:c r="P121" t="str"/>
      <x:c r="Q121" t="str">
        <x:v>A · standard carbon</x:v>
      </x:c>
      <x:c r="R121"/>
      <x:c r="S121"/>
      <x:c r="T121" t="str">
        <x:v>RFQ required · no public supplier-specific quote</x:v>
      </x:c>
      <x:c r="U121"/>
      <x:c r="V121" t="str">
        <x:v>https://www.tenaris.com/en/products-and-services/octg/steel-grades/</x:v>
      </x:c>
      <x:c r="W121" t="str">
        <x:v>Manufacturer-listed</x:v>
      </x:c>
      <x:c r="X121" t="str"/>
      <x:c r="Y121" t="str">
        <x:v>2026-10-10</x:v>
      </x:c>
    </x:row>
    <x:row r="122" ht="22" customHeight="1">
      <x:c r="A122" t="str">
        <x:v>OCTG-0121</x:v>
      </x:c>
      <x:c r="B122" t="str">
        <x:v>Tenaris</x:v>
      </x:c>
      <x:c r="C122" t="str">
        <x:v>Global / Italy</x:v>
      </x:c>
      <x:c r="D122" t="str">
        <x:v>TN 95LT</x:v>
      </x:c>
      <x:c r="E122" t="str">
        <x:v>Proprietary grade</x:v>
      </x:c>
      <x:c r="F122" t="str">
        <x:v>API 5CT-based / manufacturer specification</x:v>
      </x:c>
      <x:c r="G122" t="str">
        <x:v>Carbon / low alloy</x:v>
      </x:c>
      <x:c r="H122" t="str">
        <x:v>Low temperature / toughness grade</x:v>
      </x:c>
      <x:c r="I122" t="str">
        <x:v>Casing and tubing (verify sizes)</x:v>
      </x:c>
      <x:c r="J122" t="str">
        <x:v>Not established by grade name</x:v>
      </x:c>
      <x:c r="K122" t="str">
        <x:v>Corrosion control may be needed</x:v>
      </x:c>
      <x:c r="L122" t="str">
        <x:v>API / not stated</x:v>
      </x:c>
      <x:c r="M122" t="n">
        <x:v>95</x:v>
      </x:c>
      <x:c r="N122" t="str"/>
      <x:c r="O122" t="str"/>
      <x:c r="P122" t="str"/>
      <x:c r="Q122" t="str">
        <x:v>A · standard carbon</x:v>
      </x:c>
      <x:c r="R122"/>
      <x:c r="S122"/>
      <x:c r="T122" t="str">
        <x:v>RFQ required · no public supplier-specific quote</x:v>
      </x:c>
      <x:c r="U122"/>
      <x:c r="V122" t="str">
        <x:v>https://www.tenaris.com/en/products-and-services/octg/steel-grades/</x:v>
      </x:c>
      <x:c r="W122" t="str">
        <x:v>Manufacturer-listed</x:v>
      </x:c>
      <x:c r="X122" t="str"/>
      <x:c r="Y122" t="str">
        <x:v>2026-10-10</x:v>
      </x:c>
    </x:row>
    <x:row r="123" ht="22" customHeight="1">
      <x:c r="A123" t="str">
        <x:v>OCTG-0122</x:v>
      </x:c>
      <x:c r="B123" t="str">
        <x:v>Tenaris</x:v>
      </x:c>
      <x:c r="C123" t="str">
        <x:v>Global / Italy</x:v>
      </x:c>
      <x:c r="D123" t="str">
        <x:v>TN 95S</x:v>
      </x:c>
      <x:c r="E123" t="str">
        <x:v>Proprietary grade</x:v>
      </x:c>
      <x:c r="F123" t="str">
        <x:v>API 5CT-based / manufacturer specification</x:v>
      </x:c>
      <x:c r="G123" t="str">
        <x:v>Carbon / low alloy</x:v>
      </x:c>
      <x:c r="H123" t="str">
        <x:v>Sour service (manufacturer qualified domain)</x:v>
      </x:c>
      <x:c r="I123" t="str">
        <x:v>Casing and tubing (verify sizes)</x:v>
      </x:c>
      <x:c r="J123" t="str">
        <x:v>Sour service: manufacturer-defined limits</x:v>
      </x:c>
      <x:c r="K123" t="str">
        <x:v>Corrosion control may be needed</x:v>
      </x:c>
      <x:c r="L123" t="str">
        <x:v>API / not stated</x:v>
      </x:c>
      <x:c r="M123" t="n">
        <x:v>95</x:v>
      </x:c>
      <x:c r="N123" t="str"/>
      <x:c r="O123" t="str"/>
      <x:c r="P123" t="str"/>
      <x:c r="Q123" t="str">
        <x:v>A · standard carbon</x:v>
      </x:c>
      <x:c r="R123"/>
      <x:c r="S123"/>
      <x:c r="T123" t="str">
        <x:v>RFQ required · no public supplier-specific quote</x:v>
      </x:c>
      <x:c r="U123"/>
      <x:c r="V123" t="str">
        <x:v>https://www.tenaris.com/en/products-and-services/octg/steel-grades/</x:v>
      </x:c>
      <x:c r="W123" t="str">
        <x:v>Manufacturer-listed</x:v>
      </x:c>
      <x:c r="X123" t="str"/>
      <x:c r="Y123" t="str">
        <x:v>2026-10-10</x:v>
      </x:c>
    </x:row>
    <x:row r="124" ht="22" customHeight="1">
      <x:c r="A124" t="str">
        <x:v>OCTG-0123</x:v>
      </x:c>
      <x:c r="B124" t="str">
        <x:v>Tenaris</x:v>
      </x:c>
      <x:c r="C124" t="str">
        <x:v>Global / Italy</x:v>
      </x:c>
      <x:c r="D124" t="str">
        <x:v>TN 95SS</x:v>
      </x:c>
      <x:c r="E124" t="str">
        <x:v>Proprietary grade</x:v>
      </x:c>
      <x:c r="F124" t="str">
        <x:v>API 5CT-based / manufacturer specification</x:v>
      </x:c>
      <x:c r="G124" t="str">
        <x:v>Carbon / low alloy</x:v>
      </x:c>
      <x:c r="H124" t="str">
        <x:v>Sour service (manufacturer qualified domain)</x:v>
      </x:c>
      <x:c r="I124" t="str">
        <x:v>Casing and tubing (verify sizes)</x:v>
      </x:c>
      <x:c r="J124" t="str">
        <x:v>Sour service: manufacturer-defined limits</x:v>
      </x:c>
      <x:c r="K124" t="str">
        <x:v>Corrosion control may be needed</x:v>
      </x:c>
      <x:c r="L124" t="str">
        <x:v>API / not stated</x:v>
      </x:c>
      <x:c r="M124" t="n">
        <x:v>95</x:v>
      </x:c>
      <x:c r="N124" t="str"/>
      <x:c r="O124" t="str"/>
      <x:c r="P124" t="str"/>
      <x:c r="Q124" t="str">
        <x:v>A · standard carbon</x:v>
      </x:c>
      <x:c r="R124"/>
      <x:c r="S124"/>
      <x:c r="T124" t="str">
        <x:v>RFQ required · no public supplier-specific quote</x:v>
      </x:c>
      <x:c r="U124"/>
      <x:c r="V124" t="str">
        <x:v>https://www.tenaris.com/en/products-and-services/octg/steel-grades/</x:v>
      </x:c>
      <x:c r="W124" t="str">
        <x:v>Manufacturer-listed</x:v>
      </x:c>
      <x:c r="X124" t="str"/>
      <x:c r="Y124" t="str">
        <x:v>2026-10-10</x:v>
      </x:c>
    </x:row>
    <x:row r="125" ht="22" customHeight="1">
      <x:c r="A125" t="str">
        <x:v>OCTG-0124</x:v>
      </x:c>
      <x:c r="B125" t="str">
        <x:v>Tenaris</x:v>
      </x:c>
      <x:c r="C125" t="str">
        <x:v>Global / Italy</x:v>
      </x:c>
      <x:c r="D125" t="str">
        <x:v>22Cr - 140 ksi</x:v>
      </x:c>
      <x:c r="E125" t="str">
        <x:v>Manufacturer CRA alloy/strength offering</x:v>
      </x:c>
      <x:c r="F125" t="str">
        <x:v>API 5CRA / ISO 13680 referenced; check qualified supply</x:v>
      </x:c>
      <x:c r="G125" t="str">
        <x:v>Duplex 22Cr</x:v>
      </x:c>
      <x:c r="H125" t="str">
        <x:v>CRA for CO2/H2S/chlorides; service to be qualified</x:v>
      </x:c>
      <x:c r="I125" t="str">
        <x:v>Production tubing / liner</x:v>
      </x:c>
      <x:c r="J125" t="str">
        <x:v>Not established by grade name</x:v>
      </x:c>
      <x:c r="K125" t="str">
        <x:v>Improved (verify temperature / chloride limits)</x:v>
      </x:c>
      <x:c r="L125" t="str">
        <x:v>API / not stated</x:v>
      </x:c>
      <x:c r="M125" t="n">
        <x:v>140</x:v>
      </x:c>
      <x:c r="N125" t="str">
        <x:v>S31803</x:v>
      </x:c>
      <x:c r="O125" t="str"/>
      <x:c r="P125" t="str">
        <x:v>22-5-3</x:v>
      </x:c>
      <x:c r="Q125" t="str">
        <x:v>F · duplex CRA</x:v>
      </x:c>
      <x:c r="R125"/>
      <x:c r="S125"/>
      <x:c r="T125" t="str">
        <x:v>RFQ required · no public supplier-specific quote</x:v>
      </x:c>
      <x:c r="U125"/>
      <x:c r="V125" t="str">
        <x:v>https://www.tenaris.com/en/products-and-services/octg/steel-grades/</x:v>
      </x:c>
      <x:c r="W125" t="str">
        <x:v>Manufacturer-listed</x:v>
      </x:c>
      <x:c r="X125" t="str">
        <x:v>Tenaris grade table denotes alloy and yield options; site does not give a single unique trade name per strength.</x:v>
      </x:c>
      <x:c r="Y125" t="str">
        <x:v>2026-10-10</x:v>
      </x:c>
    </x:row>
    <x:row r="126" ht="22" customHeight="1">
      <x:c r="A126" t="str">
        <x:v>OCTG-0125</x:v>
      </x:c>
      <x:c r="B126" t="str">
        <x:v>Tenaris</x:v>
      </x:c>
      <x:c r="C126" t="str">
        <x:v>Global / Italy</x:v>
      </x:c>
      <x:c r="D126" t="str">
        <x:v>22Cr - 65 ksi</x:v>
      </x:c>
      <x:c r="E126" t="str">
        <x:v>Manufacturer CRA alloy/strength offering</x:v>
      </x:c>
      <x:c r="F126" t="str">
        <x:v>API 5CRA / ISO 13680 referenced; check qualified supply</x:v>
      </x:c>
      <x:c r="G126" t="str">
        <x:v>Duplex 22Cr</x:v>
      </x:c>
      <x:c r="H126" t="str">
        <x:v>CRA for CO2/H2S/chlorides; service to be qualified</x:v>
      </x:c>
      <x:c r="I126" t="str">
        <x:v>Production tubing / liner</x:v>
      </x:c>
      <x:c r="J126" t="str">
        <x:v>Not established by grade name</x:v>
      </x:c>
      <x:c r="K126" t="str">
        <x:v>Improved (verify temperature / chloride limits)</x:v>
      </x:c>
      <x:c r="L126" t="str">
        <x:v>API / not stated</x:v>
      </x:c>
      <x:c r="M126" t="n">
        <x:v>65</x:v>
      </x:c>
      <x:c r="N126" t="str">
        <x:v>S31803</x:v>
      </x:c>
      <x:c r="O126" t="str"/>
      <x:c r="P126" t="str">
        <x:v>22-5-3</x:v>
      </x:c>
      <x:c r="Q126" t="str">
        <x:v>F · duplex CRA</x:v>
      </x:c>
      <x:c r="R126"/>
      <x:c r="S126"/>
      <x:c r="T126" t="str">
        <x:v>RFQ required · no public supplier-specific quote</x:v>
      </x:c>
      <x:c r="U126"/>
      <x:c r="V126" t="str">
        <x:v>https://www.tenaris.com/en/products-and-services/octg/steel-grades/</x:v>
      </x:c>
      <x:c r="W126" t="str">
        <x:v>Manufacturer-listed</x:v>
      </x:c>
      <x:c r="X126" t="str">
        <x:v>Tenaris grade table denotes alloy and yield options; site does not give a single unique trade name per strength.</x:v>
      </x:c>
      <x:c r="Y126" t="str">
        <x:v>2026-10-10</x:v>
      </x:c>
    </x:row>
    <x:row r="127" ht="22" customHeight="1">
      <x:c r="A127" t="str">
        <x:v>OCTG-0126</x:v>
      </x:c>
      <x:c r="B127" t="str">
        <x:v>Tenaris</x:v>
      </x:c>
      <x:c r="C127" t="str">
        <x:v>Global / Italy</x:v>
      </x:c>
      <x:c r="D127" t="str">
        <x:v>Alloy 28 - 110 ksi</x:v>
      </x:c>
      <x:c r="E127" t="str">
        <x:v>Manufacturer CRA alloy/strength offering</x:v>
      </x:c>
      <x:c r="F127" t="str">
        <x:v>API 5CRA / ISO 13680 referenced; check qualified supply</x:v>
      </x:c>
      <x:c r="G127" t="str">
        <x:v>Fe-base austenitic CRA</x:v>
      </x:c>
      <x:c r="H127" t="str">
        <x:v>CRA for CO2/H2S/chlorides; service to be qualified</x:v>
      </x:c>
      <x:c r="I127" t="str">
        <x:v>Production tubing / liner</x:v>
      </x:c>
      <x:c r="J127" t="str">
        <x:v>Not established by grade name</x:v>
      </x:c>
      <x:c r="K127" t="str">
        <x:v>Improved (verify temperature / chloride limits)</x:v>
      </x:c>
      <x:c r="L127" t="str">
        <x:v>API / not stated</x:v>
      </x:c>
      <x:c r="M127" t="n">
        <x:v>110</x:v>
      </x:c>
      <x:c r="N127" t="str">
        <x:v>N08028</x:v>
      </x:c>
      <x:c r="O127" t="str"/>
      <x:c r="P127" t="str">
        <x:v>27-31-4</x:v>
      </x:c>
      <x:c r="Q127" t="str">
        <x:v>H · high-Ni Fe-base CRA</x:v>
      </x:c>
      <x:c r="R127"/>
      <x:c r="S127"/>
      <x:c r="T127" t="str">
        <x:v>RFQ required · no public supplier-specific quote</x:v>
      </x:c>
      <x:c r="U127"/>
      <x:c r="V127" t="str">
        <x:v>https://www.tenaris.com/en/products-and-services/octg/steel-grades/</x:v>
      </x:c>
      <x:c r="W127" t="str">
        <x:v>Manufacturer-listed</x:v>
      </x:c>
      <x:c r="X127" t="str">
        <x:v>Tenaris grade table denotes alloy and yield options; site does not give a single unique trade name per strength.</x:v>
      </x:c>
      <x:c r="Y127" t="str">
        <x:v>2026-10-10</x:v>
      </x:c>
    </x:row>
    <x:row r="128" ht="22" customHeight="1">
      <x:c r="A128" t="str">
        <x:v>OCTG-0127</x:v>
      </x:c>
      <x:c r="B128" t="str">
        <x:v>Tenaris</x:v>
      </x:c>
      <x:c r="C128" t="str">
        <x:v>Global / Italy</x:v>
      </x:c>
      <x:c r="D128" t="str">
        <x:v>Alloy 28 - 125 ksi</x:v>
      </x:c>
      <x:c r="E128" t="str">
        <x:v>Manufacturer CRA alloy/strength offering</x:v>
      </x:c>
      <x:c r="F128" t="str">
        <x:v>API 5CRA / ISO 13680 referenced; check qualified supply</x:v>
      </x:c>
      <x:c r="G128" t="str">
        <x:v>Fe-base austenitic CRA</x:v>
      </x:c>
      <x:c r="H128" t="str">
        <x:v>CRA for CO2/H2S/chlorides; service to be qualified</x:v>
      </x:c>
      <x:c r="I128" t="str">
        <x:v>Production tubing / liner</x:v>
      </x:c>
      <x:c r="J128" t="str">
        <x:v>Not established by grade name</x:v>
      </x:c>
      <x:c r="K128" t="str">
        <x:v>Improved (verify temperature / chloride limits)</x:v>
      </x:c>
      <x:c r="L128" t="str">
        <x:v>API / not stated</x:v>
      </x:c>
      <x:c r="M128" t="n">
        <x:v>125</x:v>
      </x:c>
      <x:c r="N128" t="str">
        <x:v>N08028</x:v>
      </x:c>
      <x:c r="O128" t="str"/>
      <x:c r="P128" t="str">
        <x:v>27-31-4</x:v>
      </x:c>
      <x:c r="Q128" t="str">
        <x:v>H · high-Ni Fe-base CRA</x:v>
      </x:c>
      <x:c r="R128"/>
      <x:c r="S128"/>
      <x:c r="T128" t="str">
        <x:v>RFQ required · no public supplier-specific quote</x:v>
      </x:c>
      <x:c r="U128"/>
      <x:c r="V128" t="str">
        <x:v>https://www.tenaris.com/en/products-and-services/octg/steel-grades/</x:v>
      </x:c>
      <x:c r="W128" t="str">
        <x:v>Manufacturer-listed</x:v>
      </x:c>
      <x:c r="X128" t="str">
        <x:v>Tenaris grade table denotes alloy and yield options; site does not give a single unique trade name per strength.</x:v>
      </x:c>
      <x:c r="Y128" t="str">
        <x:v>2026-10-10</x:v>
      </x:c>
    </x:row>
    <x:row r="129" ht="22" customHeight="1">
      <x:c r="A129" t="str">
        <x:v>OCTG-0128</x:v>
      </x:c>
      <x:c r="B129" t="str">
        <x:v>Tenaris</x:v>
      </x:c>
      <x:c r="C129" t="str">
        <x:v>Global / Italy</x:v>
      </x:c>
      <x:c r="D129" t="str">
        <x:v>Alloy 29 - 110 ksi</x:v>
      </x:c>
      <x:c r="E129" t="str">
        <x:v>Manufacturer CRA alloy/strength offering</x:v>
      </x:c>
      <x:c r="F129" t="str">
        <x:v>API 5CRA / ISO 13680 referenced; check qualified supply</x:v>
      </x:c>
      <x:c r="G129" t="str">
        <x:v>Fe-base austenitic CRA</x:v>
      </x:c>
      <x:c r="H129" t="str">
        <x:v>CRA for CO2/H2S/chlorides; service to be qualified</x:v>
      </x:c>
      <x:c r="I129" t="str">
        <x:v>Production tubing / liner</x:v>
      </x:c>
      <x:c r="J129" t="str">
        <x:v>Not established by grade name</x:v>
      </x:c>
      <x:c r="K129" t="str">
        <x:v>Improved (verify temperature / chloride limits)</x:v>
      </x:c>
      <x:c r="L129" t="str">
        <x:v>API / not stated</x:v>
      </x:c>
      <x:c r="M129" t="n">
        <x:v>110</x:v>
      </x:c>
      <x:c r="N129" t="str">
        <x:v>N08029</x:v>
      </x:c>
      <x:c r="O129" t="str"/>
      <x:c r="P129" t="str">
        <x:v>Similar 27-31-4</x:v>
      </x:c>
      <x:c r="Q129" t="str">
        <x:v>H · high-Ni Fe-base CRA</x:v>
      </x:c>
      <x:c r="R129"/>
      <x:c r="S129"/>
      <x:c r="T129" t="str">
        <x:v>RFQ required · no public supplier-specific quote</x:v>
      </x:c>
      <x:c r="U129"/>
      <x:c r="V129" t="str">
        <x:v>https://www.tenaris.com/en/products-and-services/octg/steel-grades/</x:v>
      </x:c>
      <x:c r="W129" t="str">
        <x:v>Manufacturer-listed</x:v>
      </x:c>
      <x:c r="X129" t="str">
        <x:v>Tenaris grade table denotes alloy and yield options; site does not give a single unique trade name per strength.</x:v>
      </x:c>
      <x:c r="Y129" t="str">
        <x:v>2026-10-10</x:v>
      </x:c>
    </x:row>
    <x:row r="130" ht="22" customHeight="1">
      <x:c r="A130" t="str">
        <x:v>OCTG-0129</x:v>
      </x:c>
      <x:c r="B130" t="str">
        <x:v>Tenaris</x:v>
      </x:c>
      <x:c r="C130" t="str">
        <x:v>Global / Italy</x:v>
      </x:c>
      <x:c r="D130" t="str">
        <x:v>Alloy 29 - 125 ksi</x:v>
      </x:c>
      <x:c r="E130" t="str">
        <x:v>Manufacturer CRA alloy/strength offering</x:v>
      </x:c>
      <x:c r="F130" t="str">
        <x:v>API 5CRA / ISO 13680 referenced; check qualified supply</x:v>
      </x:c>
      <x:c r="G130" t="str">
        <x:v>Fe-base austenitic CRA</x:v>
      </x:c>
      <x:c r="H130" t="str">
        <x:v>CRA for CO2/H2S/chlorides; service to be qualified</x:v>
      </x:c>
      <x:c r="I130" t="str">
        <x:v>Production tubing / liner</x:v>
      </x:c>
      <x:c r="J130" t="str">
        <x:v>Not established by grade name</x:v>
      </x:c>
      <x:c r="K130" t="str">
        <x:v>Improved (verify temperature / chloride limits)</x:v>
      </x:c>
      <x:c r="L130" t="str">
        <x:v>API / not stated</x:v>
      </x:c>
      <x:c r="M130" t="n">
        <x:v>125</x:v>
      </x:c>
      <x:c r="N130" t="str">
        <x:v>N08029</x:v>
      </x:c>
      <x:c r="O130" t="str"/>
      <x:c r="P130" t="str">
        <x:v>Similar 27-31-4</x:v>
      </x:c>
      <x:c r="Q130" t="str">
        <x:v>H · high-Ni Fe-base CRA</x:v>
      </x:c>
      <x:c r="R130"/>
      <x:c r="S130"/>
      <x:c r="T130" t="str">
        <x:v>RFQ required · no public supplier-specific quote</x:v>
      </x:c>
      <x:c r="U130"/>
      <x:c r="V130" t="str">
        <x:v>https://www.tenaris.com/en/products-and-services/octg/steel-grades/</x:v>
      </x:c>
      <x:c r="W130" t="str">
        <x:v>Manufacturer-listed</x:v>
      </x:c>
      <x:c r="X130" t="str">
        <x:v>Tenaris grade table denotes alloy and yield options; site does not give a single unique trade name per strength.</x:v>
      </x:c>
      <x:c r="Y130" t="str">
        <x:v>2026-10-10</x:v>
      </x:c>
    </x:row>
    <x:row r="131" ht="22" customHeight="1">
      <x:c r="A131" t="str">
        <x:v>OCTG-0130</x:v>
      </x:c>
      <x:c r="B131" t="str">
        <x:v>Tenaris</x:v>
      </x:c>
      <x:c r="C131" t="str">
        <x:v>Global / Italy</x:v>
      </x:c>
      <x:c r="D131" t="str">
        <x:v>TN 110Cr3</x:v>
      </x:c>
      <x:c r="E131" t="str">
        <x:v>Proprietary grade</x:v>
      </x:c>
      <x:c r="F131" t="str">
        <x:v>API 5CT-based / manufacturer specification</x:v>
      </x:c>
      <x:c r="G131" t="str">
        <x:v>Low-Cr alloy steel</x:v>
      </x:c>
      <x:c r="H131" t="str">
        <x:v>Critical-service CO2 corrosion mitigation (low Cr)</x:v>
      </x:c>
      <x:c r="I131" t="str">
        <x:v>Casing and tubing (verify sizes)</x:v>
      </x:c>
      <x:c r="J131" t="str">
        <x:v>Not established by grade name</x:v>
      </x:c>
      <x:c r="K131" t="str">
        <x:v>Corrosion control may be needed</x:v>
      </x:c>
      <x:c r="L131" t="str">
        <x:v>API / not stated</x:v>
      </x:c>
      <x:c r="M131" t="n">
        <x:v>110</x:v>
      </x:c>
      <x:c r="N131" t="str"/>
      <x:c r="O131" t="str"/>
      <x:c r="P131" t="str"/>
      <x:c r="Q131" t="str">
        <x:v>B · low-Cr alloy</x:v>
      </x:c>
      <x:c r="R131"/>
      <x:c r="S131"/>
      <x:c r="T131" t="str">
        <x:v>RFQ required · no public supplier-specific quote</x:v>
      </x:c>
      <x:c r="U131"/>
      <x:c r="V131" t="str">
        <x:v>https://www.tenaris.com/en/products-and-services/octg/steel-grades/</x:v>
      </x:c>
      <x:c r="W131" t="str">
        <x:v>Manufacturer-listed</x:v>
      </x:c>
      <x:c r="X131" t="str"/>
      <x:c r="Y131" t="str">
        <x:v>2026-10-10</x:v>
      </x:c>
    </x:row>
    <x:row r="132" ht="22" customHeight="1">
      <x:c r="A132" t="str">
        <x:v>OCTG-0131</x:v>
      </x:c>
      <x:c r="B132" t="str">
        <x:v>Tenaris</x:v>
      </x:c>
      <x:c r="C132" t="str">
        <x:v>Global / Italy</x:v>
      </x:c>
      <x:c r="D132" t="str">
        <x:v>TN 80Cr3</x:v>
      </x:c>
      <x:c r="E132" t="str">
        <x:v>Proprietary grade</x:v>
      </x:c>
      <x:c r="F132" t="str">
        <x:v>API 5CT-based / manufacturer specification</x:v>
      </x:c>
      <x:c r="G132" t="str">
        <x:v>Low-Cr alloy steel</x:v>
      </x:c>
      <x:c r="H132" t="str">
        <x:v>Critical-service CO2 corrosion mitigation (low Cr)</x:v>
      </x:c>
      <x:c r="I132" t="str">
        <x:v>Casing and tubing (verify sizes)</x:v>
      </x:c>
      <x:c r="J132" t="str">
        <x:v>Not established by grade name</x:v>
      </x:c>
      <x:c r="K132" t="str">
        <x:v>Corrosion control may be needed</x:v>
      </x:c>
      <x:c r="L132" t="str">
        <x:v>API / not stated</x:v>
      </x:c>
      <x:c r="M132" t="n">
        <x:v>80</x:v>
      </x:c>
      <x:c r="N132" t="str"/>
      <x:c r="O132" t="str"/>
      <x:c r="P132" t="str"/>
      <x:c r="Q132" t="str">
        <x:v>B · low-Cr alloy</x:v>
      </x:c>
      <x:c r="R132"/>
      <x:c r="S132"/>
      <x:c r="T132" t="str">
        <x:v>RFQ required · no public supplier-specific quote</x:v>
      </x:c>
      <x:c r="U132"/>
      <x:c r="V132" t="str">
        <x:v>https://www.tenaris.com/en/products-and-services/octg/steel-grades/</x:v>
      </x:c>
      <x:c r="W132" t="str">
        <x:v>Manufacturer-listed</x:v>
      </x:c>
      <x:c r="X132" t="str"/>
      <x:c r="Y132" t="str">
        <x:v>2026-10-10</x:v>
      </x:c>
    </x:row>
    <x:row r="133" ht="22" customHeight="1">
      <x:c r="A133" t="str">
        <x:v>OCTG-0132</x:v>
      </x:c>
      <x:c r="B133" t="str">
        <x:v>Tenaris</x:v>
      </x:c>
      <x:c r="C133" t="str">
        <x:v>Global / Italy</x:v>
      </x:c>
      <x:c r="D133" t="str">
        <x:v>TN 95Cr3</x:v>
      </x:c>
      <x:c r="E133" t="str">
        <x:v>Proprietary grade</x:v>
      </x:c>
      <x:c r="F133" t="str">
        <x:v>API 5CT-based / manufacturer specification</x:v>
      </x:c>
      <x:c r="G133" t="str">
        <x:v>Low-Cr alloy steel</x:v>
      </x:c>
      <x:c r="H133" t="str">
        <x:v>Critical-service CO2 corrosion mitigation (low Cr)</x:v>
      </x:c>
      <x:c r="I133" t="str">
        <x:v>Casing and tubing (verify sizes)</x:v>
      </x:c>
      <x:c r="J133" t="str">
        <x:v>Not established by grade name</x:v>
      </x:c>
      <x:c r="K133" t="str">
        <x:v>Corrosion control may be needed</x:v>
      </x:c>
      <x:c r="L133" t="str">
        <x:v>API / not stated</x:v>
      </x:c>
      <x:c r="M133" t="n">
        <x:v>95</x:v>
      </x:c>
      <x:c r="N133" t="str"/>
      <x:c r="O133" t="str"/>
      <x:c r="P133" t="str"/>
      <x:c r="Q133" t="str">
        <x:v>B · low-Cr alloy</x:v>
      </x:c>
      <x:c r="R133"/>
      <x:c r="S133"/>
      <x:c r="T133" t="str">
        <x:v>RFQ required · no public supplier-specific quote</x:v>
      </x:c>
      <x:c r="U133"/>
      <x:c r="V133" t="str">
        <x:v>https://www.tenaris.com/en/products-and-services/octg/steel-grades/</x:v>
      </x:c>
      <x:c r="W133" t="str">
        <x:v>Manufacturer-listed</x:v>
      </x:c>
      <x:c r="X133" t="str"/>
      <x:c r="Y133" t="str">
        <x:v>2026-10-10</x:v>
      </x:c>
    </x:row>
    <x:row r="134" ht="22" customHeight="1">
      <x:c r="A134" t="str">
        <x:v>OCTG-0133</x:v>
      </x:c>
      <x:c r="B134" t="str">
        <x:v>Tenaris</x:v>
      </x:c>
      <x:c r="C134" t="str">
        <x:v>Global / Italy</x:v>
      </x:c>
      <x:c r="D134" t="str">
        <x:v>TN 80Cr13</x:v>
      </x:c>
      <x:c r="E134" t="str">
        <x:v>Proprietary grade</x:v>
      </x:c>
      <x:c r="F134" t="str">
        <x:v>API 5CT-based / manufacturer specification</x:v>
      </x:c>
      <x:c r="G134" t="str">
        <x:v>Martensitic 13Cr</x:v>
      </x:c>
      <x:c r="H134" t="str">
        <x:v>Sweet wet CO2</x:v>
      </x:c>
      <x:c r="I134" t="str">
        <x:v>Casing and tubing (verify sizes)</x:v>
      </x:c>
      <x:c r="J134" t="str">
        <x:v>Not established by grade name</x:v>
      </x:c>
      <x:c r="K134" t="str">
        <x:v>Improved (verify temperature / chloride limits)</x:v>
      </x:c>
      <x:c r="L134" t="str">
        <x:v>API / not stated</x:v>
      </x:c>
      <x:c r="M134" t="n">
        <x:v>80</x:v>
      </x:c>
      <x:c r="N134" t="str"/>
      <x:c r="O134" t="str"/>
      <x:c r="P134" t="str"/>
      <x:c r="Q134" t="str">
        <x:v>D · 13Cr stainless</x:v>
      </x:c>
      <x:c r="R134"/>
      <x:c r="S134"/>
      <x:c r="T134" t="str">
        <x:v>RFQ required · no public supplier-specific quote</x:v>
      </x:c>
      <x:c r="U134"/>
      <x:c r="V134" t="str">
        <x:v>https://www.tenaris.com/en/products-and-services/octg/steel-grades/</x:v>
      </x:c>
      <x:c r="W134" t="str">
        <x:v>Manufacturer-listed</x:v>
      </x:c>
      <x:c r="X134" t="str"/>
      <x:c r="Y134" t="str">
        <x:v>2026-10-10</x:v>
      </x:c>
    </x:row>
    <x:row r="135" ht="22" customHeight="1">
      <x:c r="A135" t="str">
        <x:v>OCTG-0134</x:v>
      </x:c>
      <x:c r="B135" t="str">
        <x:v>Tenaris</x:v>
      </x:c>
      <x:c r="C135" t="str">
        <x:v>Global / Italy</x:v>
      </x:c>
      <x:c r="D135" t="str">
        <x:v>TN 85Cr13</x:v>
      </x:c>
      <x:c r="E135" t="str">
        <x:v>Proprietary grade</x:v>
      </x:c>
      <x:c r="F135" t="str">
        <x:v>API 5CT-based / manufacturer specification</x:v>
      </x:c>
      <x:c r="G135" t="str">
        <x:v>Martensitic 13Cr</x:v>
      </x:c>
      <x:c r="H135" t="str">
        <x:v>Sweet wet CO2</x:v>
      </x:c>
      <x:c r="I135" t="str">
        <x:v>Casing and tubing (verify sizes)</x:v>
      </x:c>
      <x:c r="J135" t="str">
        <x:v>Not established by grade name</x:v>
      </x:c>
      <x:c r="K135" t="str">
        <x:v>Improved (verify temperature / chloride limits)</x:v>
      </x:c>
      <x:c r="L135" t="str">
        <x:v>API / not stated</x:v>
      </x:c>
      <x:c r="M135" t="n">
        <x:v>85</x:v>
      </x:c>
      <x:c r="N135" t="str"/>
      <x:c r="O135" t="str"/>
      <x:c r="P135" t="str"/>
      <x:c r="Q135" t="str">
        <x:v>D · 13Cr stainless</x:v>
      </x:c>
      <x:c r="R135"/>
      <x:c r="S135"/>
      <x:c r="T135" t="str">
        <x:v>RFQ required · no public supplier-specific quote</x:v>
      </x:c>
      <x:c r="U135"/>
      <x:c r="V135" t="str">
        <x:v>https://www.tenaris.com/en/products-and-services/octg/steel-grades/</x:v>
      </x:c>
      <x:c r="W135" t="str">
        <x:v>Manufacturer-listed</x:v>
      </x:c>
      <x:c r="X135" t="str"/>
      <x:c r="Y135" t="str">
        <x:v>2026-10-10</x:v>
      </x:c>
    </x:row>
    <x:row r="136" ht="22" customHeight="1">
      <x:c r="A136" t="str">
        <x:v>OCTG-0135</x:v>
      </x:c>
      <x:c r="B136" t="str">
        <x:v>Tenaris</x:v>
      </x:c>
      <x:c r="C136" t="str">
        <x:v>Global / Italy</x:v>
      </x:c>
      <x:c r="D136" t="str">
        <x:v>TN 95Cr13</x:v>
      </x:c>
      <x:c r="E136" t="str">
        <x:v>Proprietary grade</x:v>
      </x:c>
      <x:c r="F136" t="str">
        <x:v>API 5CT-based / manufacturer specification</x:v>
      </x:c>
      <x:c r="G136" t="str">
        <x:v>Martensitic 13Cr</x:v>
      </x:c>
      <x:c r="H136" t="str">
        <x:v>Sweet wet CO2</x:v>
      </x:c>
      <x:c r="I136" t="str">
        <x:v>Casing and tubing (verify sizes)</x:v>
      </x:c>
      <x:c r="J136" t="str">
        <x:v>Not established by grade name</x:v>
      </x:c>
      <x:c r="K136" t="str">
        <x:v>Improved (verify temperature / chloride limits)</x:v>
      </x:c>
      <x:c r="L136" t="str">
        <x:v>API / not stated</x:v>
      </x:c>
      <x:c r="M136" t="n">
        <x:v>95</x:v>
      </x:c>
      <x:c r="N136" t="str"/>
      <x:c r="O136" t="str"/>
      <x:c r="P136" t="str"/>
      <x:c r="Q136" t="str">
        <x:v>D · 13Cr stainless</x:v>
      </x:c>
      <x:c r="R136"/>
      <x:c r="S136"/>
      <x:c r="T136" t="str">
        <x:v>RFQ required · no public supplier-specific quote</x:v>
      </x:c>
      <x:c r="U136"/>
      <x:c r="V136" t="str">
        <x:v>https://www.tenaris.com/en/products-and-services/octg/steel-grades/</x:v>
      </x:c>
      <x:c r="W136" t="str">
        <x:v>Manufacturer-listed</x:v>
      </x:c>
      <x:c r="X136" t="str"/>
      <x:c r="Y136" t="str">
        <x:v>2026-10-10</x:v>
      </x:c>
    </x:row>
    <x:row r="137" ht="22" customHeight="1">
      <x:c r="A137" t="str">
        <x:v>OCTG-0136</x:v>
      </x:c>
      <x:c r="B137" t="str">
        <x:v>Tenaris</x:v>
      </x:c>
      <x:c r="C137" t="str">
        <x:v>Global / Italy</x:v>
      </x:c>
      <x:c r="D137" t="str">
        <x:v>TN 110Cr13M</x:v>
      </x:c>
      <x:c r="E137" t="str">
        <x:v>Proprietary grade</x:v>
      </x:c>
      <x:c r="F137" t="str">
        <x:v>API 5CT-based / manufacturer specification</x:v>
      </x:c>
      <x:c r="G137" t="str">
        <x:v>Modified / super 13Cr</x:v>
      </x:c>
      <x:c r="H137" t="str">
        <x:v>Enhanced CO2 resistance / limited H2S depending on grade</x:v>
      </x:c>
      <x:c r="I137" t="str">
        <x:v>Casing and tubing (verify sizes)</x:v>
      </x:c>
      <x:c r="J137" t="str">
        <x:v>Mild/limited sour: verify domain</x:v>
      </x:c>
      <x:c r="K137" t="str">
        <x:v>Improved (verify temperature / chloride limits)</x:v>
      </x:c>
      <x:c r="L137" t="str">
        <x:v>API / not stated</x:v>
      </x:c>
      <x:c r="M137" t="n">
        <x:v>110</x:v>
      </x:c>
      <x:c r="N137" t="str"/>
      <x:c r="O137" t="str"/>
      <x:c r="P137" t="str"/>
      <x:c r="Q137" t="str">
        <x:v>E · modified/S13Cr</x:v>
      </x:c>
      <x:c r="R137"/>
      <x:c r="S137"/>
      <x:c r="T137" t="str">
        <x:v>RFQ required · no public supplier-specific quote</x:v>
      </x:c>
      <x:c r="U137"/>
      <x:c r="V137" t="str">
        <x:v>https://www.tenaris.com/en/products-and-services/octg/steel-grades/</x:v>
      </x:c>
      <x:c r="W137" t="str">
        <x:v>Manufacturer-listed</x:v>
      </x:c>
      <x:c r="X137" t="str"/>
      <x:c r="Y137" t="str">
        <x:v>2026-10-10</x:v>
      </x:c>
    </x:row>
    <x:row r="138" ht="22" customHeight="1">
      <x:c r="A138" t="str">
        <x:v>OCTG-0137</x:v>
      </x:c>
      <x:c r="B138" t="str">
        <x:v>Tenaris</x:v>
      </x:c>
      <x:c r="C138" t="str">
        <x:v>Global / Italy</x:v>
      </x:c>
      <x:c r="D138" t="str">
        <x:v>TN 110Cr13S</x:v>
      </x:c>
      <x:c r="E138" t="str">
        <x:v>Proprietary grade</x:v>
      </x:c>
      <x:c r="F138" t="str">
        <x:v>API 5CT-based / manufacturer specification</x:v>
      </x:c>
      <x:c r="G138" t="str">
        <x:v>Modified / super 13Cr</x:v>
      </x:c>
      <x:c r="H138" t="str">
        <x:v>Enhanced CO2 resistance / limited H2S depending on grade</x:v>
      </x:c>
      <x:c r="I138" t="str">
        <x:v>Casing and tubing (verify sizes)</x:v>
      </x:c>
      <x:c r="J138" t="str">
        <x:v>Mild/limited sour: verify domain</x:v>
      </x:c>
      <x:c r="K138" t="str">
        <x:v>Improved (verify temperature / chloride limits)</x:v>
      </x:c>
      <x:c r="L138" t="str">
        <x:v>API / not stated</x:v>
      </x:c>
      <x:c r="M138" t="n">
        <x:v>110</x:v>
      </x:c>
      <x:c r="N138" t="str"/>
      <x:c r="O138" t="str"/>
      <x:c r="P138" t="str"/>
      <x:c r="Q138" t="str">
        <x:v>E · modified/S13Cr</x:v>
      </x:c>
      <x:c r="R138"/>
      <x:c r="S138"/>
      <x:c r="T138" t="str">
        <x:v>RFQ required · no public supplier-specific quote</x:v>
      </x:c>
      <x:c r="U138"/>
      <x:c r="V138" t="str">
        <x:v>https://www.tenaris.com/en/products-and-services/octg/steel-grades/</x:v>
      </x:c>
      <x:c r="W138" t="str">
        <x:v>Manufacturer-listed</x:v>
      </x:c>
      <x:c r="X138" t="str"/>
      <x:c r="Y138" t="str">
        <x:v>2026-10-10</x:v>
      </x:c>
    </x:row>
    <x:row r="139" ht="22" customHeight="1">
      <x:c r="A139" t="str">
        <x:v>OCTG-0138</x:v>
      </x:c>
      <x:c r="B139" t="str">
        <x:v>Tenaris</x:v>
      </x:c>
      <x:c r="C139" t="str">
        <x:v>Global / Italy</x:v>
      </x:c>
      <x:c r="D139" t="str">
        <x:v>TN 125Cr13S</x:v>
      </x:c>
      <x:c r="E139" t="str">
        <x:v>Proprietary grade</x:v>
      </x:c>
      <x:c r="F139" t="str">
        <x:v>API 5CT-based / manufacturer specification</x:v>
      </x:c>
      <x:c r="G139" t="str">
        <x:v>Modified / super 13Cr</x:v>
      </x:c>
      <x:c r="H139" t="str">
        <x:v>Enhanced CO2 resistance / limited H2S depending on grade</x:v>
      </x:c>
      <x:c r="I139" t="str">
        <x:v>Casing and tubing (verify sizes)</x:v>
      </x:c>
      <x:c r="J139" t="str">
        <x:v>Mild/limited sour: verify domain</x:v>
      </x:c>
      <x:c r="K139" t="str">
        <x:v>Improved (verify temperature / chloride limits)</x:v>
      </x:c>
      <x:c r="L139" t="str">
        <x:v>API / not stated</x:v>
      </x:c>
      <x:c r="M139" t="n">
        <x:v>125</x:v>
      </x:c>
      <x:c r="N139" t="str"/>
      <x:c r="O139" t="str"/>
      <x:c r="P139" t="str"/>
      <x:c r="Q139" t="str">
        <x:v>E · modified/S13Cr</x:v>
      </x:c>
      <x:c r="R139"/>
      <x:c r="S139"/>
      <x:c r="T139" t="str">
        <x:v>RFQ required · no public supplier-specific quote</x:v>
      </x:c>
      <x:c r="U139"/>
      <x:c r="V139" t="str">
        <x:v>https://www.tenaris.com/en/products-and-services/octg/steel-grades/</x:v>
      </x:c>
      <x:c r="W139" t="str">
        <x:v>Manufacturer-listed</x:v>
      </x:c>
      <x:c r="X139" t="str"/>
      <x:c r="Y139" t="str">
        <x:v>2026-10-10</x:v>
      </x:c>
    </x:row>
    <x:row r="140" ht="22" customHeight="1">
      <x:c r="A140" t="str">
        <x:v>OCTG-0139</x:v>
      </x:c>
      <x:c r="B140" t="str">
        <x:v>Tenaris</x:v>
      </x:c>
      <x:c r="C140" t="str">
        <x:v>Global / Italy</x:v>
      </x:c>
      <x:c r="D140" t="str">
        <x:v>TN 125Cr13U</x:v>
      </x:c>
      <x:c r="E140" t="str">
        <x:v>Proprietary grade</x:v>
      </x:c>
      <x:c r="F140" t="str">
        <x:v>API 5CT-based / manufacturer specification</x:v>
      </x:c>
      <x:c r="G140" t="str">
        <x:v>Modified / super 13Cr</x:v>
      </x:c>
      <x:c r="H140" t="str">
        <x:v>Enhanced CO2 resistance / limited H2S depending on grade</x:v>
      </x:c>
      <x:c r="I140" t="str">
        <x:v>Casing and tubing (verify sizes)</x:v>
      </x:c>
      <x:c r="J140" t="str">
        <x:v>Mild/limited sour: verify domain</x:v>
      </x:c>
      <x:c r="K140" t="str">
        <x:v>Improved (verify temperature / chloride limits)</x:v>
      </x:c>
      <x:c r="L140" t="str">
        <x:v>API / not stated</x:v>
      </x:c>
      <x:c r="M140" t="n">
        <x:v>125</x:v>
      </x:c>
      <x:c r="N140" t="str"/>
      <x:c r="O140" t="str"/>
      <x:c r="P140" t="str"/>
      <x:c r="Q140" t="str">
        <x:v>E · modified/S13Cr</x:v>
      </x:c>
      <x:c r="R140"/>
      <x:c r="S140"/>
      <x:c r="T140" t="str">
        <x:v>RFQ required · no public supplier-specific quote</x:v>
      </x:c>
      <x:c r="U140"/>
      <x:c r="V140" t="str">
        <x:v>https://www.tenaris.com/en/products-and-services/octg/steel-grades/</x:v>
      </x:c>
      <x:c r="W140" t="str">
        <x:v>Manufacturer-listed</x:v>
      </x:c>
      <x:c r="X140" t="str"/>
      <x:c r="Y140" t="str">
        <x:v>2026-10-10</x:v>
      </x:c>
    </x:row>
    <x:row r="141" ht="22" customHeight="1">
      <x:c r="A141" t="str">
        <x:v>OCTG-0140</x:v>
      </x:c>
      <x:c r="B141" t="str">
        <x:v>Tenaris</x:v>
      </x:c>
      <x:c r="C141" t="str">
        <x:v>Global / Italy</x:v>
      </x:c>
      <x:c r="D141" t="str">
        <x:v>TN 95Cr13M</x:v>
      </x:c>
      <x:c r="E141" t="str">
        <x:v>Proprietary grade</x:v>
      </x:c>
      <x:c r="F141" t="str">
        <x:v>API 5CT-based / manufacturer specification</x:v>
      </x:c>
      <x:c r="G141" t="str">
        <x:v>Modified / super 13Cr</x:v>
      </x:c>
      <x:c r="H141" t="str">
        <x:v>Enhanced CO2 resistance / limited H2S depending on grade</x:v>
      </x:c>
      <x:c r="I141" t="str">
        <x:v>Casing and tubing (verify sizes)</x:v>
      </x:c>
      <x:c r="J141" t="str">
        <x:v>Mild/limited sour: verify domain</x:v>
      </x:c>
      <x:c r="K141" t="str">
        <x:v>Improved (verify temperature / chloride limits)</x:v>
      </x:c>
      <x:c r="L141" t="str">
        <x:v>API / not stated</x:v>
      </x:c>
      <x:c r="M141" t="n">
        <x:v>95</x:v>
      </x:c>
      <x:c r="N141" t="str"/>
      <x:c r="O141" t="str"/>
      <x:c r="P141" t="str"/>
      <x:c r="Q141" t="str">
        <x:v>E · modified/S13Cr</x:v>
      </x:c>
      <x:c r="R141"/>
      <x:c r="S141"/>
      <x:c r="T141" t="str">
        <x:v>RFQ required · no public supplier-specific quote</x:v>
      </x:c>
      <x:c r="U141"/>
      <x:c r="V141" t="str">
        <x:v>https://www.tenaris.com/en/products-and-services/octg/steel-grades/</x:v>
      </x:c>
      <x:c r="W141" t="str">
        <x:v>Manufacturer-listed</x:v>
      </x:c>
      <x:c r="X141" t="str"/>
      <x:c r="Y141" t="str">
        <x:v>2026-10-10</x:v>
      </x:c>
    </x:row>
    <x:row r="142" ht="22" customHeight="1">
      <x:c r="A142" t="str">
        <x:v>OCTG-0141</x:v>
      </x:c>
      <x:c r="B142" t="str">
        <x:v>Tenaris</x:v>
      </x:c>
      <x:c r="C142" t="str">
        <x:v>Global / Italy</x:v>
      </x:c>
      <x:c r="D142" t="str">
        <x:v>TN 95Cr13S</x:v>
      </x:c>
      <x:c r="E142" t="str">
        <x:v>Proprietary grade</x:v>
      </x:c>
      <x:c r="F142" t="str">
        <x:v>API 5CT-based / manufacturer specification</x:v>
      </x:c>
      <x:c r="G142" t="str">
        <x:v>Modified / super 13Cr</x:v>
      </x:c>
      <x:c r="H142" t="str">
        <x:v>Enhanced CO2 resistance / limited H2S depending on grade</x:v>
      </x:c>
      <x:c r="I142" t="str">
        <x:v>Casing and tubing (verify sizes)</x:v>
      </x:c>
      <x:c r="J142" t="str">
        <x:v>Mild/limited sour: verify domain</x:v>
      </x:c>
      <x:c r="K142" t="str">
        <x:v>Improved (verify temperature / chloride limits)</x:v>
      </x:c>
      <x:c r="L142" t="str">
        <x:v>API / not stated</x:v>
      </x:c>
      <x:c r="M142" t="n">
        <x:v>95</x:v>
      </x:c>
      <x:c r="N142" t="str"/>
      <x:c r="O142" t="str"/>
      <x:c r="P142" t="str"/>
      <x:c r="Q142" t="str">
        <x:v>E · modified/S13Cr</x:v>
      </x:c>
      <x:c r="R142"/>
      <x:c r="S142"/>
      <x:c r="T142" t="str">
        <x:v>RFQ required · no public supplier-specific quote</x:v>
      </x:c>
      <x:c r="U142"/>
      <x:c r="V142" t="str">
        <x:v>https://www.tenaris.com/en/products-and-services/octg/steel-grades/</x:v>
      </x:c>
      <x:c r="W142" t="str">
        <x:v>Manufacturer-listed</x:v>
      </x:c>
      <x:c r="X142" t="str"/>
      <x:c r="Y142" t="str">
        <x:v>2026-10-10</x:v>
      </x:c>
    </x:row>
    <x:row r="143" ht="22" customHeight="1">
      <x:c r="A143" t="str">
        <x:v>OCTG-0142</x:v>
      </x:c>
      <x:c r="B143" t="str">
        <x:v>Tenaris</x:v>
      </x:c>
      <x:c r="C143" t="str">
        <x:v>Global / Italy</x:v>
      </x:c>
      <x:c r="D143" t="str">
        <x:v>Alloy 825 - 110 ksi</x:v>
      </x:c>
      <x:c r="E143" t="str">
        <x:v>Manufacturer CRA alloy/strength offering</x:v>
      </x:c>
      <x:c r="F143" t="str">
        <x:v>API 5CRA / ISO 13680 referenced; check qualified supply</x:v>
      </x:c>
      <x:c r="G143" t="str">
        <x:v>Ni-base CRA</x:v>
      </x:c>
      <x:c r="H143" t="str">
        <x:v>CRA for CO2/H2S/chlorides; service to be qualified</x:v>
      </x:c>
      <x:c r="I143" t="str">
        <x:v>Production tubing / liner</x:v>
      </x:c>
      <x:c r="J143" t="str">
        <x:v>Not established by grade name</x:v>
      </x:c>
      <x:c r="K143" t="str">
        <x:v>Improved (verify temperature / chloride limits)</x:v>
      </x:c>
      <x:c r="L143" t="str">
        <x:v>API / not stated</x:v>
      </x:c>
      <x:c r="M143" t="n">
        <x:v>110</x:v>
      </x:c>
      <x:c r="N143" t="str">
        <x:v>N08825</x:v>
      </x:c>
      <x:c r="O143" t="str"/>
      <x:c r="P143" t="str">
        <x:v>21-42-3</x:v>
      </x:c>
      <x:c r="Q143" t="str">
        <x:v>I · nickel-base CRA</x:v>
      </x:c>
      <x:c r="R143"/>
      <x:c r="S143"/>
      <x:c r="T143" t="str">
        <x:v>RFQ required · no public supplier-specific quote</x:v>
      </x:c>
      <x:c r="U143"/>
      <x:c r="V143" t="str">
        <x:v>https://www.tenaris.com/en/products-and-services/octg/steel-grades/</x:v>
      </x:c>
      <x:c r="W143" t="str">
        <x:v>Manufacturer-listed</x:v>
      </x:c>
      <x:c r="X143" t="str">
        <x:v>Tenaris grade table denotes alloy and yield options; site does not give a single unique trade name per strength.</x:v>
      </x:c>
      <x:c r="Y143" t="str">
        <x:v>2026-10-10</x:v>
      </x:c>
    </x:row>
    <x:row r="144" ht="22" customHeight="1">
      <x:c r="A144" t="str">
        <x:v>OCTG-0143</x:v>
      </x:c>
      <x:c r="B144" t="str">
        <x:v>Tenaris</x:v>
      </x:c>
      <x:c r="C144" t="str">
        <x:v>Global / Italy</x:v>
      </x:c>
      <x:c r="D144" t="str">
        <x:v>Alloy 825 - 125 ksi</x:v>
      </x:c>
      <x:c r="E144" t="str">
        <x:v>Manufacturer CRA alloy/strength offering</x:v>
      </x:c>
      <x:c r="F144" t="str">
        <x:v>API 5CRA / ISO 13680 referenced; check qualified supply</x:v>
      </x:c>
      <x:c r="G144" t="str">
        <x:v>Ni-base CRA</x:v>
      </x:c>
      <x:c r="H144" t="str">
        <x:v>CRA for CO2/H2S/chlorides; service to be qualified</x:v>
      </x:c>
      <x:c r="I144" t="str">
        <x:v>Production tubing / liner</x:v>
      </x:c>
      <x:c r="J144" t="str">
        <x:v>Not established by grade name</x:v>
      </x:c>
      <x:c r="K144" t="str">
        <x:v>Improved (verify temperature / chloride limits)</x:v>
      </x:c>
      <x:c r="L144" t="str">
        <x:v>API / not stated</x:v>
      </x:c>
      <x:c r="M144" t="n">
        <x:v>125</x:v>
      </x:c>
      <x:c r="N144" t="str">
        <x:v>N08825</x:v>
      </x:c>
      <x:c r="O144" t="str"/>
      <x:c r="P144" t="str">
        <x:v>21-42-3</x:v>
      </x:c>
      <x:c r="Q144" t="str">
        <x:v>I · nickel-base CRA</x:v>
      </x:c>
      <x:c r="R144"/>
      <x:c r="S144"/>
      <x:c r="T144" t="str">
        <x:v>RFQ required · no public supplier-specific quote</x:v>
      </x:c>
      <x:c r="U144"/>
      <x:c r="V144" t="str">
        <x:v>https://www.tenaris.com/en/products-and-services/octg/steel-grades/</x:v>
      </x:c>
      <x:c r="W144" t="str">
        <x:v>Manufacturer-listed</x:v>
      </x:c>
      <x:c r="X144" t="str">
        <x:v>Tenaris grade table denotes alloy and yield options; site does not give a single unique trade name per strength.</x:v>
      </x:c>
      <x:c r="Y144" t="str">
        <x:v>2026-10-10</x:v>
      </x:c>
    </x:row>
    <x:row r="145" ht="22" customHeight="1">
      <x:c r="A145" t="str">
        <x:v>OCTG-0144</x:v>
      </x:c>
      <x:c r="B145" t="str">
        <x:v>Tenaris</x:v>
      </x:c>
      <x:c r="C145" t="str">
        <x:v>Global / Italy</x:v>
      </x:c>
      <x:c r="D145" t="str">
        <x:v>G-3 - 110 ksi</x:v>
      </x:c>
      <x:c r="E145" t="str">
        <x:v>Manufacturer CRA alloy/strength offering</x:v>
      </x:c>
      <x:c r="F145" t="str">
        <x:v>API 5CRA / ISO 13680 referenced; check qualified supply</x:v>
      </x:c>
      <x:c r="G145" t="str">
        <x:v>Ni-base CRA</x:v>
      </x:c>
      <x:c r="H145" t="str">
        <x:v>CRA for CO2/H2S/chlorides; service to be qualified</x:v>
      </x:c>
      <x:c r="I145" t="str">
        <x:v>Production tubing / liner</x:v>
      </x:c>
      <x:c r="J145" t="str">
        <x:v>Not established by grade name</x:v>
      </x:c>
      <x:c r="K145" t="str">
        <x:v>Improved (verify temperature / chloride limits)</x:v>
      </x:c>
      <x:c r="L145" t="str">
        <x:v>API / not stated</x:v>
      </x:c>
      <x:c r="M145" t="n">
        <x:v>110</x:v>
      </x:c>
      <x:c r="N145" t="str">
        <x:v>N06985</x:v>
      </x:c>
      <x:c r="O145" t="str"/>
      <x:c r="P145" t="str">
        <x:v>22-50-7</x:v>
      </x:c>
      <x:c r="Q145" t="str">
        <x:v>I · nickel-base CRA</x:v>
      </x:c>
      <x:c r="R145"/>
      <x:c r="S145"/>
      <x:c r="T145" t="str">
        <x:v>RFQ required · no public supplier-specific quote</x:v>
      </x:c>
      <x:c r="U145"/>
      <x:c r="V145" t="str">
        <x:v>https://www.tenaris.com/en/products-and-services/octg/steel-grades/</x:v>
      </x:c>
      <x:c r="W145" t="str">
        <x:v>Manufacturer-listed</x:v>
      </x:c>
      <x:c r="X145" t="str">
        <x:v>Tenaris grade table denotes alloy and yield options; site does not give a single unique trade name per strength.</x:v>
      </x:c>
      <x:c r="Y145" t="str">
        <x:v>2026-10-10</x:v>
      </x:c>
    </x:row>
    <x:row r="146" ht="22" customHeight="1">
      <x:c r="A146" t="str">
        <x:v>OCTG-0145</x:v>
      </x:c>
      <x:c r="B146" t="str">
        <x:v>Tenaris</x:v>
      </x:c>
      <x:c r="C146" t="str">
        <x:v>Global / Italy</x:v>
      </x:c>
      <x:c r="D146" t="str">
        <x:v>G-3 - 125 ksi</x:v>
      </x:c>
      <x:c r="E146" t="str">
        <x:v>Manufacturer CRA alloy/strength offering</x:v>
      </x:c>
      <x:c r="F146" t="str">
        <x:v>API 5CRA / ISO 13680 referenced; check qualified supply</x:v>
      </x:c>
      <x:c r="G146" t="str">
        <x:v>Ni-base CRA</x:v>
      </x:c>
      <x:c r="H146" t="str">
        <x:v>CRA for CO2/H2S/chlorides; service to be qualified</x:v>
      </x:c>
      <x:c r="I146" t="str">
        <x:v>Production tubing / liner</x:v>
      </x:c>
      <x:c r="J146" t="str">
        <x:v>Not established by grade name</x:v>
      </x:c>
      <x:c r="K146" t="str">
        <x:v>Improved (verify temperature / chloride limits)</x:v>
      </x:c>
      <x:c r="L146" t="str">
        <x:v>API / not stated</x:v>
      </x:c>
      <x:c r="M146" t="n">
        <x:v>125</x:v>
      </x:c>
      <x:c r="N146" t="str">
        <x:v>N06985</x:v>
      </x:c>
      <x:c r="O146" t="str"/>
      <x:c r="P146" t="str">
        <x:v>22-50-7</x:v>
      </x:c>
      <x:c r="Q146" t="str">
        <x:v>I · nickel-base CRA</x:v>
      </x:c>
      <x:c r="R146"/>
      <x:c r="S146"/>
      <x:c r="T146" t="str">
        <x:v>RFQ required · no public supplier-specific quote</x:v>
      </x:c>
      <x:c r="U146"/>
      <x:c r="V146" t="str">
        <x:v>https://www.tenaris.com/en/products-and-services/octg/steel-grades/</x:v>
      </x:c>
      <x:c r="W146" t="str">
        <x:v>Manufacturer-listed</x:v>
      </x:c>
      <x:c r="X146" t="str">
        <x:v>Tenaris grade table denotes alloy and yield options; site does not give a single unique trade name per strength.</x:v>
      </x:c>
      <x:c r="Y146" t="str">
        <x:v>2026-10-10</x:v>
      </x:c>
    </x:row>
    <x:row r="147" ht="22" customHeight="1">
      <x:c r="A147" t="str">
        <x:v>OCTG-0146</x:v>
      </x:c>
      <x:c r="B147" t="str">
        <x:v>Tenaris</x:v>
      </x:c>
      <x:c r="C147" t="str">
        <x:v>Global / Italy</x:v>
      </x:c>
      <x:c r="D147" t="str">
        <x:v>25Cr - 125 ksi</x:v>
      </x:c>
      <x:c r="E147" t="str">
        <x:v>Manufacturer CRA alloy/strength offering</x:v>
      </x:c>
      <x:c r="F147" t="str">
        <x:v>API 5CRA / ISO 13680 referenced; check qualified supply</x:v>
      </x:c>
      <x:c r="G147" t="str">
        <x:v>Super duplex 25Cr</x:v>
      </x:c>
      <x:c r="H147" t="str">
        <x:v>CRA for CO2/H2S/chlorides; service to be qualified</x:v>
      </x:c>
      <x:c r="I147" t="str">
        <x:v>Production tubing / liner</x:v>
      </x:c>
      <x:c r="J147" t="str">
        <x:v>Not established by grade name</x:v>
      </x:c>
      <x:c r="K147" t="str">
        <x:v>Improved (verify temperature / chloride limits)</x:v>
      </x:c>
      <x:c r="L147" t="str">
        <x:v>API / not stated</x:v>
      </x:c>
      <x:c r="M147" t="n">
        <x:v>125</x:v>
      </x:c>
      <x:c r="N147" t="str">
        <x:v>S32750</x:v>
      </x:c>
      <x:c r="O147" t="str"/>
      <x:c r="P147" t="str">
        <x:v>25-7-4</x:v>
      </x:c>
      <x:c r="Q147" t="str">
        <x:v>G · super duplex CRA</x:v>
      </x:c>
      <x:c r="R147"/>
      <x:c r="S147"/>
      <x:c r="T147" t="str">
        <x:v>RFQ required · no public supplier-specific quote</x:v>
      </x:c>
      <x:c r="U147"/>
      <x:c r="V147" t="str">
        <x:v>https://www.tenaris.com/en/products-and-services/octg/steel-grades/</x:v>
      </x:c>
      <x:c r="W147" t="str">
        <x:v>Manufacturer-listed</x:v>
      </x:c>
      <x:c r="X147" t="str">
        <x:v>Tenaris grade table denotes alloy and yield options; site does not give a single unique trade name per strength.</x:v>
      </x:c>
      <x:c r="Y147" t="str">
        <x:v>2026-10-10</x:v>
      </x:c>
    </x:row>
    <x:row r="148" ht="22" customHeight="1">
      <x:c r="A148" t="str">
        <x:v>OCTG-0147</x:v>
      </x:c>
      <x:c r="B148" t="str">
        <x:v>Tenaris</x:v>
      </x:c>
      <x:c r="C148" t="str">
        <x:v>Global / Italy</x:v>
      </x:c>
      <x:c r="D148" t="str">
        <x:v>25Cr - 140 ksi</x:v>
      </x:c>
      <x:c r="E148" t="str">
        <x:v>Manufacturer CRA alloy/strength offering</x:v>
      </x:c>
      <x:c r="F148" t="str">
        <x:v>API 5CRA / ISO 13680 referenced; check qualified supply</x:v>
      </x:c>
      <x:c r="G148" t="str">
        <x:v>Super duplex 25Cr</x:v>
      </x:c>
      <x:c r="H148" t="str">
        <x:v>CRA for CO2/H2S/chlorides; service to be qualified</x:v>
      </x:c>
      <x:c r="I148" t="str">
        <x:v>Production tubing / liner</x:v>
      </x:c>
      <x:c r="J148" t="str">
        <x:v>Not established by grade name</x:v>
      </x:c>
      <x:c r="K148" t="str">
        <x:v>Improved (verify temperature / chloride limits)</x:v>
      </x:c>
      <x:c r="L148" t="str">
        <x:v>API / not stated</x:v>
      </x:c>
      <x:c r="M148" t="n">
        <x:v>140</x:v>
      </x:c>
      <x:c r="N148" t="str">
        <x:v>S32750</x:v>
      </x:c>
      <x:c r="O148" t="str"/>
      <x:c r="P148" t="str">
        <x:v>25-7-4</x:v>
      </x:c>
      <x:c r="Q148" t="str">
        <x:v>G · super duplex CRA</x:v>
      </x:c>
      <x:c r="R148"/>
      <x:c r="S148"/>
      <x:c r="T148" t="str">
        <x:v>RFQ required · no public supplier-specific quote</x:v>
      </x:c>
      <x:c r="U148"/>
      <x:c r="V148" t="str">
        <x:v>https://www.tenaris.com/en/products-and-services/octg/steel-grades/</x:v>
      </x:c>
      <x:c r="W148" t="str">
        <x:v>Manufacturer-listed</x:v>
      </x:c>
      <x:c r="X148" t="str">
        <x:v>Tenaris grade table denotes alloy and yield options; site does not give a single unique trade name per strength.</x:v>
      </x:c>
      <x:c r="Y148" t="str">
        <x:v>2026-10-10</x:v>
      </x:c>
    </x:row>
    <x:row r="149" ht="22" customHeight="1">
      <x:c r="A149" t="str">
        <x:v>OCTG-0148</x:v>
      </x:c>
      <x:c r="B149" t="str">
        <x:v>Tenaris</x:v>
      </x:c>
      <x:c r="C149" t="str">
        <x:v>Global / Italy</x:v>
      </x:c>
      <x:c r="D149" t="str">
        <x:v>25Cr - 80 ksi</x:v>
      </x:c>
      <x:c r="E149" t="str">
        <x:v>Manufacturer CRA alloy/strength offering</x:v>
      </x:c>
      <x:c r="F149" t="str">
        <x:v>API 5CRA / ISO 13680 referenced; check qualified supply</x:v>
      </x:c>
      <x:c r="G149" t="str">
        <x:v>Super duplex 25Cr</x:v>
      </x:c>
      <x:c r="H149" t="str">
        <x:v>CRA for CO2/H2S/chlorides; service to be qualified</x:v>
      </x:c>
      <x:c r="I149" t="str">
        <x:v>Production tubing / liner</x:v>
      </x:c>
      <x:c r="J149" t="str">
        <x:v>Not established by grade name</x:v>
      </x:c>
      <x:c r="K149" t="str">
        <x:v>Improved (verify temperature / chloride limits)</x:v>
      </x:c>
      <x:c r="L149" t="str">
        <x:v>API / not stated</x:v>
      </x:c>
      <x:c r="M149" t="n">
        <x:v>80</x:v>
      </x:c>
      <x:c r="N149" t="str">
        <x:v>S32750</x:v>
      </x:c>
      <x:c r="O149" t="str"/>
      <x:c r="P149" t="str">
        <x:v>25-7-4</x:v>
      </x:c>
      <x:c r="Q149" t="str">
        <x:v>G · super duplex CRA</x:v>
      </x:c>
      <x:c r="R149"/>
      <x:c r="S149"/>
      <x:c r="T149" t="str">
        <x:v>RFQ required · no public supplier-specific quote</x:v>
      </x:c>
      <x:c r="U149"/>
      <x:c r="V149" t="str">
        <x:v>https://www.tenaris.com/en/products-and-services/octg/steel-grades/</x:v>
      </x:c>
      <x:c r="W149" t="str">
        <x:v>Manufacturer-listed</x:v>
      </x:c>
      <x:c r="X149" t="str">
        <x:v>Tenaris grade table denotes alloy and yield options; site does not give a single unique trade name per strength.</x:v>
      </x:c>
      <x:c r="Y149" t="str">
        <x:v>2026-10-10</x:v>
      </x:c>
    </x:row>
    <x:row r="150" ht="22" customHeight="1">
      <x:c r="A150" t="str">
        <x:v>OCTG-0149</x:v>
      </x:c>
      <x:c r="B150" t="str">
        <x:v>Vallourec</x:v>
      </x:c>
      <x:c r="C150" t="str">
        <x:v>Global / France</x:v>
      </x:c>
      <x:c r="D150" t="str">
        <x:v>VM 100 HCSS</x:v>
      </x:c>
      <x:c r="E150" t="str">
        <x:v>Proprietary grade</x:v>
      </x:c>
      <x:c r="F150" t="str">
        <x:v>API 5CT-based / manufacturer specification</x:v>
      </x:c>
      <x:c r="G150" t="str">
        <x:v>Carbon / low alloy</x:v>
      </x:c>
      <x:c r="H150" t="str">
        <x:v>High collapse; sour qualified where HCSS/HCMS/HCESS</x:v>
      </x:c>
      <x:c r="I150" t="str">
        <x:v>Casing and tubing (verify sizes)</x:v>
      </x:c>
      <x:c r="J150" t="str">
        <x:v>Not established by grade name</x:v>
      </x:c>
      <x:c r="K150" t="str">
        <x:v>Corrosion control may be needed</x:v>
      </x:c>
      <x:c r="L150" t="str">
        <x:v>Enhanced</x:v>
      </x:c>
      <x:c r="M150" t="n">
        <x:v>100</x:v>
      </x:c>
      <x:c r="N150" t="str"/>
      <x:c r="O150" t="str"/>
      <x:c r="P150" t="str"/>
      <x:c r="Q150" t="str">
        <x:v>A · standard carbon</x:v>
      </x:c>
      <x:c r="R150"/>
      <x:c r="S150"/>
      <x:c r="T150" t="str">
        <x:v>RFQ required · no public supplier-specific quote</x:v>
      </x:c>
      <x:c r="U150"/>
      <x:c r="V150" t="str">
        <x:v>https://solutions.vallourec.com/product/high-collapse/</x:v>
      </x:c>
      <x:c r="W150" t="str">
        <x:v>Manufacturer-listed</x:v>
      </x:c>
      <x:c r="X150" t="str"/>
      <x:c r="Y150" t="str">
        <x:v>2026-10-10</x:v>
      </x:c>
    </x:row>
    <x:row r="151" ht="22" customHeight="1">
      <x:c r="A151" t="str">
        <x:v>OCTG-0150</x:v>
      </x:c>
      <x:c r="B151" t="str">
        <x:v>Vallourec</x:v>
      </x:c>
      <x:c r="C151" t="str">
        <x:v>Global / France</x:v>
      </x:c>
      <x:c r="D151" t="str">
        <x:v>VM 100 SS</x:v>
      </x:c>
      <x:c r="E151" t="str">
        <x:v>Proprietary grade</x:v>
      </x:c>
      <x:c r="F151" t="str">
        <x:v>API 5CT-based / manufacturer specification</x:v>
      </x:c>
      <x:c r="G151" t="str">
        <x:v>Carbon / low alloy</x:v>
      </x:c>
      <x:c r="H151" t="str">
        <x:v>Sour service / SSC resistance; region varies by grade</x:v>
      </x:c>
      <x:c r="I151" t="str">
        <x:v>Casing and tubing (verify sizes)</x:v>
      </x:c>
      <x:c r="J151" t="str">
        <x:v>Sour service: manufacturer-defined limits</x:v>
      </x:c>
      <x:c r="K151" t="str">
        <x:v>Corrosion control may be needed</x:v>
      </x:c>
      <x:c r="L151" t="str">
        <x:v>API / not stated</x:v>
      </x:c>
      <x:c r="M151" t="n">
        <x:v>100</x:v>
      </x:c>
      <x:c r="N151" t="str"/>
      <x:c r="O151" t="str"/>
      <x:c r="P151" t="str"/>
      <x:c r="Q151" t="str">
        <x:v>A · standard carbon</x:v>
      </x:c>
      <x:c r="R151"/>
      <x:c r="S151"/>
      <x:c r="T151" t="str">
        <x:v>RFQ required · no public supplier-specific quote</x:v>
      </x:c>
      <x:c r="U151"/>
      <x:c r="V151" t="str">
        <x:v>https://solutions.vallourec.com/product/sour-service/</x:v>
      </x:c>
      <x:c r="W151" t="str">
        <x:v>Manufacturer-listed</x:v>
      </x:c>
      <x:c r="X151" t="str"/>
      <x:c r="Y151" t="str">
        <x:v>2026-10-10</x:v>
      </x:c>
    </x:row>
    <x:row r="152" ht="22" customHeight="1">
      <x:c r="A152" t="str">
        <x:v>OCTG-0151</x:v>
      </x:c>
      <x:c r="B152" t="str">
        <x:v>Vallourec</x:v>
      </x:c>
      <x:c r="C152" t="str">
        <x:v>Global / France</x:v>
      </x:c>
      <x:c r="D152" t="str">
        <x:v>VM 100 SS-D</x:v>
      </x:c>
      <x:c r="E152" t="str">
        <x:v>Proprietary grade</x:v>
      </x:c>
      <x:c r="F152" t="str">
        <x:v>API 5CT-based / manufacturer specification</x:v>
      </x:c>
      <x:c r="G152" t="str">
        <x:v>Carbon / low alloy</x:v>
      </x:c>
      <x:c r="H152" t="str">
        <x:v>Sour service / SSC resistance; region varies by grade</x:v>
      </x:c>
      <x:c r="I152" t="str">
        <x:v>Casing and tubing (verify sizes)</x:v>
      </x:c>
      <x:c r="J152" t="str">
        <x:v>Sour service: manufacturer-defined limits</x:v>
      </x:c>
      <x:c r="K152" t="str">
        <x:v>Corrosion control may be needed</x:v>
      </x:c>
      <x:c r="L152" t="str">
        <x:v>API / not stated</x:v>
      </x:c>
      <x:c r="M152" t="n">
        <x:v>100</x:v>
      </x:c>
      <x:c r="N152" t="str"/>
      <x:c r="O152" t="str"/>
      <x:c r="P152" t="str"/>
      <x:c r="Q152" t="str">
        <x:v>A · standard carbon</x:v>
      </x:c>
      <x:c r="R152"/>
      <x:c r="S152"/>
      <x:c r="T152" t="str">
        <x:v>RFQ required · no public supplier-specific quote</x:v>
      </x:c>
      <x:c r="U152"/>
      <x:c r="V152" t="str">
        <x:v>https://solutions.vallourec.com/product/sour-service/</x:v>
      </x:c>
      <x:c r="W152" t="str">
        <x:v>Manufacturer-listed</x:v>
      </x:c>
      <x:c r="X152" t="str"/>
      <x:c r="Y152" t="str">
        <x:v>2026-10-10</x:v>
      </x:c>
    </x:row>
    <x:row r="153" ht="22" customHeight="1">
      <x:c r="A153" t="str">
        <x:v>OCTG-0152</x:v>
      </x:c>
      <x:c r="B153" t="str">
        <x:v>Vallourec</x:v>
      </x:c>
      <x:c r="C153" t="str">
        <x:v>Global / France</x:v>
      </x:c>
      <x:c r="D153" t="str">
        <x:v>VM 110 HC</x:v>
      </x:c>
      <x:c r="E153" t="str">
        <x:v>Proprietary grade</x:v>
      </x:c>
      <x:c r="F153" t="str">
        <x:v>API 5CT-based / manufacturer specification</x:v>
      </x:c>
      <x:c r="G153" t="str">
        <x:v>Carbon / low alloy</x:v>
      </x:c>
      <x:c r="H153" t="str">
        <x:v>High collapse; sour qualified where HCSS/HCMS/HCESS</x:v>
      </x:c>
      <x:c r="I153" t="str">
        <x:v>Casing and tubing (verify sizes)</x:v>
      </x:c>
      <x:c r="J153" t="str">
        <x:v>Not established by grade name</x:v>
      </x:c>
      <x:c r="K153" t="str">
        <x:v>Corrosion control may be needed</x:v>
      </x:c>
      <x:c r="L153" t="str">
        <x:v>Enhanced</x:v>
      </x:c>
      <x:c r="M153" t="n">
        <x:v>110</x:v>
      </x:c>
      <x:c r="N153" t="str"/>
      <x:c r="O153" t="str"/>
      <x:c r="P153" t="str"/>
      <x:c r="Q153" t="str">
        <x:v>A · standard carbon</x:v>
      </x:c>
      <x:c r="R153"/>
      <x:c r="S153"/>
      <x:c r="T153" t="str">
        <x:v>RFQ required · no public supplier-specific quote</x:v>
      </x:c>
      <x:c r="U153"/>
      <x:c r="V153" t="str">
        <x:v>https://solutions.vallourec.com/product/high-collapse/</x:v>
      </x:c>
      <x:c r="W153" t="str">
        <x:v>Manufacturer-listed</x:v>
      </x:c>
      <x:c r="X153" t="str"/>
      <x:c r="Y153" t="str">
        <x:v>2026-10-10</x:v>
      </x:c>
    </x:row>
    <x:row r="154" ht="22" customHeight="1">
      <x:c r="A154" t="str">
        <x:v>OCTG-0153</x:v>
      </x:c>
      <x:c r="B154" t="str">
        <x:v>Vallourec</x:v>
      </x:c>
      <x:c r="C154" t="str">
        <x:v>Global / France</x:v>
      </x:c>
      <x:c r="D154" t="str">
        <x:v>VM 110 HCMS</x:v>
      </x:c>
      <x:c r="E154" t="str">
        <x:v>Proprietary grade</x:v>
      </x:c>
      <x:c r="F154" t="str">
        <x:v>API 5CT-based / manufacturer specification</x:v>
      </x:c>
      <x:c r="G154" t="str">
        <x:v>Carbon / low alloy</x:v>
      </x:c>
      <x:c r="H154" t="str">
        <x:v>High collapse; sour qualified where HCSS/HCMS/HCESS</x:v>
      </x:c>
      <x:c r="I154" t="str">
        <x:v>Casing and tubing (verify sizes)</x:v>
      </x:c>
      <x:c r="J154" t="str">
        <x:v>Not established by grade name</x:v>
      </x:c>
      <x:c r="K154" t="str">
        <x:v>Corrosion control may be needed</x:v>
      </x:c>
      <x:c r="L154" t="str">
        <x:v>Enhanced</x:v>
      </x:c>
      <x:c r="M154" t="n">
        <x:v>110</x:v>
      </x:c>
      <x:c r="N154" t="str"/>
      <x:c r="O154" t="str"/>
      <x:c r="P154" t="str"/>
      <x:c r="Q154" t="str">
        <x:v>A · standard carbon</x:v>
      </x:c>
      <x:c r="R154"/>
      <x:c r="S154"/>
      <x:c r="T154" t="str">
        <x:v>RFQ required · no public supplier-specific quote</x:v>
      </x:c>
      <x:c r="U154"/>
      <x:c r="V154" t="str">
        <x:v>https://solutions.vallourec.com/product/high-collapse/</x:v>
      </x:c>
      <x:c r="W154" t="str">
        <x:v>Manufacturer-listed</x:v>
      </x:c>
      <x:c r="X154" t="str"/>
      <x:c r="Y154" t="str">
        <x:v>2026-10-10</x:v>
      </x:c>
    </x:row>
    <x:row r="155" ht="22" customHeight="1">
      <x:c r="A155" t="str">
        <x:v>OCTG-0154</x:v>
      </x:c>
      <x:c r="B155" t="str">
        <x:v>Vallourec</x:v>
      </x:c>
      <x:c r="C155" t="str">
        <x:v>Global / France</x:v>
      </x:c>
      <x:c r="D155" t="str">
        <x:v>VM 110 HCSS</x:v>
      </x:c>
      <x:c r="E155" t="str">
        <x:v>Proprietary grade</x:v>
      </x:c>
      <x:c r="F155" t="str">
        <x:v>API 5CT-based / manufacturer specification</x:v>
      </x:c>
      <x:c r="G155" t="str">
        <x:v>Carbon / low alloy</x:v>
      </x:c>
      <x:c r="H155" t="str">
        <x:v>High collapse; sour qualified where HCSS/HCMS/HCESS</x:v>
      </x:c>
      <x:c r="I155" t="str">
        <x:v>Casing and tubing (verify sizes)</x:v>
      </x:c>
      <x:c r="J155" t="str">
        <x:v>Not established by grade name</x:v>
      </x:c>
      <x:c r="K155" t="str">
        <x:v>Corrosion control may be needed</x:v>
      </x:c>
      <x:c r="L155" t="str">
        <x:v>Enhanced</x:v>
      </x:c>
      <x:c r="M155" t="n">
        <x:v>110</x:v>
      </x:c>
      <x:c r="N155" t="str"/>
      <x:c r="O155" t="str"/>
      <x:c r="P155" t="str"/>
      <x:c r="Q155" t="str">
        <x:v>A · standard carbon</x:v>
      </x:c>
      <x:c r="R155"/>
      <x:c r="S155"/>
      <x:c r="T155" t="str">
        <x:v>RFQ required · no public supplier-specific quote</x:v>
      </x:c>
      <x:c r="U155"/>
      <x:c r="V155" t="str">
        <x:v>https://solutions.vallourec.com/product/high-collapse/</x:v>
      </x:c>
      <x:c r="W155" t="str">
        <x:v>Manufacturer-listed</x:v>
      </x:c>
      <x:c r="X155" t="str"/>
      <x:c r="Y155" t="str">
        <x:v>2026-10-10</x:v>
      </x:c>
    </x:row>
    <x:row r="156" ht="22" customHeight="1">
      <x:c r="A156" t="str">
        <x:v>OCTG-0155</x:v>
      </x:c>
      <x:c r="B156" t="str">
        <x:v>Vallourec</x:v>
      </x:c>
      <x:c r="C156" t="str">
        <x:v>Global / France</x:v>
      </x:c>
      <x:c r="D156" t="str">
        <x:v>VM 110 MS</x:v>
      </x:c>
      <x:c r="E156" t="str">
        <x:v>Proprietary grade</x:v>
      </x:c>
      <x:c r="F156" t="str">
        <x:v>API 5CT-based / manufacturer specification</x:v>
      </x:c>
      <x:c r="G156" t="str">
        <x:v>Carbon / low alloy</x:v>
      </x:c>
      <x:c r="H156" t="str">
        <x:v>Sour service / SSC resistance; region varies by grade</x:v>
      </x:c>
      <x:c r="I156" t="str">
        <x:v>Casing and tubing (verify sizes)</x:v>
      </x:c>
      <x:c r="J156" t="str">
        <x:v>Sour service: manufacturer-defined limits</x:v>
      </x:c>
      <x:c r="K156" t="str">
        <x:v>Corrosion control may be needed</x:v>
      </x:c>
      <x:c r="L156" t="str">
        <x:v>API / not stated</x:v>
      </x:c>
      <x:c r="M156" t="n">
        <x:v>110</x:v>
      </x:c>
      <x:c r="N156" t="str"/>
      <x:c r="O156" t="str"/>
      <x:c r="P156" t="str"/>
      <x:c r="Q156" t="str">
        <x:v>A · standard carbon</x:v>
      </x:c>
      <x:c r="R156"/>
      <x:c r="S156"/>
      <x:c r="T156" t="str">
        <x:v>RFQ required · no public supplier-specific quote</x:v>
      </x:c>
      <x:c r="U156"/>
      <x:c r="V156" t="str">
        <x:v>https://solutions.vallourec.com/product/sour-service/</x:v>
      </x:c>
      <x:c r="W156" t="str">
        <x:v>Manufacturer-listed</x:v>
      </x:c>
      <x:c r="X156" t="str"/>
      <x:c r="Y156" t="str">
        <x:v>2026-10-10</x:v>
      </x:c>
    </x:row>
    <x:row r="157" ht="22" customHeight="1">
      <x:c r="A157" t="str">
        <x:v>OCTG-0156</x:v>
      </x:c>
      <x:c r="B157" t="str">
        <x:v>Vallourec</x:v>
      </x:c>
      <x:c r="C157" t="str">
        <x:v>Global / France</x:v>
      </x:c>
      <x:c r="D157" t="str">
        <x:v>VM 110 MS-D</x:v>
      </x:c>
      <x:c r="E157" t="str">
        <x:v>Proprietary grade</x:v>
      </x:c>
      <x:c r="F157" t="str">
        <x:v>API 5CT-based / manufacturer specification</x:v>
      </x:c>
      <x:c r="G157" t="str">
        <x:v>Carbon / low alloy</x:v>
      </x:c>
      <x:c r="H157" t="str">
        <x:v>Sour service / SSC resistance; region varies by grade</x:v>
      </x:c>
      <x:c r="I157" t="str">
        <x:v>Casing and tubing (verify sizes)</x:v>
      </x:c>
      <x:c r="J157" t="str">
        <x:v>Sour service: manufacturer-defined limits</x:v>
      </x:c>
      <x:c r="K157" t="str">
        <x:v>Corrosion control may be needed</x:v>
      </x:c>
      <x:c r="L157" t="str">
        <x:v>API / not stated</x:v>
      </x:c>
      <x:c r="M157" t="n">
        <x:v>110</x:v>
      </x:c>
      <x:c r="N157" t="str"/>
      <x:c r="O157" t="str"/>
      <x:c r="P157" t="str"/>
      <x:c r="Q157" t="str">
        <x:v>A · standard carbon</x:v>
      </x:c>
      <x:c r="R157"/>
      <x:c r="S157"/>
      <x:c r="T157" t="str">
        <x:v>RFQ required · no public supplier-specific quote</x:v>
      </x:c>
      <x:c r="U157"/>
      <x:c r="V157" t="str">
        <x:v>https://solutions.vallourec.com/product/sour-service/</x:v>
      </x:c>
      <x:c r="W157" t="str">
        <x:v>Manufacturer-listed</x:v>
      </x:c>
      <x:c r="X157" t="str"/>
      <x:c r="Y157" t="str">
        <x:v>2026-10-10</x:v>
      </x:c>
    </x:row>
    <x:row r="158" ht="22" customHeight="1">
      <x:c r="A158" t="str">
        <x:v>OCTG-0157</x:v>
      </x:c>
      <x:c r="B158" t="str">
        <x:v>Vallourec</x:v>
      </x:c>
      <x:c r="C158" t="str">
        <x:v>Global / France</x:v>
      </x:c>
      <x:c r="D158" t="str">
        <x:v>VM 110 RSS</x:v>
      </x:c>
      <x:c r="E158" t="str">
        <x:v>Proprietary grade</x:v>
      </x:c>
      <x:c r="F158" t="str">
        <x:v>API 5CT-based / manufacturer specification</x:v>
      </x:c>
      <x:c r="G158" t="str">
        <x:v>Carbon / low alloy</x:v>
      </x:c>
      <x:c r="H158" t="str">
        <x:v>Sour service / SSC resistance; region varies by grade</x:v>
      </x:c>
      <x:c r="I158" t="str">
        <x:v>Casing and tubing (verify sizes)</x:v>
      </x:c>
      <x:c r="J158" t="str">
        <x:v>Sour service: manufacturer-defined limits</x:v>
      </x:c>
      <x:c r="K158" t="str">
        <x:v>Corrosion control may be needed</x:v>
      </x:c>
      <x:c r="L158" t="str">
        <x:v>API / not stated</x:v>
      </x:c>
      <x:c r="M158" t="n">
        <x:v>110</x:v>
      </x:c>
      <x:c r="N158" t="str"/>
      <x:c r="O158" t="str"/>
      <x:c r="P158" t="str"/>
      <x:c r="Q158" t="str">
        <x:v>A · standard carbon</x:v>
      </x:c>
      <x:c r="R158"/>
      <x:c r="S158"/>
      <x:c r="T158" t="str">
        <x:v>RFQ required · no public supplier-specific quote</x:v>
      </x:c>
      <x:c r="U158"/>
      <x:c r="V158" t="str">
        <x:v>https://solutions.vallourec.com/product/sour-service/</x:v>
      </x:c>
      <x:c r="W158" t="str">
        <x:v>Manufacturer-listed</x:v>
      </x:c>
      <x:c r="X158" t="str"/>
      <x:c r="Y158" t="str">
        <x:v>2026-10-10</x:v>
      </x:c>
    </x:row>
    <x:row r="159" ht="22" customHeight="1">
      <x:c r="A159" t="str">
        <x:v>OCTG-0158</x:v>
      </x:c>
      <x:c r="B159" t="str">
        <x:v>Vallourec</x:v>
      </x:c>
      <x:c r="C159" t="str">
        <x:v>Global / France</x:v>
      </x:c>
      <x:c r="D159" t="str">
        <x:v>VM 110 SS</x:v>
      </x:c>
      <x:c r="E159" t="str">
        <x:v>Proprietary grade</x:v>
      </x:c>
      <x:c r="F159" t="str">
        <x:v>API 5CT-based / manufacturer specification</x:v>
      </x:c>
      <x:c r="G159" t="str">
        <x:v>Carbon / low alloy</x:v>
      </x:c>
      <x:c r="H159" t="str">
        <x:v>Sour service / SSC resistance; region varies by grade</x:v>
      </x:c>
      <x:c r="I159" t="str">
        <x:v>Casing and tubing (verify sizes)</x:v>
      </x:c>
      <x:c r="J159" t="str">
        <x:v>Sour service: manufacturer-defined limits</x:v>
      </x:c>
      <x:c r="K159" t="str">
        <x:v>Corrosion control may be needed</x:v>
      </x:c>
      <x:c r="L159" t="str">
        <x:v>API / not stated</x:v>
      </x:c>
      <x:c r="M159" t="n">
        <x:v>110</x:v>
      </x:c>
      <x:c r="N159" t="str"/>
      <x:c r="O159" t="str"/>
      <x:c r="P159" t="str"/>
      <x:c r="Q159" t="str">
        <x:v>A · standard carbon</x:v>
      </x:c>
      <x:c r="R159"/>
      <x:c r="S159"/>
      <x:c r="T159" t="str">
        <x:v>RFQ required · no public supplier-specific quote</x:v>
      </x:c>
      <x:c r="U159"/>
      <x:c r="V159" t="str">
        <x:v>https://solutions.vallourec.com/product/sour-service/</x:v>
      </x:c>
      <x:c r="W159" t="str">
        <x:v>Manufacturer-listed</x:v>
      </x:c>
      <x:c r="X159" t="str"/>
      <x:c r="Y159" t="str">
        <x:v>2026-10-10</x:v>
      </x:c>
    </x:row>
    <x:row r="160" ht="22" customHeight="1">
      <x:c r="A160" t="str">
        <x:v>OCTG-0159</x:v>
      </x:c>
      <x:c r="B160" t="str">
        <x:v>Vallourec</x:v>
      </x:c>
      <x:c r="C160" t="str">
        <x:v>Global / France</x:v>
      </x:c>
      <x:c r="D160" t="str">
        <x:v>VM 110 SS-D</x:v>
      </x:c>
      <x:c r="E160" t="str">
        <x:v>Proprietary grade</x:v>
      </x:c>
      <x:c r="F160" t="str">
        <x:v>API 5CT-based / manufacturer specification</x:v>
      </x:c>
      <x:c r="G160" t="str">
        <x:v>Carbon / low alloy</x:v>
      </x:c>
      <x:c r="H160" t="str">
        <x:v>Sour service / SSC resistance; region varies by grade</x:v>
      </x:c>
      <x:c r="I160" t="str">
        <x:v>Casing and tubing (verify sizes)</x:v>
      </x:c>
      <x:c r="J160" t="str">
        <x:v>Sour service: manufacturer-defined limits</x:v>
      </x:c>
      <x:c r="K160" t="str">
        <x:v>Corrosion control may be needed</x:v>
      </x:c>
      <x:c r="L160" t="str">
        <x:v>API / not stated</x:v>
      </x:c>
      <x:c r="M160" t="n">
        <x:v>110</x:v>
      </x:c>
      <x:c r="N160" t="str"/>
      <x:c r="O160" t="str"/>
      <x:c r="P160" t="str"/>
      <x:c r="Q160" t="str">
        <x:v>A · standard carbon</x:v>
      </x:c>
      <x:c r="R160"/>
      <x:c r="S160"/>
      <x:c r="T160" t="str">
        <x:v>RFQ required · no public supplier-specific quote</x:v>
      </x:c>
      <x:c r="U160"/>
      <x:c r="V160" t="str">
        <x:v>https://solutions.vallourec.com/product/sour-service/</x:v>
      </x:c>
      <x:c r="W160" t="str">
        <x:v>Manufacturer-listed</x:v>
      </x:c>
      <x:c r="X160" t="str"/>
      <x:c r="Y160" t="str">
        <x:v>2026-10-10</x:v>
      </x:c>
    </x:row>
    <x:row r="161" ht="22" customHeight="1">
      <x:c r="A161" t="str">
        <x:v>OCTG-0160</x:v>
      </x:c>
      <x:c r="B161" t="str">
        <x:v>Vallourec</x:v>
      </x:c>
      <x:c r="C161" t="str">
        <x:v>Global / France</x:v>
      </x:c>
      <x:c r="D161" t="str">
        <x:v>VM 125 CY</x:v>
      </x:c>
      <x:c r="E161" t="str">
        <x:v>Proprietary grade</x:v>
      </x:c>
      <x:c r="F161" t="str">
        <x:v>API 5CT-based / manufacturer specification</x:v>
      </x:c>
      <x:c r="G161" t="str">
        <x:v>Carbon / low alloy</x:v>
      </x:c>
      <x:c r="H161" t="str">
        <x:v>High strength / controlled yield, deep wells</x:v>
      </x:c>
      <x:c r="I161" t="str">
        <x:v>Casing and tubing (verify sizes)</x:v>
      </x:c>
      <x:c r="J161" t="str">
        <x:v>Not established by grade name</x:v>
      </x:c>
      <x:c r="K161" t="str">
        <x:v>Corrosion control may be needed</x:v>
      </x:c>
      <x:c r="L161" t="str">
        <x:v>API / not stated</x:v>
      </x:c>
      <x:c r="M161" t="n">
        <x:v>125</x:v>
      </x:c>
      <x:c r="N161" t="str"/>
      <x:c r="O161" t="str"/>
      <x:c r="P161" t="str"/>
      <x:c r="Q161" t="str">
        <x:v>A · standard carbon</x:v>
      </x:c>
      <x:c r="R161"/>
      <x:c r="S161"/>
      <x:c r="T161" t="str">
        <x:v>RFQ required · no public supplier-specific quote</x:v>
      </x:c>
      <x:c r="U161"/>
      <x:c r="V161" t="str">
        <x:v>https://solutions.vallourec.com/product/high-strength/</x:v>
      </x:c>
      <x:c r="W161" t="str">
        <x:v>Manufacturer-listed</x:v>
      </x:c>
      <x:c r="X161" t="str"/>
      <x:c r="Y161" t="str">
        <x:v>2026-10-10</x:v>
      </x:c>
    </x:row>
    <x:row r="162" ht="22" customHeight="1">
      <x:c r="A162" t="str">
        <x:v>OCTG-0161</x:v>
      </x:c>
      <x:c r="B162" t="str">
        <x:v>Vallourec</x:v>
      </x:c>
      <x:c r="C162" t="str">
        <x:v>Global / France</x:v>
      </x:c>
      <x:c r="D162" t="str">
        <x:v>VM 125 CYHC</x:v>
      </x:c>
      <x:c r="E162" t="str">
        <x:v>Proprietary grade</x:v>
      </x:c>
      <x:c r="F162" t="str">
        <x:v>API 5CT-based / manufacturer specification</x:v>
      </x:c>
      <x:c r="G162" t="str">
        <x:v>Carbon / low alloy</x:v>
      </x:c>
      <x:c r="H162" t="str">
        <x:v>High collapse; sour qualified where HCSS/HCMS/HCESS</x:v>
      </x:c>
      <x:c r="I162" t="str">
        <x:v>Casing and tubing (verify sizes)</x:v>
      </x:c>
      <x:c r="J162" t="str">
        <x:v>Not established by grade name</x:v>
      </x:c>
      <x:c r="K162" t="str">
        <x:v>Corrosion control may be needed</x:v>
      </x:c>
      <x:c r="L162" t="str">
        <x:v>Enhanced</x:v>
      </x:c>
      <x:c r="M162" t="n">
        <x:v>125</x:v>
      </x:c>
      <x:c r="N162" t="str"/>
      <x:c r="O162" t="str"/>
      <x:c r="P162" t="str"/>
      <x:c r="Q162" t="str">
        <x:v>A · standard carbon</x:v>
      </x:c>
      <x:c r="R162"/>
      <x:c r="S162"/>
      <x:c r="T162" t="str">
        <x:v>RFQ required · no public supplier-specific quote</x:v>
      </x:c>
      <x:c r="U162"/>
      <x:c r="V162" t="str">
        <x:v>https://solutions.vallourec.com/product/high-collapse/</x:v>
      </x:c>
      <x:c r="W162" t="str">
        <x:v>Manufacturer-listed</x:v>
      </x:c>
      <x:c r="X162" t="str"/>
      <x:c r="Y162" t="str">
        <x:v>2026-10-10</x:v>
      </x:c>
    </x:row>
    <x:row r="163" ht="22" customHeight="1">
      <x:c r="A163" t="str">
        <x:v>OCTG-0162</x:v>
      </x:c>
      <x:c r="B163" t="str">
        <x:v>Vallourec</x:v>
      </x:c>
      <x:c r="C163" t="str">
        <x:v>Global / France</x:v>
      </x:c>
      <x:c r="D163" t="str">
        <x:v>VM 125 ESS</x:v>
      </x:c>
      <x:c r="E163" t="str">
        <x:v>Proprietary grade</x:v>
      </x:c>
      <x:c r="F163" t="str">
        <x:v>API 5CT-based / manufacturer specification</x:v>
      </x:c>
      <x:c r="G163" t="str">
        <x:v>Carbon / low alloy</x:v>
      </x:c>
      <x:c r="H163" t="str">
        <x:v>Sour service / SSC resistance; region varies by grade</x:v>
      </x:c>
      <x:c r="I163" t="str">
        <x:v>Casing and tubing (verify sizes)</x:v>
      </x:c>
      <x:c r="J163" t="str">
        <x:v>Sour service: manufacturer-defined limits</x:v>
      </x:c>
      <x:c r="K163" t="str">
        <x:v>Corrosion control may be needed</x:v>
      </x:c>
      <x:c r="L163" t="str">
        <x:v>API / not stated</x:v>
      </x:c>
      <x:c r="M163" t="n">
        <x:v>125</x:v>
      </x:c>
      <x:c r="N163" t="str"/>
      <x:c r="O163" t="str"/>
      <x:c r="P163" t="str"/>
      <x:c r="Q163" t="str">
        <x:v>A · standard carbon</x:v>
      </x:c>
      <x:c r="R163"/>
      <x:c r="S163"/>
      <x:c r="T163" t="str">
        <x:v>RFQ required · no public supplier-specific quote</x:v>
      </x:c>
      <x:c r="U163"/>
      <x:c r="V163" t="str">
        <x:v>https://solutions.vallourec.com/product/sour-service/</x:v>
      </x:c>
      <x:c r="W163" t="str">
        <x:v>Manufacturer-listed</x:v>
      </x:c>
      <x:c r="X163" t="str"/>
      <x:c r="Y163" t="str">
        <x:v>2026-10-10</x:v>
      </x:c>
    </x:row>
    <x:row r="164" ht="22" customHeight="1">
      <x:c r="A164" t="str">
        <x:v>OCTG-0163</x:v>
      </x:c>
      <x:c r="B164" t="str">
        <x:v>Vallourec</x:v>
      </x:c>
      <x:c r="C164" t="str">
        <x:v>Global / France</x:v>
      </x:c>
      <x:c r="D164" t="str">
        <x:v>VM 125 HC</x:v>
      </x:c>
      <x:c r="E164" t="str">
        <x:v>Proprietary grade</x:v>
      </x:c>
      <x:c r="F164" t="str">
        <x:v>API 5CT-based / manufacturer specification</x:v>
      </x:c>
      <x:c r="G164" t="str">
        <x:v>Carbon / low alloy</x:v>
      </x:c>
      <x:c r="H164" t="str">
        <x:v>High collapse; sour qualified where HCSS/HCMS/HCESS</x:v>
      </x:c>
      <x:c r="I164" t="str">
        <x:v>Casing and tubing (verify sizes)</x:v>
      </x:c>
      <x:c r="J164" t="str">
        <x:v>Not established by grade name</x:v>
      </x:c>
      <x:c r="K164" t="str">
        <x:v>Corrosion control may be needed</x:v>
      </x:c>
      <x:c r="L164" t="str">
        <x:v>Enhanced</x:v>
      </x:c>
      <x:c r="M164" t="n">
        <x:v>125</x:v>
      </x:c>
      <x:c r="N164" t="str"/>
      <x:c r="O164" t="str"/>
      <x:c r="P164" t="str"/>
      <x:c r="Q164" t="str">
        <x:v>A · standard carbon</x:v>
      </x:c>
      <x:c r="R164"/>
      <x:c r="S164"/>
      <x:c r="T164" t="str">
        <x:v>RFQ required · no public supplier-specific quote</x:v>
      </x:c>
      <x:c r="U164"/>
      <x:c r="V164" t="str">
        <x:v>https://solutions.vallourec.com/product/high-collapse/</x:v>
      </x:c>
      <x:c r="W164" t="str">
        <x:v>Manufacturer-listed</x:v>
      </x:c>
      <x:c r="X164" t="str"/>
      <x:c r="Y164" t="str">
        <x:v>2026-10-10</x:v>
      </x:c>
    </x:row>
    <x:row r="165" ht="22" customHeight="1">
      <x:c r="A165" t="str">
        <x:v>OCTG-0164</x:v>
      </x:c>
      <x:c r="B165" t="str">
        <x:v>Vallourec</x:v>
      </x:c>
      <x:c r="C165" t="str">
        <x:v>Global / France</x:v>
      </x:c>
      <x:c r="D165" t="str">
        <x:v>VM 125 HCESS</x:v>
      </x:c>
      <x:c r="E165" t="str">
        <x:v>Proprietary grade</x:v>
      </x:c>
      <x:c r="F165" t="str">
        <x:v>API 5CT-based / manufacturer specification</x:v>
      </x:c>
      <x:c r="G165" t="str">
        <x:v>Carbon / low alloy</x:v>
      </x:c>
      <x:c r="H165" t="str">
        <x:v>High collapse; sour qualified where HCSS/HCMS/HCESS</x:v>
      </x:c>
      <x:c r="I165" t="str">
        <x:v>Casing and tubing (verify sizes)</x:v>
      </x:c>
      <x:c r="J165" t="str">
        <x:v>Not established by grade name</x:v>
      </x:c>
      <x:c r="K165" t="str">
        <x:v>Corrosion control may be needed</x:v>
      </x:c>
      <x:c r="L165" t="str">
        <x:v>Enhanced</x:v>
      </x:c>
      <x:c r="M165" t="n">
        <x:v>125</x:v>
      </x:c>
      <x:c r="N165" t="str"/>
      <x:c r="O165" t="str"/>
      <x:c r="P165" t="str"/>
      <x:c r="Q165" t="str">
        <x:v>A · standard carbon</x:v>
      </x:c>
      <x:c r="R165"/>
      <x:c r="S165"/>
      <x:c r="T165" t="str">
        <x:v>RFQ required · no public supplier-specific quote</x:v>
      </x:c>
      <x:c r="U165"/>
      <x:c r="V165" t="str">
        <x:v>https://solutions.vallourec.com/product/high-collapse/</x:v>
      </x:c>
      <x:c r="W165" t="str">
        <x:v>Manufacturer-listed</x:v>
      </x:c>
      <x:c r="X165" t="str"/>
      <x:c r="Y165" t="str">
        <x:v>2026-10-10</x:v>
      </x:c>
    </x:row>
    <x:row r="166" ht="22" customHeight="1">
      <x:c r="A166" t="str">
        <x:v>OCTG-0165</x:v>
      </x:c>
      <x:c r="B166" t="str">
        <x:v>Vallourec</x:v>
      </x:c>
      <x:c r="C166" t="str">
        <x:v>Global / France</x:v>
      </x:c>
      <x:c r="D166" t="str">
        <x:v>VM 125 HCSS</x:v>
      </x:c>
      <x:c r="E166" t="str">
        <x:v>Proprietary grade</x:v>
      </x:c>
      <x:c r="F166" t="str">
        <x:v>API 5CT-based / manufacturer specification</x:v>
      </x:c>
      <x:c r="G166" t="str">
        <x:v>Carbon / low alloy</x:v>
      </x:c>
      <x:c r="H166" t="str">
        <x:v>High collapse; sour qualified where HCSS/HCMS/HCESS</x:v>
      </x:c>
      <x:c r="I166" t="str">
        <x:v>Casing and tubing (verify sizes)</x:v>
      </x:c>
      <x:c r="J166" t="str">
        <x:v>Not established by grade name</x:v>
      </x:c>
      <x:c r="K166" t="str">
        <x:v>Corrosion control may be needed</x:v>
      </x:c>
      <x:c r="L166" t="str">
        <x:v>Enhanced</x:v>
      </x:c>
      <x:c r="M166" t="n">
        <x:v>125</x:v>
      </x:c>
      <x:c r="N166" t="str"/>
      <x:c r="O166" t="str"/>
      <x:c r="P166" t="str"/>
      <x:c r="Q166" t="str">
        <x:v>A · standard carbon</x:v>
      </x:c>
      <x:c r="R166"/>
      <x:c r="S166"/>
      <x:c r="T166" t="str">
        <x:v>RFQ required · no public supplier-specific quote</x:v>
      </x:c>
      <x:c r="U166"/>
      <x:c r="V166" t="str">
        <x:v>https://solutions.vallourec.com/product/high-collapse/</x:v>
      </x:c>
      <x:c r="W166" t="str">
        <x:v>Manufacturer-listed</x:v>
      </x:c>
      <x:c r="X166" t="str"/>
      <x:c r="Y166" t="str">
        <x:v>2026-10-10</x:v>
      </x:c>
    </x:row>
    <x:row r="167" ht="22" customHeight="1">
      <x:c r="A167" t="str">
        <x:v>OCTG-0166</x:v>
      </x:c>
      <x:c r="B167" t="str">
        <x:v>Vallourec</x:v>
      </x:c>
      <x:c r="C167" t="str">
        <x:v>Global / France</x:v>
      </x:c>
      <x:c r="D167" t="str">
        <x:v>VM 125 SS</x:v>
      </x:c>
      <x:c r="E167" t="str">
        <x:v>Proprietary grade</x:v>
      </x:c>
      <x:c r="F167" t="str">
        <x:v>API 5CT-based / manufacturer specification</x:v>
      </x:c>
      <x:c r="G167" t="str">
        <x:v>Carbon / low alloy</x:v>
      </x:c>
      <x:c r="H167" t="str">
        <x:v>Sour service / SSC resistance; region varies by grade</x:v>
      </x:c>
      <x:c r="I167" t="str">
        <x:v>Casing and tubing (verify sizes)</x:v>
      </x:c>
      <x:c r="J167" t="str">
        <x:v>Sour service: manufacturer-defined limits</x:v>
      </x:c>
      <x:c r="K167" t="str">
        <x:v>Corrosion control may be needed</x:v>
      </x:c>
      <x:c r="L167" t="str">
        <x:v>API / not stated</x:v>
      </x:c>
      <x:c r="M167" t="n">
        <x:v>125</x:v>
      </x:c>
      <x:c r="N167" t="str"/>
      <x:c r="O167" t="str"/>
      <x:c r="P167" t="str"/>
      <x:c r="Q167" t="str">
        <x:v>A · standard carbon</x:v>
      </x:c>
      <x:c r="R167"/>
      <x:c r="S167"/>
      <x:c r="T167" t="str">
        <x:v>RFQ required · no public supplier-specific quote</x:v>
      </x:c>
      <x:c r="U167"/>
      <x:c r="V167" t="str">
        <x:v>https://solutions.vallourec.com/product/sour-service/</x:v>
      </x:c>
      <x:c r="W167" t="str">
        <x:v>Manufacturer-listed</x:v>
      </x:c>
      <x:c r="X167" t="str"/>
      <x:c r="Y167" t="str">
        <x:v>2026-10-10</x:v>
      </x:c>
    </x:row>
    <x:row r="168" ht="22" customHeight="1">
      <x:c r="A168" t="str">
        <x:v>OCTG-0167</x:v>
      </x:c>
      <x:c r="B168" t="str">
        <x:v>Vallourec</x:v>
      </x:c>
      <x:c r="C168" t="str">
        <x:v>Global / France</x:v>
      </x:c>
      <x:c r="D168" t="str">
        <x:v>VM 125 SS-D</x:v>
      </x:c>
      <x:c r="E168" t="str">
        <x:v>Proprietary grade</x:v>
      </x:c>
      <x:c r="F168" t="str">
        <x:v>API 5CT-based / manufacturer specification</x:v>
      </x:c>
      <x:c r="G168" t="str">
        <x:v>Carbon / low alloy</x:v>
      </x:c>
      <x:c r="H168" t="str">
        <x:v>Sour service / SSC resistance; region varies by grade</x:v>
      </x:c>
      <x:c r="I168" t="str">
        <x:v>Casing and tubing (verify sizes)</x:v>
      </x:c>
      <x:c r="J168" t="str">
        <x:v>Sour service: manufacturer-defined limits</x:v>
      </x:c>
      <x:c r="K168" t="str">
        <x:v>Corrosion control may be needed</x:v>
      </x:c>
      <x:c r="L168" t="str">
        <x:v>API / not stated</x:v>
      </x:c>
      <x:c r="M168" t="n">
        <x:v>125</x:v>
      </x:c>
      <x:c r="N168" t="str"/>
      <x:c r="O168" t="str"/>
      <x:c r="P168" t="str"/>
      <x:c r="Q168" t="str">
        <x:v>A · standard carbon</x:v>
      </x:c>
      <x:c r="R168"/>
      <x:c r="S168"/>
      <x:c r="T168" t="str">
        <x:v>RFQ required · no public supplier-specific quote</x:v>
      </x:c>
      <x:c r="U168"/>
      <x:c r="V168" t="str">
        <x:v>https://solutions.vallourec.com/product/sour-service/</x:v>
      </x:c>
      <x:c r="W168" t="str">
        <x:v>Manufacturer-listed</x:v>
      </x:c>
      <x:c r="X168" t="str"/>
      <x:c r="Y168" t="str">
        <x:v>2026-10-10</x:v>
      </x:c>
    </x:row>
    <x:row r="169" ht="22" customHeight="1">
      <x:c r="A169" t="str">
        <x:v>OCTG-0168</x:v>
      </x:c>
      <x:c r="B169" t="str">
        <x:v>Vallourec</x:v>
      </x:c>
      <x:c r="C169" t="str">
        <x:v>Global / France</x:v>
      </x:c>
      <x:c r="D169" t="str">
        <x:v>VM 130 CY</x:v>
      </x:c>
      <x:c r="E169" t="str">
        <x:v>Proprietary grade</x:v>
      </x:c>
      <x:c r="F169" t="str">
        <x:v>API 5CT-based / manufacturer specification</x:v>
      </x:c>
      <x:c r="G169" t="str">
        <x:v>Carbon / low alloy</x:v>
      </x:c>
      <x:c r="H169" t="str">
        <x:v>High strength / controlled yield, deep wells</x:v>
      </x:c>
      <x:c r="I169" t="str">
        <x:v>Casing and tubing (verify sizes)</x:v>
      </x:c>
      <x:c r="J169" t="str">
        <x:v>Not established by grade name</x:v>
      </x:c>
      <x:c r="K169" t="str">
        <x:v>Corrosion control may be needed</x:v>
      </x:c>
      <x:c r="L169" t="str">
        <x:v>API / not stated</x:v>
      </x:c>
      <x:c r="M169" t="n">
        <x:v>130</x:v>
      </x:c>
      <x:c r="N169" t="str"/>
      <x:c r="O169" t="str"/>
      <x:c r="P169" t="str"/>
      <x:c r="Q169" t="str">
        <x:v>A · standard carbon</x:v>
      </x:c>
      <x:c r="R169"/>
      <x:c r="S169"/>
      <x:c r="T169" t="str">
        <x:v>RFQ required · no public supplier-specific quote</x:v>
      </x:c>
      <x:c r="U169"/>
      <x:c r="V169" t="str">
        <x:v>https://solutions.vallourec.com/product/high-strength/</x:v>
      </x:c>
      <x:c r="W169" t="str">
        <x:v>Manufacturer-listed</x:v>
      </x:c>
      <x:c r="X169" t="str"/>
      <x:c r="Y169" t="str">
        <x:v>2026-10-10</x:v>
      </x:c>
    </x:row>
    <x:row r="170" ht="22" customHeight="1">
      <x:c r="A170" t="str">
        <x:v>OCTG-0169</x:v>
      </x:c>
      <x:c r="B170" t="str">
        <x:v>Vallourec</x:v>
      </x:c>
      <x:c r="C170" t="str">
        <x:v>Global / France</x:v>
      </x:c>
      <x:c r="D170" t="str">
        <x:v>VM 130 CYHC</x:v>
      </x:c>
      <x:c r="E170" t="str">
        <x:v>Proprietary grade</x:v>
      </x:c>
      <x:c r="F170" t="str">
        <x:v>API 5CT-based / manufacturer specification</x:v>
      </x:c>
      <x:c r="G170" t="str">
        <x:v>Carbon / low alloy</x:v>
      </x:c>
      <x:c r="H170" t="str">
        <x:v>High collapse; sour qualified where HCSS/HCMS/HCESS</x:v>
      </x:c>
      <x:c r="I170" t="str">
        <x:v>Casing and tubing (verify sizes)</x:v>
      </x:c>
      <x:c r="J170" t="str">
        <x:v>Not established by grade name</x:v>
      </x:c>
      <x:c r="K170" t="str">
        <x:v>Corrosion control may be needed</x:v>
      </x:c>
      <x:c r="L170" t="str">
        <x:v>Enhanced</x:v>
      </x:c>
      <x:c r="M170" t="n">
        <x:v>130</x:v>
      </x:c>
      <x:c r="N170" t="str"/>
      <x:c r="O170" t="str"/>
      <x:c r="P170" t="str"/>
      <x:c r="Q170" t="str">
        <x:v>A · standard carbon</x:v>
      </x:c>
      <x:c r="R170"/>
      <x:c r="S170"/>
      <x:c r="T170" t="str">
        <x:v>RFQ required · no public supplier-specific quote</x:v>
      </x:c>
      <x:c r="U170"/>
      <x:c r="V170" t="str">
        <x:v>https://solutions.vallourec.com/product/high-collapse/</x:v>
      </x:c>
      <x:c r="W170" t="str">
        <x:v>Manufacturer-listed</x:v>
      </x:c>
      <x:c r="X170" t="str"/>
      <x:c r="Y170" t="str">
        <x:v>2026-10-10</x:v>
      </x:c>
    </x:row>
    <x:row r="171" ht="22" customHeight="1">
      <x:c r="A171" t="str">
        <x:v>OCTG-0170</x:v>
      </x:c>
      <x:c r="B171" t="str">
        <x:v>Vallourec</x:v>
      </x:c>
      <x:c r="C171" t="str">
        <x:v>Global / France</x:v>
      </x:c>
      <x:c r="D171" t="str">
        <x:v>VM 130 CYXC</x:v>
      </x:c>
      <x:c r="E171" t="str">
        <x:v>Proprietary grade</x:v>
      </x:c>
      <x:c r="F171" t="str">
        <x:v>API 5CT-based / manufacturer specification</x:v>
      </x:c>
      <x:c r="G171" t="str">
        <x:v>Carbon / low alloy</x:v>
      </x:c>
      <x:c r="H171" t="str">
        <x:v>High strength / controlled yield, deep wells</x:v>
      </x:c>
      <x:c r="I171" t="str">
        <x:v>Casing and tubing (verify sizes)</x:v>
      </x:c>
      <x:c r="J171" t="str">
        <x:v>Not established by grade name</x:v>
      </x:c>
      <x:c r="K171" t="str">
        <x:v>Corrosion control may be needed</x:v>
      </x:c>
      <x:c r="L171" t="str">
        <x:v>API / not stated</x:v>
      </x:c>
      <x:c r="M171" t="n">
        <x:v>130</x:v>
      </x:c>
      <x:c r="N171" t="str"/>
      <x:c r="O171" t="str"/>
      <x:c r="P171" t="str"/>
      <x:c r="Q171" t="str">
        <x:v>A · standard carbon</x:v>
      </x:c>
      <x:c r="R171"/>
      <x:c r="S171"/>
      <x:c r="T171" t="str">
        <x:v>RFQ required · no public supplier-specific quote</x:v>
      </x:c>
      <x:c r="U171"/>
      <x:c r="V171" t="str">
        <x:v>https://solutions.vallourec.com/product/high-strength/</x:v>
      </x:c>
      <x:c r="W171" t="str">
        <x:v>Manufacturer-listed</x:v>
      </x:c>
      <x:c r="X171" t="str"/>
      <x:c r="Y171" t="str">
        <x:v>2026-10-10</x:v>
      </x:c>
    </x:row>
    <x:row r="172" ht="22" customHeight="1">
      <x:c r="A172" t="str">
        <x:v>OCTG-0171</x:v>
      </x:c>
      <x:c r="B172" t="str">
        <x:v>Vallourec</x:v>
      </x:c>
      <x:c r="C172" t="str">
        <x:v>Global / France</x:v>
      </x:c>
      <x:c r="D172" t="str">
        <x:v>VM 130 HCMS</x:v>
      </x:c>
      <x:c r="E172" t="str">
        <x:v>Proprietary grade</x:v>
      </x:c>
      <x:c r="F172" t="str">
        <x:v>API 5CT-based / manufacturer specification</x:v>
      </x:c>
      <x:c r="G172" t="str">
        <x:v>Carbon / low alloy</x:v>
      </x:c>
      <x:c r="H172" t="str">
        <x:v>High collapse; sour qualified where HCSS/HCMS/HCESS</x:v>
      </x:c>
      <x:c r="I172" t="str">
        <x:v>Casing and tubing (verify sizes)</x:v>
      </x:c>
      <x:c r="J172" t="str">
        <x:v>Not established by grade name</x:v>
      </x:c>
      <x:c r="K172" t="str">
        <x:v>Corrosion control may be needed</x:v>
      </x:c>
      <x:c r="L172" t="str">
        <x:v>Enhanced</x:v>
      </x:c>
      <x:c r="M172" t="n">
        <x:v>130</x:v>
      </x:c>
      <x:c r="N172" t="str"/>
      <x:c r="O172" t="str"/>
      <x:c r="P172" t="str"/>
      <x:c r="Q172" t="str">
        <x:v>A · standard carbon</x:v>
      </x:c>
      <x:c r="R172"/>
      <x:c r="S172"/>
      <x:c r="T172" t="str">
        <x:v>RFQ required · no public supplier-specific quote</x:v>
      </x:c>
      <x:c r="U172"/>
      <x:c r="V172" t="str">
        <x:v>https://solutions.vallourec.com/product/high-collapse/</x:v>
      </x:c>
      <x:c r="W172" t="str">
        <x:v>Manufacturer-listed</x:v>
      </x:c>
      <x:c r="X172" t="str"/>
      <x:c r="Y172" t="str">
        <x:v>2026-10-10</x:v>
      </x:c>
    </x:row>
    <x:row r="173" ht="22" customHeight="1">
      <x:c r="A173" t="str">
        <x:v>OCTG-0172</x:v>
      </x:c>
      <x:c r="B173" t="str">
        <x:v>Vallourec</x:v>
      </x:c>
      <x:c r="C173" t="str">
        <x:v>Global / France</x:v>
      </x:c>
      <x:c r="D173" t="str">
        <x:v>VM 130 MS</x:v>
      </x:c>
      <x:c r="E173" t="str">
        <x:v>Proprietary grade</x:v>
      </x:c>
      <x:c r="F173" t="str">
        <x:v>API 5CT-based / manufacturer specification</x:v>
      </x:c>
      <x:c r="G173" t="str">
        <x:v>Carbon / low alloy</x:v>
      </x:c>
      <x:c r="H173" t="str">
        <x:v>Sour service / SSC resistance; region varies by grade</x:v>
      </x:c>
      <x:c r="I173" t="str">
        <x:v>Casing and tubing (verify sizes)</x:v>
      </x:c>
      <x:c r="J173" t="str">
        <x:v>Sour service: manufacturer-defined limits</x:v>
      </x:c>
      <x:c r="K173" t="str">
        <x:v>Corrosion control may be needed</x:v>
      </x:c>
      <x:c r="L173" t="str">
        <x:v>API / not stated</x:v>
      </x:c>
      <x:c r="M173" t="n">
        <x:v>130</x:v>
      </x:c>
      <x:c r="N173" t="str"/>
      <x:c r="O173" t="str"/>
      <x:c r="P173" t="str"/>
      <x:c r="Q173" t="str">
        <x:v>A · standard carbon</x:v>
      </x:c>
      <x:c r="R173"/>
      <x:c r="S173"/>
      <x:c r="T173" t="str">
        <x:v>RFQ required · no public supplier-specific quote</x:v>
      </x:c>
      <x:c r="U173"/>
      <x:c r="V173" t="str">
        <x:v>https://solutions.vallourec.com/product/sour-service/</x:v>
      </x:c>
      <x:c r="W173" t="str">
        <x:v>Manufacturer-listed</x:v>
      </x:c>
      <x:c r="X173" t="str"/>
      <x:c r="Y173" t="str">
        <x:v>2026-10-10</x:v>
      </x:c>
    </x:row>
    <x:row r="174" ht="22" customHeight="1">
      <x:c r="A174" t="str">
        <x:v>OCTG-0173</x:v>
      </x:c>
      <x:c r="B174" t="str">
        <x:v>Vallourec</x:v>
      </x:c>
      <x:c r="C174" t="str">
        <x:v>Global / France</x:v>
      </x:c>
      <x:c r="D174" t="str">
        <x:v>VM 130 MS-D</x:v>
      </x:c>
      <x:c r="E174" t="str">
        <x:v>Proprietary grade</x:v>
      </x:c>
      <x:c r="F174" t="str">
        <x:v>API 5CT-based / manufacturer specification</x:v>
      </x:c>
      <x:c r="G174" t="str">
        <x:v>Carbon / low alloy</x:v>
      </x:c>
      <x:c r="H174" t="str">
        <x:v>Sour service / SSC resistance; region varies by grade</x:v>
      </x:c>
      <x:c r="I174" t="str">
        <x:v>Casing and tubing (verify sizes)</x:v>
      </x:c>
      <x:c r="J174" t="str">
        <x:v>Sour service: manufacturer-defined limits</x:v>
      </x:c>
      <x:c r="K174" t="str">
        <x:v>Corrosion control may be needed</x:v>
      </x:c>
      <x:c r="L174" t="str">
        <x:v>API / not stated</x:v>
      </x:c>
      <x:c r="M174" t="n">
        <x:v>130</x:v>
      </x:c>
      <x:c r="N174" t="str"/>
      <x:c r="O174" t="str"/>
      <x:c r="P174" t="str"/>
      <x:c r="Q174" t="str">
        <x:v>A · standard carbon</x:v>
      </x:c>
      <x:c r="R174"/>
      <x:c r="S174"/>
      <x:c r="T174" t="str">
        <x:v>RFQ required · no public supplier-specific quote</x:v>
      </x:c>
      <x:c r="U174"/>
      <x:c r="V174" t="str">
        <x:v>https://solutions.vallourec.com/product/sour-service/</x:v>
      </x:c>
      <x:c r="W174" t="str">
        <x:v>Manufacturer-listed</x:v>
      </x:c>
      <x:c r="X174" t="str"/>
      <x:c r="Y174" t="str">
        <x:v>2026-10-10</x:v>
      </x:c>
    </x:row>
    <x:row r="175" ht="22" customHeight="1">
      <x:c r="A175" t="str">
        <x:v>OCTG-0174</x:v>
      </x:c>
      <x:c r="B175" t="str">
        <x:v>Vallourec</x:v>
      </x:c>
      <x:c r="C175" t="str">
        <x:v>Global / France</x:v>
      </x:c>
      <x:c r="D175" t="str">
        <x:v>VM 140 CY</x:v>
      </x:c>
      <x:c r="E175" t="str">
        <x:v>Proprietary grade</x:v>
      </x:c>
      <x:c r="F175" t="str">
        <x:v>API 5CT-based / manufacturer specification</x:v>
      </x:c>
      <x:c r="G175" t="str">
        <x:v>Carbon / low alloy</x:v>
      </x:c>
      <x:c r="H175" t="str">
        <x:v>High strength / controlled yield, deep wells</x:v>
      </x:c>
      <x:c r="I175" t="str">
        <x:v>Casing and tubing (verify sizes)</x:v>
      </x:c>
      <x:c r="J175" t="str">
        <x:v>Not established by grade name</x:v>
      </x:c>
      <x:c r="K175" t="str">
        <x:v>Corrosion control may be needed</x:v>
      </x:c>
      <x:c r="L175" t="str">
        <x:v>API / not stated</x:v>
      </x:c>
      <x:c r="M175" t="n">
        <x:v>140</x:v>
      </x:c>
      <x:c r="N175" t="str"/>
      <x:c r="O175" t="str"/>
      <x:c r="P175" t="str"/>
      <x:c r="Q175" t="str">
        <x:v>A · standard carbon</x:v>
      </x:c>
      <x:c r="R175"/>
      <x:c r="S175"/>
      <x:c r="T175" t="str">
        <x:v>RFQ required · no public supplier-specific quote</x:v>
      </x:c>
      <x:c r="U175"/>
      <x:c r="V175" t="str">
        <x:v>https://solutions.vallourec.com/product/high-strength/</x:v>
      </x:c>
      <x:c r="W175" t="str">
        <x:v>Manufacturer-listed</x:v>
      </x:c>
      <x:c r="X175" t="str"/>
      <x:c r="Y175" t="str">
        <x:v>2026-10-10</x:v>
      </x:c>
    </x:row>
    <x:row r="176" ht="22" customHeight="1">
      <x:c r="A176" t="str">
        <x:v>OCTG-0175</x:v>
      </x:c>
      <x:c r="B176" t="str">
        <x:v>Vallourec</x:v>
      </x:c>
      <x:c r="C176" t="str">
        <x:v>Global / France</x:v>
      </x:c>
      <x:c r="D176" t="str">
        <x:v>VM 140 CYHC</x:v>
      </x:c>
      <x:c r="E176" t="str">
        <x:v>Proprietary grade</x:v>
      </x:c>
      <x:c r="F176" t="str">
        <x:v>API 5CT-based / manufacturer specification</x:v>
      </x:c>
      <x:c r="G176" t="str">
        <x:v>Carbon / low alloy</x:v>
      </x:c>
      <x:c r="H176" t="str">
        <x:v>High collapse; sour qualified where HCSS/HCMS/HCESS</x:v>
      </x:c>
      <x:c r="I176" t="str">
        <x:v>Casing and tubing (verify sizes)</x:v>
      </x:c>
      <x:c r="J176" t="str">
        <x:v>Not established by grade name</x:v>
      </x:c>
      <x:c r="K176" t="str">
        <x:v>Corrosion control may be needed</x:v>
      </x:c>
      <x:c r="L176" t="str">
        <x:v>Enhanced</x:v>
      </x:c>
      <x:c r="M176" t="n">
        <x:v>140</x:v>
      </x:c>
      <x:c r="N176" t="str"/>
      <x:c r="O176" t="str"/>
      <x:c r="P176" t="str"/>
      <x:c r="Q176" t="str">
        <x:v>A · standard carbon</x:v>
      </x:c>
      <x:c r="R176"/>
      <x:c r="S176"/>
      <x:c r="T176" t="str">
        <x:v>RFQ required · no public supplier-specific quote</x:v>
      </x:c>
      <x:c r="U176"/>
      <x:c r="V176" t="str">
        <x:v>https://solutions.vallourec.com/product/high-collapse/</x:v>
      </x:c>
      <x:c r="W176" t="str">
        <x:v>Manufacturer-listed</x:v>
      </x:c>
      <x:c r="X176" t="str"/>
      <x:c r="Y176" t="str">
        <x:v>2026-10-10</x:v>
      </x:c>
    </x:row>
    <x:row r="177" ht="22" customHeight="1">
      <x:c r="A177" t="str">
        <x:v>OCTG-0176</x:v>
      </x:c>
      <x:c r="B177" t="str">
        <x:v>Vallourec</x:v>
      </x:c>
      <x:c r="C177" t="str">
        <x:v>Global / France</x:v>
      </x:c>
      <x:c r="D177" t="str">
        <x:v>VM 140 CYXC</x:v>
      </x:c>
      <x:c r="E177" t="str">
        <x:v>Proprietary grade</x:v>
      </x:c>
      <x:c r="F177" t="str">
        <x:v>API 5CT-based / manufacturer specification</x:v>
      </x:c>
      <x:c r="G177" t="str">
        <x:v>Carbon / low alloy</x:v>
      </x:c>
      <x:c r="H177" t="str">
        <x:v>High strength / controlled yield, deep wells</x:v>
      </x:c>
      <x:c r="I177" t="str">
        <x:v>Casing and tubing (verify sizes)</x:v>
      </x:c>
      <x:c r="J177" t="str">
        <x:v>Not established by grade name</x:v>
      </x:c>
      <x:c r="K177" t="str">
        <x:v>Corrosion control may be needed</x:v>
      </x:c>
      <x:c r="L177" t="str">
        <x:v>API / not stated</x:v>
      </x:c>
      <x:c r="M177" t="n">
        <x:v>140</x:v>
      </x:c>
      <x:c r="N177" t="str"/>
      <x:c r="O177" t="str"/>
      <x:c r="P177" t="str"/>
      <x:c r="Q177" t="str">
        <x:v>A · standard carbon</x:v>
      </x:c>
      <x:c r="R177"/>
      <x:c r="S177"/>
      <x:c r="T177" t="str">
        <x:v>RFQ required · no public supplier-specific quote</x:v>
      </x:c>
      <x:c r="U177"/>
      <x:c r="V177" t="str">
        <x:v>https://solutions.vallourec.com/product/high-strength/</x:v>
      </x:c>
      <x:c r="W177" t="str">
        <x:v>Manufacturer-listed</x:v>
      </x:c>
      <x:c r="X177" t="str"/>
      <x:c r="Y177" t="str">
        <x:v>2026-10-10</x:v>
      </x:c>
    </x:row>
    <x:row r="178" ht="22" customHeight="1">
      <x:c r="A178" t="str">
        <x:v>OCTG-0177</x:v>
      </x:c>
      <x:c r="B178" t="str">
        <x:v>Vallourec</x:v>
      </x:c>
      <x:c r="C178" t="str">
        <x:v>Global / France</x:v>
      </x:c>
      <x:c r="D178" t="str">
        <x:v>VM 140 HC</x:v>
      </x:c>
      <x:c r="E178" t="str">
        <x:v>Proprietary grade</x:v>
      </x:c>
      <x:c r="F178" t="str">
        <x:v>API 5CT-based / manufacturer specification</x:v>
      </x:c>
      <x:c r="G178" t="str">
        <x:v>Carbon / low alloy</x:v>
      </x:c>
      <x:c r="H178" t="str">
        <x:v>High collapse; sour qualified where HCSS/HCMS/HCESS</x:v>
      </x:c>
      <x:c r="I178" t="str">
        <x:v>Casing and tubing (verify sizes)</x:v>
      </x:c>
      <x:c r="J178" t="str">
        <x:v>Not established by grade name</x:v>
      </x:c>
      <x:c r="K178" t="str">
        <x:v>Corrosion control may be needed</x:v>
      </x:c>
      <x:c r="L178" t="str">
        <x:v>Enhanced</x:v>
      </x:c>
      <x:c r="M178" t="n">
        <x:v>140</x:v>
      </x:c>
      <x:c r="N178" t="str"/>
      <x:c r="O178" t="str"/>
      <x:c r="P178" t="str"/>
      <x:c r="Q178" t="str">
        <x:v>A · standard carbon</x:v>
      </x:c>
      <x:c r="R178"/>
      <x:c r="S178"/>
      <x:c r="T178" t="str">
        <x:v>RFQ required · no public supplier-specific quote</x:v>
      </x:c>
      <x:c r="U178"/>
      <x:c r="V178" t="str">
        <x:v>https://solutions.vallourec.com/product/high-collapse/</x:v>
      </x:c>
      <x:c r="W178" t="str">
        <x:v>Manufacturer-listed</x:v>
      </x:c>
      <x:c r="X178" t="str"/>
      <x:c r="Y178" t="str">
        <x:v>2026-10-10</x:v>
      </x:c>
    </x:row>
    <x:row r="179" ht="22" customHeight="1">
      <x:c r="A179" t="str">
        <x:v>OCTG-0178</x:v>
      </x:c>
      <x:c r="B179" t="str">
        <x:v>Vallourec</x:v>
      </x:c>
      <x:c r="C179" t="str">
        <x:v>Global / France</x:v>
      </x:c>
      <x:c r="D179" t="str">
        <x:v>VM 150 CY</x:v>
      </x:c>
      <x:c r="E179" t="str">
        <x:v>Proprietary grade</x:v>
      </x:c>
      <x:c r="F179" t="str">
        <x:v>API 5CT-based / manufacturer specification</x:v>
      </x:c>
      <x:c r="G179" t="str">
        <x:v>Carbon / low alloy</x:v>
      </x:c>
      <x:c r="H179" t="str">
        <x:v>High strength / controlled yield, deep wells</x:v>
      </x:c>
      <x:c r="I179" t="str">
        <x:v>Casing and tubing (verify sizes)</x:v>
      </x:c>
      <x:c r="J179" t="str">
        <x:v>Not established by grade name</x:v>
      </x:c>
      <x:c r="K179" t="str">
        <x:v>Corrosion control may be needed</x:v>
      </x:c>
      <x:c r="L179" t="str">
        <x:v>API / not stated</x:v>
      </x:c>
      <x:c r="M179" t="n">
        <x:v>150</x:v>
      </x:c>
      <x:c r="N179" t="str"/>
      <x:c r="O179" t="str"/>
      <x:c r="P179" t="str"/>
      <x:c r="Q179" t="str">
        <x:v>A · standard carbon</x:v>
      </x:c>
      <x:c r="R179"/>
      <x:c r="S179"/>
      <x:c r="T179" t="str">
        <x:v>RFQ required · no public supplier-specific quote</x:v>
      </x:c>
      <x:c r="U179"/>
      <x:c r="V179" t="str">
        <x:v>https://solutions.vallourec.com/product/high-strength/</x:v>
      </x:c>
      <x:c r="W179" t="str">
        <x:v>Manufacturer-listed</x:v>
      </x:c>
      <x:c r="X179" t="str"/>
      <x:c r="Y179" t="str">
        <x:v>2026-10-10</x:v>
      </x:c>
    </x:row>
    <x:row r="180" ht="22" customHeight="1">
      <x:c r="A180" t="str">
        <x:v>OCTG-0179</x:v>
      </x:c>
      <x:c r="B180" t="str">
        <x:v>Vallourec</x:v>
      </x:c>
      <x:c r="C180" t="str">
        <x:v>Global / France</x:v>
      </x:c>
      <x:c r="D180" t="str">
        <x:v>VM 150 CYHC</x:v>
      </x:c>
      <x:c r="E180" t="str">
        <x:v>Proprietary grade</x:v>
      </x:c>
      <x:c r="F180" t="str">
        <x:v>API 5CT-based / manufacturer specification</x:v>
      </x:c>
      <x:c r="G180" t="str">
        <x:v>Carbon / low alloy</x:v>
      </x:c>
      <x:c r="H180" t="str">
        <x:v>High collapse; sour qualified where HCSS/HCMS/HCESS</x:v>
      </x:c>
      <x:c r="I180" t="str">
        <x:v>Casing and tubing (verify sizes)</x:v>
      </x:c>
      <x:c r="J180" t="str">
        <x:v>Not established by grade name</x:v>
      </x:c>
      <x:c r="K180" t="str">
        <x:v>Corrosion control may be needed</x:v>
      </x:c>
      <x:c r="L180" t="str">
        <x:v>Enhanced</x:v>
      </x:c>
      <x:c r="M180" t="n">
        <x:v>150</x:v>
      </x:c>
      <x:c r="N180" t="str"/>
      <x:c r="O180" t="str"/>
      <x:c r="P180" t="str"/>
      <x:c r="Q180" t="str">
        <x:v>A · standard carbon</x:v>
      </x:c>
      <x:c r="R180"/>
      <x:c r="S180"/>
      <x:c r="T180" t="str">
        <x:v>RFQ required · no public supplier-specific quote</x:v>
      </x:c>
      <x:c r="U180"/>
      <x:c r="V180" t="str">
        <x:v>https://solutions.vallourec.com/product/high-collapse/</x:v>
      </x:c>
      <x:c r="W180" t="str">
        <x:v>Manufacturer-listed</x:v>
      </x:c>
      <x:c r="X180" t="str"/>
      <x:c r="Y180" t="str">
        <x:v>2026-10-10</x:v>
      </x:c>
    </x:row>
    <x:row r="181" ht="22" customHeight="1">
      <x:c r="A181" t="str">
        <x:v>OCTG-0180</x:v>
      </x:c>
      <x:c r="B181" t="str">
        <x:v>Vallourec</x:v>
      </x:c>
      <x:c r="C181" t="str">
        <x:v>Global / France</x:v>
      </x:c>
      <x:c r="D181" t="str">
        <x:v>VM 150 CYXC</x:v>
      </x:c>
      <x:c r="E181" t="str">
        <x:v>Proprietary grade</x:v>
      </x:c>
      <x:c r="F181" t="str">
        <x:v>API 5CT-based / manufacturer specification</x:v>
      </x:c>
      <x:c r="G181" t="str">
        <x:v>Carbon / low alloy</x:v>
      </x:c>
      <x:c r="H181" t="str">
        <x:v>High strength / controlled yield, deep wells</x:v>
      </x:c>
      <x:c r="I181" t="str">
        <x:v>Casing and tubing (verify sizes)</x:v>
      </x:c>
      <x:c r="J181" t="str">
        <x:v>Not established by grade name</x:v>
      </x:c>
      <x:c r="K181" t="str">
        <x:v>Corrosion control may be needed</x:v>
      </x:c>
      <x:c r="L181" t="str">
        <x:v>API / not stated</x:v>
      </x:c>
      <x:c r="M181" t="n">
        <x:v>150</x:v>
      </x:c>
      <x:c r="N181" t="str"/>
      <x:c r="O181" t="str"/>
      <x:c r="P181" t="str"/>
      <x:c r="Q181" t="str">
        <x:v>A · standard carbon</x:v>
      </x:c>
      <x:c r="R181"/>
      <x:c r="S181"/>
      <x:c r="T181" t="str">
        <x:v>RFQ required · no public supplier-specific quote</x:v>
      </x:c>
      <x:c r="U181"/>
      <x:c r="V181" t="str">
        <x:v>https://solutions.vallourec.com/product/high-strength/</x:v>
      </x:c>
      <x:c r="W181" t="str">
        <x:v>Manufacturer-listed</x:v>
      </x:c>
      <x:c r="X181" t="str"/>
      <x:c r="Y181" t="str">
        <x:v>2026-10-10</x:v>
      </x:c>
    </x:row>
    <x:row r="182" ht="22" customHeight="1">
      <x:c r="A182" t="str">
        <x:v>OCTG-0181</x:v>
      </x:c>
      <x:c r="B182" t="str">
        <x:v>Vallourec</x:v>
      </x:c>
      <x:c r="C182" t="str">
        <x:v>Global / France</x:v>
      </x:c>
      <x:c r="D182" t="str">
        <x:v>VM 80 HC</x:v>
      </x:c>
      <x:c r="E182" t="str">
        <x:v>Proprietary grade</x:v>
      </x:c>
      <x:c r="F182" t="str">
        <x:v>API 5CT-based / manufacturer specification</x:v>
      </x:c>
      <x:c r="G182" t="str">
        <x:v>Carbon / low alloy</x:v>
      </x:c>
      <x:c r="H182" t="str">
        <x:v>High collapse; sour qualified where HCSS/HCMS/HCESS</x:v>
      </x:c>
      <x:c r="I182" t="str">
        <x:v>Casing and tubing (verify sizes)</x:v>
      </x:c>
      <x:c r="J182" t="str">
        <x:v>Not established by grade name</x:v>
      </x:c>
      <x:c r="K182" t="str">
        <x:v>Corrosion control may be needed</x:v>
      </x:c>
      <x:c r="L182" t="str">
        <x:v>Enhanced</x:v>
      </x:c>
      <x:c r="M182" t="n">
        <x:v>80</x:v>
      </x:c>
      <x:c r="N182" t="str"/>
      <x:c r="O182" t="str"/>
      <x:c r="P182" t="str"/>
      <x:c r="Q182" t="str">
        <x:v>A · standard carbon</x:v>
      </x:c>
      <x:c r="R182"/>
      <x:c r="S182"/>
      <x:c r="T182" t="str">
        <x:v>RFQ required · no public supplier-specific quote</x:v>
      </x:c>
      <x:c r="U182"/>
      <x:c r="V182" t="str">
        <x:v>https://solutions.vallourec.com/product/high-collapse/</x:v>
      </x:c>
      <x:c r="W182" t="str">
        <x:v>Manufacturer-listed</x:v>
      </x:c>
      <x:c r="X182" t="str"/>
      <x:c r="Y182" t="str">
        <x:v>2026-10-10</x:v>
      </x:c>
    </x:row>
    <x:row r="183" ht="22" customHeight="1">
      <x:c r="A183" t="str">
        <x:v>OCTG-0182</x:v>
      </x:c>
      <x:c r="B183" t="str">
        <x:v>Vallourec</x:v>
      </x:c>
      <x:c r="C183" t="str">
        <x:v>Global / France</x:v>
      </x:c>
      <x:c r="D183" t="str">
        <x:v>VM 80 HCS</x:v>
      </x:c>
      <x:c r="E183" t="str">
        <x:v>Proprietary grade</x:v>
      </x:c>
      <x:c r="F183" t="str">
        <x:v>API 5CT-based / manufacturer specification</x:v>
      </x:c>
      <x:c r="G183" t="str">
        <x:v>Carbon / low alloy</x:v>
      </x:c>
      <x:c r="H183" t="str">
        <x:v>High collapse; sour qualified where HCSS/HCMS/HCESS</x:v>
      </x:c>
      <x:c r="I183" t="str">
        <x:v>Casing and tubing (verify sizes)</x:v>
      </x:c>
      <x:c r="J183" t="str">
        <x:v>Not established by grade name</x:v>
      </x:c>
      <x:c r="K183" t="str">
        <x:v>Corrosion control may be needed</x:v>
      </x:c>
      <x:c r="L183" t="str">
        <x:v>Enhanced</x:v>
      </x:c>
      <x:c r="M183" t="n">
        <x:v>80</x:v>
      </x:c>
      <x:c r="N183" t="str"/>
      <x:c r="O183" t="str"/>
      <x:c r="P183" t="str"/>
      <x:c r="Q183" t="str">
        <x:v>A · standard carbon</x:v>
      </x:c>
      <x:c r="R183"/>
      <x:c r="S183"/>
      <x:c r="T183" t="str">
        <x:v>RFQ required · no public supplier-specific quote</x:v>
      </x:c>
      <x:c r="U183"/>
      <x:c r="V183" t="str">
        <x:v>https://solutions.vallourec.com/product/high-collapse/</x:v>
      </x:c>
      <x:c r="W183" t="str">
        <x:v>Manufacturer-listed</x:v>
      </x:c>
      <x:c r="X183" t="str"/>
      <x:c r="Y183" t="str">
        <x:v>2026-10-10</x:v>
      </x:c>
    </x:row>
    <x:row r="184" ht="22" customHeight="1">
      <x:c r="A184" t="str">
        <x:v>OCTG-0183</x:v>
      </x:c>
      <x:c r="B184" t="str">
        <x:v>Vallourec</x:v>
      </x:c>
      <x:c r="C184" t="str">
        <x:v>Global / France</x:v>
      </x:c>
      <x:c r="D184" t="str">
        <x:v>VM 80 HCSS</x:v>
      </x:c>
      <x:c r="E184" t="str">
        <x:v>Proprietary grade</x:v>
      </x:c>
      <x:c r="F184" t="str">
        <x:v>API 5CT-based / manufacturer specification</x:v>
      </x:c>
      <x:c r="G184" t="str">
        <x:v>Carbon / low alloy</x:v>
      </x:c>
      <x:c r="H184" t="str">
        <x:v>High collapse; sour qualified where HCSS/HCMS/HCESS</x:v>
      </x:c>
      <x:c r="I184" t="str">
        <x:v>Casing and tubing (verify sizes)</x:v>
      </x:c>
      <x:c r="J184" t="str">
        <x:v>Not established by grade name</x:v>
      </x:c>
      <x:c r="K184" t="str">
        <x:v>Corrosion control may be needed</x:v>
      </x:c>
      <x:c r="L184" t="str">
        <x:v>Enhanced</x:v>
      </x:c>
      <x:c r="M184" t="n">
        <x:v>80</x:v>
      </x:c>
      <x:c r="N184" t="str"/>
      <x:c r="O184" t="str"/>
      <x:c r="P184" t="str"/>
      <x:c r="Q184" t="str">
        <x:v>A · standard carbon</x:v>
      </x:c>
      <x:c r="R184"/>
      <x:c r="S184"/>
      <x:c r="T184" t="str">
        <x:v>RFQ required · no public supplier-specific quote</x:v>
      </x:c>
      <x:c r="U184"/>
      <x:c r="V184" t="str">
        <x:v>https://solutions.vallourec.com/product/high-collapse/</x:v>
      </x:c>
      <x:c r="W184" t="str">
        <x:v>Manufacturer-listed</x:v>
      </x:c>
      <x:c r="X184" t="str"/>
      <x:c r="Y184" t="str">
        <x:v>2026-10-10</x:v>
      </x:c>
    </x:row>
    <x:row r="185" ht="22" customHeight="1">
      <x:c r="A185" t="str">
        <x:v>OCTG-0184</x:v>
      </x:c>
      <x:c r="B185" t="str">
        <x:v>Vallourec</x:v>
      </x:c>
      <x:c r="C185" t="str">
        <x:v>Global / France</x:v>
      </x:c>
      <x:c r="D185" t="str">
        <x:v>VM 80 IRP</x:v>
      </x:c>
      <x:c r="E185" t="str">
        <x:v>Proprietary grade</x:v>
      </x:c>
      <x:c r="F185" t="str">
        <x:v>API 5CT-based / manufacturer specification</x:v>
      </x:c>
      <x:c r="G185" t="str">
        <x:v>Carbon / low alloy</x:v>
      </x:c>
      <x:c r="H185" t="str">
        <x:v>Sour service / SSC resistance; region varies by grade</x:v>
      </x:c>
      <x:c r="I185" t="str">
        <x:v>Casing and tubing (verify sizes)</x:v>
      </x:c>
      <x:c r="J185" t="str">
        <x:v>Sour service: manufacturer-defined limits</x:v>
      </x:c>
      <x:c r="K185" t="str">
        <x:v>Corrosion control may be needed</x:v>
      </x:c>
      <x:c r="L185" t="str">
        <x:v>API / not stated</x:v>
      </x:c>
      <x:c r="M185" t="n">
        <x:v>80</x:v>
      </x:c>
      <x:c r="N185" t="str"/>
      <x:c r="O185" t="str"/>
      <x:c r="P185" t="str"/>
      <x:c r="Q185" t="str">
        <x:v>A · standard carbon</x:v>
      </x:c>
      <x:c r="R185"/>
      <x:c r="S185"/>
      <x:c r="T185" t="str">
        <x:v>RFQ required · no public supplier-specific quote</x:v>
      </x:c>
      <x:c r="U185"/>
      <x:c r="V185" t="str">
        <x:v>https://solutions.vallourec.com/product/sour-service/</x:v>
      </x:c>
      <x:c r="W185" t="str">
        <x:v>Manufacturer-listed</x:v>
      </x:c>
      <x:c r="X185" t="str"/>
      <x:c r="Y185" t="str">
        <x:v>2026-10-10</x:v>
      </x:c>
    </x:row>
    <x:row r="186" ht="22" customHeight="1">
      <x:c r="A186" t="str">
        <x:v>OCTG-0185</x:v>
      </x:c>
      <x:c r="B186" t="str">
        <x:v>Vallourec</x:v>
      </x:c>
      <x:c r="C186" t="str">
        <x:v>Global / France</x:v>
      </x:c>
      <x:c r="D186" t="str">
        <x:v>VM 80 S</x:v>
      </x:c>
      <x:c r="E186" t="str">
        <x:v>Proprietary grade</x:v>
      </x:c>
      <x:c r="F186" t="str">
        <x:v>API 5CT-based / manufacturer specification</x:v>
      </x:c>
      <x:c r="G186" t="str">
        <x:v>Carbon / low alloy</x:v>
      </x:c>
      <x:c r="H186" t="str">
        <x:v>Sour service / SSC resistance; region varies by grade</x:v>
      </x:c>
      <x:c r="I186" t="str">
        <x:v>Casing and tubing (verify sizes)</x:v>
      </x:c>
      <x:c r="J186" t="str">
        <x:v>Sour service: manufacturer-defined limits</x:v>
      </x:c>
      <x:c r="K186" t="str">
        <x:v>Corrosion control may be needed</x:v>
      </x:c>
      <x:c r="L186" t="str">
        <x:v>API / not stated</x:v>
      </x:c>
      <x:c r="M186" t="n">
        <x:v>80</x:v>
      </x:c>
      <x:c r="N186" t="str"/>
      <x:c r="O186" t="str"/>
      <x:c r="P186" t="str"/>
      <x:c r="Q186" t="str">
        <x:v>A · standard carbon</x:v>
      </x:c>
      <x:c r="R186"/>
      <x:c r="S186"/>
      <x:c r="T186" t="str">
        <x:v>RFQ required · no public supplier-specific quote</x:v>
      </x:c>
      <x:c r="U186"/>
      <x:c r="V186" t="str">
        <x:v>https://solutions.vallourec.com/product/sour-service/</x:v>
      </x:c>
      <x:c r="W186" t="str">
        <x:v>Manufacturer-listed</x:v>
      </x:c>
      <x:c r="X186" t="str"/>
      <x:c r="Y186" t="str">
        <x:v>2026-10-10</x:v>
      </x:c>
    </x:row>
    <x:row r="187" ht="22" customHeight="1">
      <x:c r="A187" t="str">
        <x:v>OCTG-0186</x:v>
      </x:c>
      <x:c r="B187" t="str">
        <x:v>Vallourec</x:v>
      </x:c>
      <x:c r="C187" t="str">
        <x:v>Global / France</x:v>
      </x:c>
      <x:c r="D187" t="str">
        <x:v>VM 80 SS</x:v>
      </x:c>
      <x:c r="E187" t="str">
        <x:v>Proprietary grade</x:v>
      </x:c>
      <x:c r="F187" t="str">
        <x:v>API 5CT-based / manufacturer specification</x:v>
      </x:c>
      <x:c r="G187" t="str">
        <x:v>Carbon / low alloy</x:v>
      </x:c>
      <x:c r="H187" t="str">
        <x:v>Sour service / SSC resistance; region varies by grade</x:v>
      </x:c>
      <x:c r="I187" t="str">
        <x:v>Casing and tubing (verify sizes)</x:v>
      </x:c>
      <x:c r="J187" t="str">
        <x:v>Sour service: manufacturer-defined limits</x:v>
      </x:c>
      <x:c r="K187" t="str">
        <x:v>Corrosion control may be needed</x:v>
      </x:c>
      <x:c r="L187" t="str">
        <x:v>API / not stated</x:v>
      </x:c>
      <x:c r="M187" t="n">
        <x:v>80</x:v>
      </x:c>
      <x:c r="N187" t="str"/>
      <x:c r="O187" t="str"/>
      <x:c r="P187" t="str"/>
      <x:c r="Q187" t="str">
        <x:v>A · standard carbon</x:v>
      </x:c>
      <x:c r="R187"/>
      <x:c r="S187"/>
      <x:c r="T187" t="str">
        <x:v>RFQ required · no public supplier-specific quote</x:v>
      </x:c>
      <x:c r="U187"/>
      <x:c r="V187" t="str">
        <x:v>https://solutions.vallourec.com/product/sour-service/</x:v>
      </x:c>
      <x:c r="W187" t="str">
        <x:v>Manufacturer-listed</x:v>
      </x:c>
      <x:c r="X187" t="str"/>
      <x:c r="Y187" t="str">
        <x:v>2026-10-10</x:v>
      </x:c>
    </x:row>
    <x:row r="188" ht="22" customHeight="1">
      <x:c r="A188" t="str">
        <x:v>OCTG-0187</x:v>
      </x:c>
      <x:c r="B188" t="str">
        <x:v>Vallourec</x:v>
      </x:c>
      <x:c r="C188" t="str">
        <x:v>Global / France</x:v>
      </x:c>
      <x:c r="D188" t="str">
        <x:v>VM 90 HCS</x:v>
      </x:c>
      <x:c r="E188" t="str">
        <x:v>Proprietary grade</x:v>
      </x:c>
      <x:c r="F188" t="str">
        <x:v>API 5CT-based / manufacturer specification</x:v>
      </x:c>
      <x:c r="G188" t="str">
        <x:v>Carbon / low alloy</x:v>
      </x:c>
      <x:c r="H188" t="str">
        <x:v>High collapse; sour qualified where HCSS/HCMS/HCESS</x:v>
      </x:c>
      <x:c r="I188" t="str">
        <x:v>Casing and tubing (verify sizes)</x:v>
      </x:c>
      <x:c r="J188" t="str">
        <x:v>Not established by grade name</x:v>
      </x:c>
      <x:c r="K188" t="str">
        <x:v>Corrosion control may be needed</x:v>
      </x:c>
      <x:c r="L188" t="str">
        <x:v>Enhanced</x:v>
      </x:c>
      <x:c r="M188" t="n">
        <x:v>90</x:v>
      </x:c>
      <x:c r="N188" t="str"/>
      <x:c r="O188" t="str"/>
      <x:c r="P188" t="str"/>
      <x:c r="Q188" t="str">
        <x:v>A · standard carbon</x:v>
      </x:c>
      <x:c r="R188"/>
      <x:c r="S188"/>
      <x:c r="T188" t="str">
        <x:v>RFQ required · no public supplier-specific quote</x:v>
      </x:c>
      <x:c r="U188"/>
      <x:c r="V188" t="str">
        <x:v>https://solutions.vallourec.com/product/high-collapse/</x:v>
      </x:c>
      <x:c r="W188" t="str">
        <x:v>Manufacturer-listed</x:v>
      </x:c>
      <x:c r="X188" t="str"/>
      <x:c r="Y188" t="str">
        <x:v>2026-10-10</x:v>
      </x:c>
    </x:row>
    <x:row r="189" ht="22" customHeight="1">
      <x:c r="A189" t="str">
        <x:v>OCTG-0188</x:v>
      </x:c>
      <x:c r="B189" t="str">
        <x:v>Vallourec</x:v>
      </x:c>
      <x:c r="C189" t="str">
        <x:v>Global / France</x:v>
      </x:c>
      <x:c r="D189" t="str">
        <x:v>VM 90 HCSS</x:v>
      </x:c>
      <x:c r="E189" t="str">
        <x:v>Proprietary grade</x:v>
      </x:c>
      <x:c r="F189" t="str">
        <x:v>API 5CT-based / manufacturer specification</x:v>
      </x:c>
      <x:c r="G189" t="str">
        <x:v>Carbon / low alloy</x:v>
      </x:c>
      <x:c r="H189" t="str">
        <x:v>High collapse; sour qualified where HCSS/HCMS/HCESS</x:v>
      </x:c>
      <x:c r="I189" t="str">
        <x:v>Casing and tubing (verify sizes)</x:v>
      </x:c>
      <x:c r="J189" t="str">
        <x:v>Not established by grade name</x:v>
      </x:c>
      <x:c r="K189" t="str">
        <x:v>Corrosion control may be needed</x:v>
      </x:c>
      <x:c r="L189" t="str">
        <x:v>Enhanced</x:v>
      </x:c>
      <x:c r="M189" t="n">
        <x:v>90</x:v>
      </x:c>
      <x:c r="N189" t="str"/>
      <x:c r="O189" t="str"/>
      <x:c r="P189" t="str"/>
      <x:c r="Q189" t="str">
        <x:v>A · standard carbon</x:v>
      </x:c>
      <x:c r="R189"/>
      <x:c r="S189"/>
      <x:c r="T189" t="str">
        <x:v>RFQ required · no public supplier-specific quote</x:v>
      </x:c>
      <x:c r="U189"/>
      <x:c r="V189" t="str">
        <x:v>https://solutions.vallourec.com/product/high-collapse/</x:v>
      </x:c>
      <x:c r="W189" t="str">
        <x:v>Manufacturer-listed</x:v>
      </x:c>
      <x:c r="X189" t="str"/>
      <x:c r="Y189" t="str">
        <x:v>2026-10-10</x:v>
      </x:c>
    </x:row>
    <x:row r="190" ht="22" customHeight="1">
      <x:c r="A190" t="str">
        <x:v>OCTG-0189</x:v>
      </x:c>
      <x:c r="B190" t="str">
        <x:v>Vallourec</x:v>
      </x:c>
      <x:c r="C190" t="str">
        <x:v>Global / France</x:v>
      </x:c>
      <x:c r="D190" t="str">
        <x:v>VM 90 IRP</x:v>
      </x:c>
      <x:c r="E190" t="str">
        <x:v>Proprietary grade</x:v>
      </x:c>
      <x:c r="F190" t="str">
        <x:v>API 5CT-based / manufacturer specification</x:v>
      </x:c>
      <x:c r="G190" t="str">
        <x:v>Carbon / low alloy</x:v>
      </x:c>
      <x:c r="H190" t="str">
        <x:v>Sour service / SSC resistance; region varies by grade</x:v>
      </x:c>
      <x:c r="I190" t="str">
        <x:v>Casing and tubing (verify sizes)</x:v>
      </x:c>
      <x:c r="J190" t="str">
        <x:v>Sour service: manufacturer-defined limits</x:v>
      </x:c>
      <x:c r="K190" t="str">
        <x:v>Corrosion control may be needed</x:v>
      </x:c>
      <x:c r="L190" t="str">
        <x:v>API / not stated</x:v>
      </x:c>
      <x:c r="M190" t="n">
        <x:v>90</x:v>
      </x:c>
      <x:c r="N190" t="str"/>
      <x:c r="O190" t="str"/>
      <x:c r="P190" t="str"/>
      <x:c r="Q190" t="str">
        <x:v>A · standard carbon</x:v>
      </x:c>
      <x:c r="R190"/>
      <x:c r="S190"/>
      <x:c r="T190" t="str">
        <x:v>RFQ required · no public supplier-specific quote</x:v>
      </x:c>
      <x:c r="U190"/>
      <x:c r="V190" t="str">
        <x:v>https://solutions.vallourec.com/product/sour-service/</x:v>
      </x:c>
      <x:c r="W190" t="str">
        <x:v>Manufacturer-listed</x:v>
      </x:c>
      <x:c r="X190" t="str"/>
      <x:c r="Y190" t="str">
        <x:v>2026-10-10</x:v>
      </x:c>
    </x:row>
    <x:row r="191" ht="22" customHeight="1">
      <x:c r="A191" t="str">
        <x:v>OCTG-0190</x:v>
      </x:c>
      <x:c r="B191" t="str">
        <x:v>Vallourec</x:v>
      </x:c>
      <x:c r="C191" t="str">
        <x:v>Global / France</x:v>
      </x:c>
      <x:c r="D191" t="str">
        <x:v>VM 90 S</x:v>
      </x:c>
      <x:c r="E191" t="str">
        <x:v>Proprietary grade</x:v>
      </x:c>
      <x:c r="F191" t="str">
        <x:v>API 5CT-based / manufacturer specification</x:v>
      </x:c>
      <x:c r="G191" t="str">
        <x:v>Carbon / low alloy</x:v>
      </x:c>
      <x:c r="H191" t="str">
        <x:v>Sour service / SSC resistance; region varies by grade</x:v>
      </x:c>
      <x:c r="I191" t="str">
        <x:v>Casing and tubing (verify sizes)</x:v>
      </x:c>
      <x:c r="J191" t="str">
        <x:v>Sour service: manufacturer-defined limits</x:v>
      </x:c>
      <x:c r="K191" t="str">
        <x:v>Corrosion control may be needed</x:v>
      </x:c>
      <x:c r="L191" t="str">
        <x:v>API / not stated</x:v>
      </x:c>
      <x:c r="M191" t="n">
        <x:v>90</x:v>
      </x:c>
      <x:c r="N191" t="str"/>
      <x:c r="O191" t="str"/>
      <x:c r="P191" t="str"/>
      <x:c r="Q191" t="str">
        <x:v>A · standard carbon</x:v>
      </x:c>
      <x:c r="R191"/>
      <x:c r="S191"/>
      <x:c r="T191" t="str">
        <x:v>RFQ required · no public supplier-specific quote</x:v>
      </x:c>
      <x:c r="U191"/>
      <x:c r="V191" t="str">
        <x:v>https://solutions.vallourec.com/product/sour-service/</x:v>
      </x:c>
      <x:c r="W191" t="str">
        <x:v>Manufacturer-listed</x:v>
      </x:c>
      <x:c r="X191" t="str"/>
      <x:c r="Y191" t="str">
        <x:v>2026-10-10</x:v>
      </x:c>
    </x:row>
    <x:row r="192" ht="22" customHeight="1">
      <x:c r="A192" t="str">
        <x:v>OCTG-0191</x:v>
      </x:c>
      <x:c r="B192" t="str">
        <x:v>Vallourec</x:v>
      </x:c>
      <x:c r="C192" t="str">
        <x:v>Global / France</x:v>
      </x:c>
      <x:c r="D192" t="str">
        <x:v>VM 90 SS</x:v>
      </x:c>
      <x:c r="E192" t="str">
        <x:v>Proprietary grade</x:v>
      </x:c>
      <x:c r="F192" t="str">
        <x:v>API 5CT-based / manufacturer specification</x:v>
      </x:c>
      <x:c r="G192" t="str">
        <x:v>Carbon / low alloy</x:v>
      </x:c>
      <x:c r="H192" t="str">
        <x:v>Sour service / SSC resistance; region varies by grade</x:v>
      </x:c>
      <x:c r="I192" t="str">
        <x:v>Casing and tubing (verify sizes)</x:v>
      </x:c>
      <x:c r="J192" t="str">
        <x:v>Sour service: manufacturer-defined limits</x:v>
      </x:c>
      <x:c r="K192" t="str">
        <x:v>Corrosion control may be needed</x:v>
      </x:c>
      <x:c r="L192" t="str">
        <x:v>API / not stated</x:v>
      </x:c>
      <x:c r="M192" t="n">
        <x:v>90</x:v>
      </x:c>
      <x:c r="N192" t="str"/>
      <x:c r="O192" t="str"/>
      <x:c r="P192" t="str"/>
      <x:c r="Q192" t="str">
        <x:v>A · standard carbon</x:v>
      </x:c>
      <x:c r="R192"/>
      <x:c r="S192"/>
      <x:c r="T192" t="str">
        <x:v>RFQ required · no public supplier-specific quote</x:v>
      </x:c>
      <x:c r="U192"/>
      <x:c r="V192" t="str">
        <x:v>https://solutions.vallourec.com/product/sour-service/</x:v>
      </x:c>
      <x:c r="W192" t="str">
        <x:v>Manufacturer-listed</x:v>
      </x:c>
      <x:c r="X192" t="str"/>
      <x:c r="Y192" t="str">
        <x:v>2026-10-10</x:v>
      </x:c>
    </x:row>
    <x:row r="193" ht="22" customHeight="1">
      <x:c r="A193" t="str">
        <x:v>OCTG-0192</x:v>
      </x:c>
      <x:c r="B193" t="str">
        <x:v>Vallourec</x:v>
      </x:c>
      <x:c r="C193" t="str">
        <x:v>Global / France</x:v>
      </x:c>
      <x:c r="D193" t="str">
        <x:v>VM 95 HC</x:v>
      </x:c>
      <x:c r="E193" t="str">
        <x:v>Proprietary grade</x:v>
      </x:c>
      <x:c r="F193" t="str">
        <x:v>API 5CT-based / manufacturer specification</x:v>
      </x:c>
      <x:c r="G193" t="str">
        <x:v>Carbon / low alloy</x:v>
      </x:c>
      <x:c r="H193" t="str">
        <x:v>High collapse; sour qualified where HCSS/HCMS/HCESS</x:v>
      </x:c>
      <x:c r="I193" t="str">
        <x:v>Casing and tubing (verify sizes)</x:v>
      </x:c>
      <x:c r="J193" t="str">
        <x:v>Not established by grade name</x:v>
      </x:c>
      <x:c r="K193" t="str">
        <x:v>Corrosion control may be needed</x:v>
      </x:c>
      <x:c r="L193" t="str">
        <x:v>Enhanced</x:v>
      </x:c>
      <x:c r="M193" t="n">
        <x:v>95</x:v>
      </x:c>
      <x:c r="N193" t="str"/>
      <x:c r="O193" t="str"/>
      <x:c r="P193" t="str"/>
      <x:c r="Q193" t="str">
        <x:v>A · standard carbon</x:v>
      </x:c>
      <x:c r="R193"/>
      <x:c r="S193"/>
      <x:c r="T193" t="str">
        <x:v>RFQ required · no public supplier-specific quote</x:v>
      </x:c>
      <x:c r="U193"/>
      <x:c r="V193" t="str">
        <x:v>https://solutions.vallourec.com/product/high-collapse/</x:v>
      </x:c>
      <x:c r="W193" t="str">
        <x:v>Manufacturer-listed</x:v>
      </x:c>
      <x:c r="X193" t="str"/>
      <x:c r="Y193" t="str">
        <x:v>2026-10-10</x:v>
      </x:c>
    </x:row>
    <x:row r="194" ht="22" customHeight="1">
      <x:c r="A194" t="str">
        <x:v>OCTG-0193</x:v>
      </x:c>
      <x:c r="B194" t="str">
        <x:v>Vallourec</x:v>
      </x:c>
      <x:c r="C194" t="str">
        <x:v>Global / France</x:v>
      </x:c>
      <x:c r="D194" t="str">
        <x:v>VM 95 HCS</x:v>
      </x:c>
      <x:c r="E194" t="str">
        <x:v>Proprietary grade</x:v>
      </x:c>
      <x:c r="F194" t="str">
        <x:v>API 5CT-based / manufacturer specification</x:v>
      </x:c>
      <x:c r="G194" t="str">
        <x:v>Carbon / low alloy</x:v>
      </x:c>
      <x:c r="H194" t="str">
        <x:v>High collapse; sour qualified where HCSS/HCMS/HCESS</x:v>
      </x:c>
      <x:c r="I194" t="str">
        <x:v>Casing and tubing (verify sizes)</x:v>
      </x:c>
      <x:c r="J194" t="str">
        <x:v>Not established by grade name</x:v>
      </x:c>
      <x:c r="K194" t="str">
        <x:v>Corrosion control may be needed</x:v>
      </x:c>
      <x:c r="L194" t="str">
        <x:v>Enhanced</x:v>
      </x:c>
      <x:c r="M194" t="n">
        <x:v>95</x:v>
      </x:c>
      <x:c r="N194" t="str"/>
      <x:c r="O194" t="str"/>
      <x:c r="P194" t="str"/>
      <x:c r="Q194" t="str">
        <x:v>A · standard carbon</x:v>
      </x:c>
      <x:c r="R194"/>
      <x:c r="S194"/>
      <x:c r="T194" t="str">
        <x:v>RFQ required · no public supplier-specific quote</x:v>
      </x:c>
      <x:c r="U194"/>
      <x:c r="V194" t="str">
        <x:v>https://solutions.vallourec.com/product/high-collapse/</x:v>
      </x:c>
      <x:c r="W194" t="str">
        <x:v>Manufacturer-listed</x:v>
      </x:c>
      <x:c r="X194" t="str"/>
      <x:c r="Y194" t="str">
        <x:v>2026-10-10</x:v>
      </x:c>
    </x:row>
    <x:row r="195" ht="22" customHeight="1">
      <x:c r="A195" t="str">
        <x:v>OCTG-0194</x:v>
      </x:c>
      <x:c r="B195" t="str">
        <x:v>Vallourec</x:v>
      </x:c>
      <x:c r="C195" t="str">
        <x:v>Global / France</x:v>
      </x:c>
      <x:c r="D195" t="str">
        <x:v>VM 95 HCSS</x:v>
      </x:c>
      <x:c r="E195" t="str">
        <x:v>Proprietary grade</x:v>
      </x:c>
      <x:c r="F195" t="str">
        <x:v>API 5CT-based / manufacturer specification</x:v>
      </x:c>
      <x:c r="G195" t="str">
        <x:v>Carbon / low alloy</x:v>
      </x:c>
      <x:c r="H195" t="str">
        <x:v>High collapse; sour qualified where HCSS/HCMS/HCESS</x:v>
      </x:c>
      <x:c r="I195" t="str">
        <x:v>Casing and tubing (verify sizes)</x:v>
      </x:c>
      <x:c r="J195" t="str">
        <x:v>Not established by grade name</x:v>
      </x:c>
      <x:c r="K195" t="str">
        <x:v>Corrosion control may be needed</x:v>
      </x:c>
      <x:c r="L195" t="str">
        <x:v>Enhanced</x:v>
      </x:c>
      <x:c r="M195" t="n">
        <x:v>95</x:v>
      </x:c>
      <x:c r="N195" t="str"/>
      <x:c r="O195" t="str"/>
      <x:c r="P195" t="str"/>
      <x:c r="Q195" t="str">
        <x:v>A · standard carbon</x:v>
      </x:c>
      <x:c r="R195"/>
      <x:c r="S195"/>
      <x:c r="T195" t="str">
        <x:v>RFQ required · no public supplier-specific quote</x:v>
      </x:c>
      <x:c r="U195"/>
      <x:c r="V195" t="str">
        <x:v>https://solutions.vallourec.com/product/high-collapse/</x:v>
      </x:c>
      <x:c r="W195" t="str">
        <x:v>Manufacturer-listed</x:v>
      </x:c>
      <x:c r="X195" t="str"/>
      <x:c r="Y195" t="str">
        <x:v>2026-10-10</x:v>
      </x:c>
    </x:row>
    <x:row r="196" ht="22" customHeight="1">
      <x:c r="A196" t="str">
        <x:v>OCTG-0195</x:v>
      </x:c>
      <x:c r="B196" t="str">
        <x:v>Vallourec</x:v>
      </x:c>
      <x:c r="C196" t="str">
        <x:v>Global / France</x:v>
      </x:c>
      <x:c r="D196" t="str">
        <x:v>VM 95 IRP</x:v>
      </x:c>
      <x:c r="E196" t="str">
        <x:v>Proprietary grade</x:v>
      </x:c>
      <x:c r="F196" t="str">
        <x:v>API 5CT-based / manufacturer specification</x:v>
      </x:c>
      <x:c r="G196" t="str">
        <x:v>Carbon / low alloy</x:v>
      </x:c>
      <x:c r="H196" t="str">
        <x:v>Sour service / SSC resistance; region varies by grade</x:v>
      </x:c>
      <x:c r="I196" t="str">
        <x:v>Casing and tubing (verify sizes)</x:v>
      </x:c>
      <x:c r="J196" t="str">
        <x:v>Sour service: manufacturer-defined limits</x:v>
      </x:c>
      <x:c r="K196" t="str">
        <x:v>Corrosion control may be needed</x:v>
      </x:c>
      <x:c r="L196" t="str">
        <x:v>API / not stated</x:v>
      </x:c>
      <x:c r="M196" t="n">
        <x:v>95</x:v>
      </x:c>
      <x:c r="N196" t="str"/>
      <x:c r="O196" t="str"/>
      <x:c r="P196" t="str"/>
      <x:c r="Q196" t="str">
        <x:v>A · standard carbon</x:v>
      </x:c>
      <x:c r="R196"/>
      <x:c r="S196"/>
      <x:c r="T196" t="str">
        <x:v>RFQ required · no public supplier-specific quote</x:v>
      </x:c>
      <x:c r="U196"/>
      <x:c r="V196" t="str">
        <x:v>https://solutions.vallourec.com/product/sour-service/</x:v>
      </x:c>
      <x:c r="W196" t="str">
        <x:v>Manufacturer-listed</x:v>
      </x:c>
      <x:c r="X196" t="str"/>
      <x:c r="Y196" t="str">
        <x:v>2026-10-10</x:v>
      </x:c>
    </x:row>
    <x:row r="197" ht="22" customHeight="1">
      <x:c r="A197" t="str">
        <x:v>OCTG-0196</x:v>
      </x:c>
      <x:c r="B197" t="str">
        <x:v>Vallourec</x:v>
      </x:c>
      <x:c r="C197" t="str">
        <x:v>Global / France</x:v>
      </x:c>
      <x:c r="D197" t="str">
        <x:v>VM 95 RSS</x:v>
      </x:c>
      <x:c r="E197" t="str">
        <x:v>Proprietary grade</x:v>
      </x:c>
      <x:c r="F197" t="str">
        <x:v>API 5CT-based / manufacturer specification</x:v>
      </x:c>
      <x:c r="G197" t="str">
        <x:v>Carbon / low alloy</x:v>
      </x:c>
      <x:c r="H197" t="str">
        <x:v>Sour service / SSC resistance; region varies by grade</x:v>
      </x:c>
      <x:c r="I197" t="str">
        <x:v>Casing and tubing (verify sizes)</x:v>
      </x:c>
      <x:c r="J197" t="str">
        <x:v>Sour service: manufacturer-defined limits</x:v>
      </x:c>
      <x:c r="K197" t="str">
        <x:v>Corrosion control may be needed</x:v>
      </x:c>
      <x:c r="L197" t="str">
        <x:v>API / not stated</x:v>
      </x:c>
      <x:c r="M197" t="n">
        <x:v>95</x:v>
      </x:c>
      <x:c r="N197" t="str"/>
      <x:c r="O197" t="str"/>
      <x:c r="P197" t="str"/>
      <x:c r="Q197" t="str">
        <x:v>A · standard carbon</x:v>
      </x:c>
      <x:c r="R197"/>
      <x:c r="S197"/>
      <x:c r="T197" t="str">
        <x:v>RFQ required · no public supplier-specific quote</x:v>
      </x:c>
      <x:c r="U197"/>
      <x:c r="V197" t="str">
        <x:v>https://solutions.vallourec.com/product/sour-service/</x:v>
      </x:c>
      <x:c r="W197" t="str">
        <x:v>Manufacturer-listed</x:v>
      </x:c>
      <x:c r="X197" t="str"/>
      <x:c r="Y197" t="str">
        <x:v>2026-10-10</x:v>
      </x:c>
    </x:row>
    <x:row r="198" ht="22" customHeight="1">
      <x:c r="A198" t="str">
        <x:v>OCTG-0197</x:v>
      </x:c>
      <x:c r="B198" t="str">
        <x:v>Vallourec</x:v>
      </x:c>
      <x:c r="C198" t="str">
        <x:v>Global / France</x:v>
      </x:c>
      <x:c r="D198" t="str">
        <x:v>VM 95 S</x:v>
      </x:c>
      <x:c r="E198" t="str">
        <x:v>Proprietary grade</x:v>
      </x:c>
      <x:c r="F198" t="str">
        <x:v>API 5CT-based / manufacturer specification</x:v>
      </x:c>
      <x:c r="G198" t="str">
        <x:v>Carbon / low alloy</x:v>
      </x:c>
      <x:c r="H198" t="str">
        <x:v>Sour service / SSC resistance; region varies by grade</x:v>
      </x:c>
      <x:c r="I198" t="str">
        <x:v>Casing and tubing (verify sizes)</x:v>
      </x:c>
      <x:c r="J198" t="str">
        <x:v>Sour service: manufacturer-defined limits</x:v>
      </x:c>
      <x:c r="K198" t="str">
        <x:v>Corrosion control may be needed</x:v>
      </x:c>
      <x:c r="L198" t="str">
        <x:v>API / not stated</x:v>
      </x:c>
      <x:c r="M198" t="n">
        <x:v>95</x:v>
      </x:c>
      <x:c r="N198" t="str"/>
      <x:c r="O198" t="str"/>
      <x:c r="P198" t="str"/>
      <x:c r="Q198" t="str">
        <x:v>A · standard carbon</x:v>
      </x:c>
      <x:c r="R198"/>
      <x:c r="S198"/>
      <x:c r="T198" t="str">
        <x:v>RFQ required · no public supplier-specific quote</x:v>
      </x:c>
      <x:c r="U198"/>
      <x:c r="V198" t="str">
        <x:v>https://solutions.vallourec.com/product/sour-service/</x:v>
      </x:c>
      <x:c r="W198" t="str">
        <x:v>Manufacturer-listed</x:v>
      </x:c>
      <x:c r="X198" t="str"/>
      <x:c r="Y198" t="str">
        <x:v>2026-10-10</x:v>
      </x:c>
    </x:row>
    <x:row r="199" ht="22" customHeight="1">
      <x:c r="A199" t="str">
        <x:v>OCTG-0198</x:v>
      </x:c>
      <x:c r="B199" t="str">
        <x:v>Vallourec</x:v>
      </x:c>
      <x:c r="C199" t="str">
        <x:v>Global / France</x:v>
      </x:c>
      <x:c r="D199" t="str">
        <x:v>VM 95 SS</x:v>
      </x:c>
      <x:c r="E199" t="str">
        <x:v>Proprietary grade</x:v>
      </x:c>
      <x:c r="F199" t="str">
        <x:v>API 5CT-based / manufacturer specification</x:v>
      </x:c>
      <x:c r="G199" t="str">
        <x:v>Carbon / low alloy</x:v>
      </x:c>
      <x:c r="H199" t="str">
        <x:v>Sour service / SSC resistance; region varies by grade</x:v>
      </x:c>
      <x:c r="I199" t="str">
        <x:v>Casing and tubing (verify sizes)</x:v>
      </x:c>
      <x:c r="J199" t="str">
        <x:v>Sour service: manufacturer-defined limits</x:v>
      </x:c>
      <x:c r="K199" t="str">
        <x:v>Corrosion control may be needed</x:v>
      </x:c>
      <x:c r="L199" t="str">
        <x:v>API / not stated</x:v>
      </x:c>
      <x:c r="M199" t="n">
        <x:v>95</x:v>
      </x:c>
      <x:c r="N199" t="str"/>
      <x:c r="O199" t="str"/>
      <x:c r="P199" t="str"/>
      <x:c r="Q199" t="str">
        <x:v>A · standard carbon</x:v>
      </x:c>
      <x:c r="R199"/>
      <x:c r="S199"/>
      <x:c r="T199" t="str">
        <x:v>RFQ required · no public supplier-specific quote</x:v>
      </x:c>
      <x:c r="U199"/>
      <x:c r="V199" t="str">
        <x:v>https://solutions.vallourec.com/product/sour-service/</x:v>
      </x:c>
      <x:c r="W199" t="str">
        <x:v>Manufacturer-listed</x:v>
      </x:c>
      <x:c r="X199" t="str"/>
      <x:c r="Y199" t="str">
        <x:v>2026-10-10</x:v>
      </x:c>
    </x:row>
    <x:row r="200" ht="22" customHeight="1">
      <x:c r="A200" t="str">
        <x:v>OCTG-0199</x:v>
      </x:c>
      <x:c r="B200" t="str">
        <x:v>Vallourec</x:v>
      </x:c>
      <x:c r="C200" t="str">
        <x:v>Global / France</x:v>
      </x:c>
      <x:c r="D200" t="str">
        <x:v>VM 95 SS-D</x:v>
      </x:c>
      <x:c r="E200" t="str">
        <x:v>Proprietary grade</x:v>
      </x:c>
      <x:c r="F200" t="str">
        <x:v>API 5CT-based / manufacturer specification</x:v>
      </x:c>
      <x:c r="G200" t="str">
        <x:v>Carbon / low alloy</x:v>
      </x:c>
      <x:c r="H200" t="str">
        <x:v>Sour service / SSC resistance; region varies by grade</x:v>
      </x:c>
      <x:c r="I200" t="str">
        <x:v>Casing and tubing (verify sizes)</x:v>
      </x:c>
      <x:c r="J200" t="str">
        <x:v>Sour service: manufacturer-defined limits</x:v>
      </x:c>
      <x:c r="K200" t="str">
        <x:v>Corrosion control may be needed</x:v>
      </x:c>
      <x:c r="L200" t="str">
        <x:v>API / not stated</x:v>
      </x:c>
      <x:c r="M200" t="n">
        <x:v>95</x:v>
      </x:c>
      <x:c r="N200" t="str"/>
      <x:c r="O200" t="str"/>
      <x:c r="P200" t="str"/>
      <x:c r="Q200" t="str">
        <x:v>A · standard carbon</x:v>
      </x:c>
      <x:c r="R200"/>
      <x:c r="S200"/>
      <x:c r="T200" t="str">
        <x:v>RFQ required · no public supplier-specific quote</x:v>
      </x:c>
      <x:c r="U200"/>
      <x:c r="V200" t="str">
        <x:v>https://solutions.vallourec.com/product/sour-service/</x:v>
      </x:c>
      <x:c r="W200" t="str">
        <x:v>Manufacturer-listed</x:v>
      </x:c>
      <x:c r="X200" t="str"/>
      <x:c r="Y200" t="str">
        <x:v>2026-10-10</x:v>
      </x:c>
    </x:row>
    <x:row r="201" ht="22" customHeight="1">
      <x:c r="A201" t="str">
        <x:v>OCTG-0200</x:v>
      </x:c>
      <x:c r="B201" t="str">
        <x:v>Vallourec</x:v>
      </x:c>
      <x:c r="C201" t="str">
        <x:v>Global / France</x:v>
      </x:c>
      <x:c r="D201" t="str">
        <x:v>VM 80 13CR</x:v>
      </x:c>
      <x:c r="E201" t="str">
        <x:v>Proprietary grade</x:v>
      </x:c>
      <x:c r="F201" t="str">
        <x:v>API 5CT-based / manufacturer specification</x:v>
      </x:c>
      <x:c r="G201" t="str">
        <x:v>Martensitic 13Cr</x:v>
      </x:c>
      <x:c r="H201" t="str">
        <x:v>Sweet CO2 / wet gas; high collapse for HC</x:v>
      </x:c>
      <x:c r="I201" t="str">
        <x:v>Casing and tubing (verify sizes)</x:v>
      </x:c>
      <x:c r="J201" t="str">
        <x:v>Not established by grade name</x:v>
      </x:c>
      <x:c r="K201" t="str">
        <x:v>Improved (verify temperature / chloride limits)</x:v>
      </x:c>
      <x:c r="L201" t="str">
        <x:v>Enhanced</x:v>
      </x:c>
      <x:c r="M201" t="n">
        <x:v>80</x:v>
      </x:c>
      <x:c r="N201" t="str"/>
      <x:c r="O201" t="str"/>
      <x:c r="P201" t="str"/>
      <x:c r="Q201" t="str">
        <x:v>D · 13Cr stainless</x:v>
      </x:c>
      <x:c r="R201"/>
      <x:c r="S201"/>
      <x:c r="T201" t="str">
        <x:v>RFQ required · no public supplier-specific quote</x:v>
      </x:c>
      <x:c r="U201"/>
      <x:c r="V201" t="str">
        <x:v>https://solutions.vallourec.com/product/13cr-and-super-13cr/</x:v>
      </x:c>
      <x:c r="W201" t="str">
        <x:v>Manufacturer-listed</x:v>
      </x:c>
      <x:c r="X201" t="str"/>
      <x:c r="Y201" t="str">
        <x:v>2026-10-10</x:v>
      </x:c>
    </x:row>
    <x:row r="202" ht="22" customHeight="1">
      <x:c r="A202" t="str">
        <x:v>OCTG-0201</x:v>
      </x:c>
      <x:c r="B202" t="str">
        <x:v>Vallourec</x:v>
      </x:c>
      <x:c r="C202" t="str">
        <x:v>Global / France</x:v>
      </x:c>
      <x:c r="D202" t="str">
        <x:v>VM 80 13CRCY</x:v>
      </x:c>
      <x:c r="E202" t="str">
        <x:v>Proprietary grade</x:v>
      </x:c>
      <x:c r="F202" t="str">
        <x:v>API 5CT-based / manufacturer specification</x:v>
      </x:c>
      <x:c r="G202" t="str">
        <x:v>Martensitic 13Cr</x:v>
      </x:c>
      <x:c r="H202" t="str">
        <x:v>Sweet CO2 / wet gas; high collapse for HC</x:v>
      </x:c>
      <x:c r="I202" t="str">
        <x:v>Casing and tubing (verify sizes)</x:v>
      </x:c>
      <x:c r="J202" t="str">
        <x:v>Not established by grade name</x:v>
      </x:c>
      <x:c r="K202" t="str">
        <x:v>Improved (verify temperature / chloride limits)</x:v>
      </x:c>
      <x:c r="L202" t="str">
        <x:v>Enhanced</x:v>
      </x:c>
      <x:c r="M202" t="n">
        <x:v>80</x:v>
      </x:c>
      <x:c r="N202" t="str"/>
      <x:c r="O202" t="str"/>
      <x:c r="P202" t="str"/>
      <x:c r="Q202" t="str">
        <x:v>D · 13Cr stainless</x:v>
      </x:c>
      <x:c r="R202"/>
      <x:c r="S202"/>
      <x:c r="T202" t="str">
        <x:v>RFQ required · no public supplier-specific quote</x:v>
      </x:c>
      <x:c r="U202"/>
      <x:c r="V202" t="str">
        <x:v>https://solutions.vallourec.com/product/13cr-and-super-13cr/</x:v>
      </x:c>
      <x:c r="W202" t="str">
        <x:v>Manufacturer-listed</x:v>
      </x:c>
      <x:c r="X202" t="str"/>
      <x:c r="Y202" t="str">
        <x:v>2026-10-10</x:v>
      </x:c>
    </x:row>
    <x:row r="203" ht="22" customHeight="1">
      <x:c r="A203" t="str">
        <x:v>OCTG-0202</x:v>
      </x:c>
      <x:c r="B203" t="str">
        <x:v>Vallourec</x:v>
      </x:c>
      <x:c r="C203" t="str">
        <x:v>Global / France</x:v>
      </x:c>
      <x:c r="D203" t="str">
        <x:v>VM 80 13CRHC</x:v>
      </x:c>
      <x:c r="E203" t="str">
        <x:v>Proprietary grade</x:v>
      </x:c>
      <x:c r="F203" t="str">
        <x:v>API 5CT-based / manufacturer specification</x:v>
      </x:c>
      <x:c r="G203" t="str">
        <x:v>Martensitic 13Cr</x:v>
      </x:c>
      <x:c r="H203" t="str">
        <x:v>Sweet CO2 / wet gas; high collapse for HC</x:v>
      </x:c>
      <x:c r="I203" t="str">
        <x:v>Casing and tubing (verify sizes)</x:v>
      </x:c>
      <x:c r="J203" t="str">
        <x:v>Not established by grade name</x:v>
      </x:c>
      <x:c r="K203" t="str">
        <x:v>Improved (verify temperature / chloride limits)</x:v>
      </x:c>
      <x:c r="L203" t="str">
        <x:v>Enhanced</x:v>
      </x:c>
      <x:c r="M203" t="n">
        <x:v>80</x:v>
      </x:c>
      <x:c r="N203" t="str"/>
      <x:c r="O203" t="str"/>
      <x:c r="P203" t="str"/>
      <x:c r="Q203" t="str">
        <x:v>D · 13Cr stainless</x:v>
      </x:c>
      <x:c r="R203"/>
      <x:c r="S203"/>
      <x:c r="T203" t="str">
        <x:v>RFQ required · no public supplier-specific quote</x:v>
      </x:c>
      <x:c r="U203"/>
      <x:c r="V203" t="str">
        <x:v>https://solutions.vallourec.com/product/13cr-and-super-13cr/</x:v>
      </x:c>
      <x:c r="W203" t="str">
        <x:v>Manufacturer-listed</x:v>
      </x:c>
      <x:c r="X203" t="str"/>
      <x:c r="Y203" t="str">
        <x:v>2026-10-10</x:v>
      </x:c>
    </x:row>
    <x:row r="204" ht="22" customHeight="1">
      <x:c r="A204" t="str">
        <x:v>OCTG-0203</x:v>
      </x:c>
      <x:c r="B204" t="str">
        <x:v>Vallourec</x:v>
      </x:c>
      <x:c r="C204" t="str">
        <x:v>Global / France</x:v>
      </x:c>
      <x:c r="D204" t="str">
        <x:v>VM 85 13CR</x:v>
      </x:c>
      <x:c r="E204" t="str">
        <x:v>Proprietary grade</x:v>
      </x:c>
      <x:c r="F204" t="str">
        <x:v>API 5CT-based / manufacturer specification</x:v>
      </x:c>
      <x:c r="G204" t="str">
        <x:v>Martensitic 13Cr</x:v>
      </x:c>
      <x:c r="H204" t="str">
        <x:v>Sweet CO2 / wet gas; high collapse for HC</x:v>
      </x:c>
      <x:c r="I204" t="str">
        <x:v>Casing and tubing (verify sizes)</x:v>
      </x:c>
      <x:c r="J204" t="str">
        <x:v>Not established by grade name</x:v>
      </x:c>
      <x:c r="K204" t="str">
        <x:v>Improved (verify temperature / chloride limits)</x:v>
      </x:c>
      <x:c r="L204" t="str">
        <x:v>Enhanced</x:v>
      </x:c>
      <x:c r="M204" t="n">
        <x:v>85</x:v>
      </x:c>
      <x:c r="N204" t="str"/>
      <x:c r="O204" t="str"/>
      <x:c r="P204" t="str"/>
      <x:c r="Q204" t="str">
        <x:v>D · 13Cr stainless</x:v>
      </x:c>
      <x:c r="R204"/>
      <x:c r="S204"/>
      <x:c r="T204" t="str">
        <x:v>RFQ required · no public supplier-specific quote</x:v>
      </x:c>
      <x:c r="U204"/>
      <x:c r="V204" t="str">
        <x:v>https://solutions.vallourec.com/product/13cr-and-super-13cr/</x:v>
      </x:c>
      <x:c r="W204" t="str">
        <x:v>Manufacturer-listed</x:v>
      </x:c>
      <x:c r="X204" t="str"/>
      <x:c r="Y204" t="str">
        <x:v>2026-10-10</x:v>
      </x:c>
    </x:row>
    <x:row r="205" ht="22" customHeight="1">
      <x:c r="A205" t="str">
        <x:v>OCTG-0204</x:v>
      </x:c>
      <x:c r="B205" t="str">
        <x:v>Vallourec</x:v>
      </x:c>
      <x:c r="C205" t="str">
        <x:v>Global / France</x:v>
      </x:c>
      <x:c r="D205" t="str">
        <x:v>VM 85 13CRCY</x:v>
      </x:c>
      <x:c r="E205" t="str">
        <x:v>Proprietary grade</x:v>
      </x:c>
      <x:c r="F205" t="str">
        <x:v>API 5CT-based / manufacturer specification</x:v>
      </x:c>
      <x:c r="G205" t="str">
        <x:v>Martensitic 13Cr</x:v>
      </x:c>
      <x:c r="H205" t="str">
        <x:v>Sweet CO2 / wet gas; high collapse for HC</x:v>
      </x:c>
      <x:c r="I205" t="str">
        <x:v>Casing and tubing (verify sizes)</x:v>
      </x:c>
      <x:c r="J205" t="str">
        <x:v>Not established by grade name</x:v>
      </x:c>
      <x:c r="K205" t="str">
        <x:v>Improved (verify temperature / chloride limits)</x:v>
      </x:c>
      <x:c r="L205" t="str">
        <x:v>Enhanced</x:v>
      </x:c>
      <x:c r="M205" t="n">
        <x:v>85</x:v>
      </x:c>
      <x:c r="N205" t="str"/>
      <x:c r="O205" t="str"/>
      <x:c r="P205" t="str"/>
      <x:c r="Q205" t="str">
        <x:v>D · 13Cr stainless</x:v>
      </x:c>
      <x:c r="R205"/>
      <x:c r="S205"/>
      <x:c r="T205" t="str">
        <x:v>RFQ required · no public supplier-specific quote</x:v>
      </x:c>
      <x:c r="U205"/>
      <x:c r="V205" t="str">
        <x:v>https://solutions.vallourec.com/product/13cr-and-super-13cr/</x:v>
      </x:c>
      <x:c r="W205" t="str">
        <x:v>Manufacturer-listed</x:v>
      </x:c>
      <x:c r="X205" t="str"/>
      <x:c r="Y205" t="str">
        <x:v>2026-10-10</x:v>
      </x:c>
    </x:row>
    <x:row r="206" ht="22" customHeight="1">
      <x:c r="A206" t="str">
        <x:v>OCTG-0205</x:v>
      </x:c>
      <x:c r="B206" t="str">
        <x:v>Vallourec</x:v>
      </x:c>
      <x:c r="C206" t="str">
        <x:v>Global / France</x:v>
      </x:c>
      <x:c r="D206" t="str">
        <x:v>VM 90 13CR</x:v>
      </x:c>
      <x:c r="E206" t="str">
        <x:v>Proprietary grade</x:v>
      </x:c>
      <x:c r="F206" t="str">
        <x:v>API 5CT-based / manufacturer specification</x:v>
      </x:c>
      <x:c r="G206" t="str">
        <x:v>Martensitic 13Cr</x:v>
      </x:c>
      <x:c r="H206" t="str">
        <x:v>Sweet CO2 / wet gas; high collapse for HC</x:v>
      </x:c>
      <x:c r="I206" t="str">
        <x:v>Casing and tubing (verify sizes)</x:v>
      </x:c>
      <x:c r="J206" t="str">
        <x:v>Not established by grade name</x:v>
      </x:c>
      <x:c r="K206" t="str">
        <x:v>Improved (verify temperature / chloride limits)</x:v>
      </x:c>
      <x:c r="L206" t="str">
        <x:v>Enhanced</x:v>
      </x:c>
      <x:c r="M206" t="n">
        <x:v>90</x:v>
      </x:c>
      <x:c r="N206" t="str"/>
      <x:c r="O206" t="str"/>
      <x:c r="P206" t="str"/>
      <x:c r="Q206" t="str">
        <x:v>D · 13Cr stainless</x:v>
      </x:c>
      <x:c r="R206"/>
      <x:c r="S206"/>
      <x:c r="T206" t="str">
        <x:v>RFQ required · no public supplier-specific quote</x:v>
      </x:c>
      <x:c r="U206"/>
      <x:c r="V206" t="str">
        <x:v>https://solutions.vallourec.com/product/13cr-and-super-13cr/</x:v>
      </x:c>
      <x:c r="W206" t="str">
        <x:v>Manufacturer-listed</x:v>
      </x:c>
      <x:c r="X206" t="str"/>
      <x:c r="Y206" t="str">
        <x:v>2026-10-10</x:v>
      </x:c>
    </x:row>
    <x:row r="207" ht="22" customHeight="1">
      <x:c r="A207" t="str">
        <x:v>OCTG-0206</x:v>
      </x:c>
      <x:c r="B207" t="str">
        <x:v>Vallourec</x:v>
      </x:c>
      <x:c r="C207" t="str">
        <x:v>Global / France</x:v>
      </x:c>
      <x:c r="D207" t="str">
        <x:v>VM 90 13CRHC</x:v>
      </x:c>
      <x:c r="E207" t="str">
        <x:v>Proprietary grade</x:v>
      </x:c>
      <x:c r="F207" t="str">
        <x:v>API 5CT-based / manufacturer specification</x:v>
      </x:c>
      <x:c r="G207" t="str">
        <x:v>Martensitic 13Cr</x:v>
      </x:c>
      <x:c r="H207" t="str">
        <x:v>Sweet CO2 / wet gas; high collapse for HC</x:v>
      </x:c>
      <x:c r="I207" t="str">
        <x:v>Casing and tubing (verify sizes)</x:v>
      </x:c>
      <x:c r="J207" t="str">
        <x:v>Not established by grade name</x:v>
      </x:c>
      <x:c r="K207" t="str">
        <x:v>Improved (verify temperature / chloride limits)</x:v>
      </x:c>
      <x:c r="L207" t="str">
        <x:v>Enhanced</x:v>
      </x:c>
      <x:c r="M207" t="n">
        <x:v>90</x:v>
      </x:c>
      <x:c r="N207" t="str"/>
      <x:c r="O207" t="str"/>
      <x:c r="P207" t="str"/>
      <x:c r="Q207" t="str">
        <x:v>D · 13Cr stainless</x:v>
      </x:c>
      <x:c r="R207"/>
      <x:c r="S207"/>
      <x:c r="T207" t="str">
        <x:v>RFQ required · no public supplier-specific quote</x:v>
      </x:c>
      <x:c r="U207"/>
      <x:c r="V207" t="str">
        <x:v>https://solutions.vallourec.com/product/13cr-and-super-13cr/</x:v>
      </x:c>
      <x:c r="W207" t="str">
        <x:v>Manufacturer-listed</x:v>
      </x:c>
      <x:c r="X207" t="str"/>
      <x:c r="Y207" t="str">
        <x:v>2026-10-10</x:v>
      </x:c>
    </x:row>
    <x:row r="208" ht="22" customHeight="1">
      <x:c r="A208" t="str">
        <x:v>OCTG-0207</x:v>
      </x:c>
      <x:c r="B208" t="str">
        <x:v>Vallourec</x:v>
      </x:c>
      <x:c r="C208" t="str">
        <x:v>Global / France</x:v>
      </x:c>
      <x:c r="D208" t="str">
        <x:v>VM 95 13CR</x:v>
      </x:c>
      <x:c r="E208" t="str">
        <x:v>Proprietary grade</x:v>
      </x:c>
      <x:c r="F208" t="str">
        <x:v>API 5CT-based / manufacturer specification</x:v>
      </x:c>
      <x:c r="G208" t="str">
        <x:v>Martensitic 13Cr</x:v>
      </x:c>
      <x:c r="H208" t="str">
        <x:v>Sweet CO2 / wet gas; high collapse for HC</x:v>
      </x:c>
      <x:c r="I208" t="str">
        <x:v>Casing and tubing (verify sizes)</x:v>
      </x:c>
      <x:c r="J208" t="str">
        <x:v>Not established by grade name</x:v>
      </x:c>
      <x:c r="K208" t="str">
        <x:v>Improved (verify temperature / chloride limits)</x:v>
      </x:c>
      <x:c r="L208" t="str">
        <x:v>Enhanced</x:v>
      </x:c>
      <x:c r="M208" t="n">
        <x:v>95</x:v>
      </x:c>
      <x:c r="N208" t="str"/>
      <x:c r="O208" t="str"/>
      <x:c r="P208" t="str"/>
      <x:c r="Q208" t="str">
        <x:v>D · 13Cr stainless</x:v>
      </x:c>
      <x:c r="R208"/>
      <x:c r="S208"/>
      <x:c r="T208" t="str">
        <x:v>RFQ required · no public supplier-specific quote</x:v>
      </x:c>
      <x:c r="U208"/>
      <x:c r="V208" t="str">
        <x:v>https://solutions.vallourec.com/product/13cr-and-super-13cr/</x:v>
      </x:c>
      <x:c r="W208" t="str">
        <x:v>Manufacturer-listed</x:v>
      </x:c>
      <x:c r="X208" t="str"/>
      <x:c r="Y208" t="str">
        <x:v>2026-10-10</x:v>
      </x:c>
    </x:row>
    <x:row r="209" ht="22" customHeight="1">
      <x:c r="A209" t="str">
        <x:v>OCTG-0208</x:v>
      </x:c>
      <x:c r="B209" t="str">
        <x:v>Vallourec</x:v>
      </x:c>
      <x:c r="C209" t="str">
        <x:v>Global / France</x:v>
      </x:c>
      <x:c r="D209" t="str">
        <x:v>VM 95 13CRHC</x:v>
      </x:c>
      <x:c r="E209" t="str">
        <x:v>Proprietary grade</x:v>
      </x:c>
      <x:c r="F209" t="str">
        <x:v>API 5CT-based / manufacturer specification</x:v>
      </x:c>
      <x:c r="G209" t="str">
        <x:v>Martensitic 13Cr</x:v>
      </x:c>
      <x:c r="H209" t="str">
        <x:v>Sweet CO2 / wet gas; high collapse for HC</x:v>
      </x:c>
      <x:c r="I209" t="str">
        <x:v>Casing and tubing (verify sizes)</x:v>
      </x:c>
      <x:c r="J209" t="str">
        <x:v>Not established by grade name</x:v>
      </x:c>
      <x:c r="K209" t="str">
        <x:v>Improved (verify temperature / chloride limits)</x:v>
      </x:c>
      <x:c r="L209" t="str">
        <x:v>Enhanced</x:v>
      </x:c>
      <x:c r="M209" t="n">
        <x:v>95</x:v>
      </x:c>
      <x:c r="N209" t="str"/>
      <x:c r="O209" t="str"/>
      <x:c r="P209" t="str"/>
      <x:c r="Q209" t="str">
        <x:v>D · 13Cr stainless</x:v>
      </x:c>
      <x:c r="R209"/>
      <x:c r="S209"/>
      <x:c r="T209" t="str">
        <x:v>RFQ required · no public supplier-specific quote</x:v>
      </x:c>
      <x:c r="U209"/>
      <x:c r="V209" t="str">
        <x:v>https://solutions.vallourec.com/product/13cr-and-super-13cr/</x:v>
      </x:c>
      <x:c r="W209" t="str">
        <x:v>Manufacturer-listed</x:v>
      </x:c>
      <x:c r="X209" t="str"/>
      <x:c r="Y209" t="str">
        <x:v>2026-10-10</x:v>
      </x:c>
    </x:row>
    <x:row r="210" ht="22" customHeight="1">
      <x:c r="A210" t="str">
        <x:v>OCTG-0209</x:v>
      </x:c>
      <x:c r="B210" t="str">
        <x:v>Vallourec</x:v>
      </x:c>
      <x:c r="C210" t="str">
        <x:v>Global / France</x:v>
      </x:c>
      <x:c r="D210" t="str">
        <x:v>VM 110 13CRM</x:v>
      </x:c>
      <x:c r="E210" t="str">
        <x:v>Proprietary grade</x:v>
      </x:c>
      <x:c r="F210" t="str">
        <x:v>API 5CRA family / manufacturer specification</x:v>
      </x:c>
      <x:c r="G210" t="str">
        <x:v>Modified / super 13Cr</x:v>
      </x:c>
      <x:c r="H210" t="str">
        <x:v>High CO2 / elevated temperature / limited H2S; high collapse for HC</x:v>
      </x:c>
      <x:c r="I210" t="str">
        <x:v>Casing and tubing (verify sizes)</x:v>
      </x:c>
      <x:c r="J210" t="str">
        <x:v>Mild/limited sour: verify domain</x:v>
      </x:c>
      <x:c r="K210" t="str">
        <x:v>Improved (verify temperature / chloride limits)</x:v>
      </x:c>
      <x:c r="L210" t="str">
        <x:v>Enhanced</x:v>
      </x:c>
      <x:c r="M210" t="n">
        <x:v>110</x:v>
      </x:c>
      <x:c r="N210" t="str"/>
      <x:c r="O210" t="str"/>
      <x:c r="P210" t="str"/>
      <x:c r="Q210" t="str">
        <x:v>E · modified/S13Cr</x:v>
      </x:c>
      <x:c r="R210"/>
      <x:c r="S210"/>
      <x:c r="T210" t="str">
        <x:v>RFQ required · no public supplier-specific quote</x:v>
      </x:c>
      <x:c r="U210"/>
      <x:c r="V210" t="str">
        <x:v>https://solutions.vallourec.com/product/13cr-and-super-13cr/</x:v>
      </x:c>
      <x:c r="W210" t="str">
        <x:v>Manufacturer-listed</x:v>
      </x:c>
      <x:c r="X210" t="str"/>
      <x:c r="Y210" t="str">
        <x:v>2026-10-10</x:v>
      </x:c>
    </x:row>
    <x:row r="211" ht="22" customHeight="1">
      <x:c r="A211" t="str">
        <x:v>OCTG-0210</x:v>
      </x:c>
      <x:c r="B211" t="str">
        <x:v>Vallourec</x:v>
      </x:c>
      <x:c r="C211" t="str">
        <x:v>Global / France</x:v>
      </x:c>
      <x:c r="D211" t="str">
        <x:v>VM 110 13CRSS</x:v>
      </x:c>
      <x:c r="E211" t="str">
        <x:v>Proprietary grade</x:v>
      </x:c>
      <x:c r="F211" t="str">
        <x:v>API 5CRA family / manufacturer specification</x:v>
      </x:c>
      <x:c r="G211" t="str">
        <x:v>Modified / super 13Cr</x:v>
      </x:c>
      <x:c r="H211" t="str">
        <x:v>High CO2 / elevated temperature / limited H2S; high collapse for HC</x:v>
      </x:c>
      <x:c r="I211" t="str">
        <x:v>Casing and tubing (verify sizes)</x:v>
      </x:c>
      <x:c r="J211" t="str">
        <x:v>Mild/limited sour: verify domain</x:v>
      </x:c>
      <x:c r="K211" t="str">
        <x:v>Improved (verify temperature / chloride limits)</x:v>
      </x:c>
      <x:c r="L211" t="str">
        <x:v>Enhanced</x:v>
      </x:c>
      <x:c r="M211" t="n">
        <x:v>110</x:v>
      </x:c>
      <x:c r="N211" t="str"/>
      <x:c r="O211" t="str"/>
      <x:c r="P211" t="str"/>
      <x:c r="Q211" t="str">
        <x:v>E · modified/S13Cr</x:v>
      </x:c>
      <x:c r="R211"/>
      <x:c r="S211"/>
      <x:c r="T211" t="str">
        <x:v>RFQ required · no public supplier-specific quote</x:v>
      </x:c>
      <x:c r="U211"/>
      <x:c r="V211" t="str">
        <x:v>https://solutions.vallourec.com/product/13cr-and-super-13cr/</x:v>
      </x:c>
      <x:c r="W211" t="str">
        <x:v>Manufacturer-listed</x:v>
      </x:c>
      <x:c r="X211" t="str"/>
      <x:c r="Y211" t="str">
        <x:v>2026-10-10</x:v>
      </x:c>
    </x:row>
    <x:row r="212" ht="22" customHeight="1">
      <x:c r="A212" t="str">
        <x:v>OCTG-0211</x:v>
      </x:c>
      <x:c r="B212" t="str">
        <x:v>Vallourec</x:v>
      </x:c>
      <x:c r="C212" t="str">
        <x:v>Global / France</x:v>
      </x:c>
      <x:c r="D212" t="str">
        <x:v>VM 110 13CRSSHC</x:v>
      </x:c>
      <x:c r="E212" t="str">
        <x:v>Proprietary grade</x:v>
      </x:c>
      <x:c r="F212" t="str">
        <x:v>API 5CRA family / manufacturer specification</x:v>
      </x:c>
      <x:c r="G212" t="str">
        <x:v>Modified / super 13Cr</x:v>
      </x:c>
      <x:c r="H212" t="str">
        <x:v>High CO2 / elevated temperature / limited H2S; high collapse for HC</x:v>
      </x:c>
      <x:c r="I212" t="str">
        <x:v>Casing and tubing (verify sizes)</x:v>
      </x:c>
      <x:c r="J212" t="str">
        <x:v>Mild/limited sour: verify domain</x:v>
      </x:c>
      <x:c r="K212" t="str">
        <x:v>Improved (verify temperature / chloride limits)</x:v>
      </x:c>
      <x:c r="L212" t="str">
        <x:v>Enhanced</x:v>
      </x:c>
      <x:c r="M212" t="n">
        <x:v>110</x:v>
      </x:c>
      <x:c r="N212" t="str"/>
      <x:c r="O212" t="str"/>
      <x:c r="P212" t="str"/>
      <x:c r="Q212" t="str">
        <x:v>E · modified/S13Cr</x:v>
      </x:c>
      <x:c r="R212"/>
      <x:c r="S212"/>
      <x:c r="T212" t="str">
        <x:v>RFQ required · no public supplier-specific quote</x:v>
      </x:c>
      <x:c r="U212"/>
      <x:c r="V212" t="str">
        <x:v>https://solutions.vallourec.com/product/13cr-and-super-13cr/</x:v>
      </x:c>
      <x:c r="W212" t="str">
        <x:v>Manufacturer-listed</x:v>
      </x:c>
      <x:c r="X212" t="str"/>
      <x:c r="Y212" t="str">
        <x:v>2026-10-10</x:v>
      </x:c>
    </x:row>
    <x:row r="213" ht="22" customHeight="1">
      <x:c r="A213" t="str">
        <x:v>OCTG-0212</x:v>
      </x:c>
      <x:c r="B213" t="str">
        <x:v>Vallourec</x:v>
      </x:c>
      <x:c r="C213" t="str">
        <x:v>Global / France</x:v>
      </x:c>
      <x:c r="D213" t="str">
        <x:v>VM 110 13ECRSS</x:v>
      </x:c>
      <x:c r="E213" t="str">
        <x:v>Proprietary grade</x:v>
      </x:c>
      <x:c r="F213" t="str">
        <x:v>API 5CRA family / manufacturer specification</x:v>
      </x:c>
      <x:c r="G213" t="str">
        <x:v>Modified / super 13Cr</x:v>
      </x:c>
      <x:c r="H213" t="str">
        <x:v>High CO2 / elevated temperature / limited H2S; high collapse for HC</x:v>
      </x:c>
      <x:c r="I213" t="str">
        <x:v>Casing and tubing (verify sizes)</x:v>
      </x:c>
      <x:c r="J213" t="str">
        <x:v>Mild/limited sour: verify domain</x:v>
      </x:c>
      <x:c r="K213" t="str">
        <x:v>Improved (verify temperature / chloride limits)</x:v>
      </x:c>
      <x:c r="L213" t="str">
        <x:v>Enhanced</x:v>
      </x:c>
      <x:c r="M213" t="n">
        <x:v>110</x:v>
      </x:c>
      <x:c r="N213" t="str"/>
      <x:c r="O213" t="str"/>
      <x:c r="P213" t="str"/>
      <x:c r="Q213" t="str">
        <x:v>E · modified/S13Cr</x:v>
      </x:c>
      <x:c r="R213"/>
      <x:c r="S213"/>
      <x:c r="T213" t="str">
        <x:v>RFQ required · no public supplier-specific quote</x:v>
      </x:c>
      <x:c r="U213"/>
      <x:c r="V213" t="str">
        <x:v>https://solutions.vallourec.com/product/13cr-and-super-13cr/</x:v>
      </x:c>
      <x:c r="W213" t="str">
        <x:v>Manufacturer-listed</x:v>
      </x:c>
      <x:c r="X213" t="str"/>
      <x:c r="Y213" t="str">
        <x:v>2026-10-10</x:v>
      </x:c>
    </x:row>
    <x:row r="214" ht="22" customHeight="1">
      <x:c r="A214" t="str">
        <x:v>OCTG-0213</x:v>
      </x:c>
      <x:c r="B214" t="str">
        <x:v>Vallourec</x:v>
      </x:c>
      <x:c r="C214" t="str">
        <x:v>Global / France</x:v>
      </x:c>
      <x:c r="D214" t="str">
        <x:v>VM 125 13CRSS</x:v>
      </x:c>
      <x:c r="E214" t="str">
        <x:v>Proprietary grade</x:v>
      </x:c>
      <x:c r="F214" t="str">
        <x:v>API 5CRA family / manufacturer specification</x:v>
      </x:c>
      <x:c r="G214" t="str">
        <x:v>Modified / super 13Cr</x:v>
      </x:c>
      <x:c r="H214" t="str">
        <x:v>High CO2 / elevated temperature / limited H2S; high collapse for HC</x:v>
      </x:c>
      <x:c r="I214" t="str">
        <x:v>Casing and tubing (verify sizes)</x:v>
      </x:c>
      <x:c r="J214" t="str">
        <x:v>Mild/limited sour: verify domain</x:v>
      </x:c>
      <x:c r="K214" t="str">
        <x:v>Improved (verify temperature / chloride limits)</x:v>
      </x:c>
      <x:c r="L214" t="str">
        <x:v>Enhanced</x:v>
      </x:c>
      <x:c r="M214" t="n">
        <x:v>125</x:v>
      </x:c>
      <x:c r="N214" t="str"/>
      <x:c r="O214" t="str"/>
      <x:c r="P214" t="str"/>
      <x:c r="Q214" t="str">
        <x:v>E · modified/S13Cr</x:v>
      </x:c>
      <x:c r="R214"/>
      <x:c r="S214"/>
      <x:c r="T214" t="str">
        <x:v>RFQ required · no public supplier-specific quote</x:v>
      </x:c>
      <x:c r="U214"/>
      <x:c r="V214" t="str">
        <x:v>https://solutions.vallourec.com/product/13cr-and-super-13cr/</x:v>
      </x:c>
      <x:c r="W214" t="str">
        <x:v>Manufacturer-listed</x:v>
      </x:c>
      <x:c r="X214" t="str"/>
      <x:c r="Y214" t="str">
        <x:v>2026-10-10</x:v>
      </x:c>
    </x:row>
    <x:row r="215" ht="22" customHeight="1">
      <x:c r="A215" t="str">
        <x:v>OCTG-0214</x:v>
      </x:c>
      <x:c r="B215" t="str">
        <x:v>Vallourec</x:v>
      </x:c>
      <x:c r="C215" t="str">
        <x:v>Global / France</x:v>
      </x:c>
      <x:c r="D215" t="str">
        <x:v>VM 125 13ECRSS</x:v>
      </x:c>
      <x:c r="E215" t="str">
        <x:v>Proprietary grade</x:v>
      </x:c>
      <x:c r="F215" t="str">
        <x:v>API 5CRA family / manufacturer specification</x:v>
      </x:c>
      <x:c r="G215" t="str">
        <x:v>Modified / super 13Cr</x:v>
      </x:c>
      <x:c r="H215" t="str">
        <x:v>High CO2 / elevated temperature / limited H2S; high collapse for HC</x:v>
      </x:c>
      <x:c r="I215" t="str">
        <x:v>Casing and tubing (verify sizes)</x:v>
      </x:c>
      <x:c r="J215" t="str">
        <x:v>Mild/limited sour: verify domain</x:v>
      </x:c>
      <x:c r="K215" t="str">
        <x:v>Improved (verify temperature / chloride limits)</x:v>
      </x:c>
      <x:c r="L215" t="str">
        <x:v>Enhanced</x:v>
      </x:c>
      <x:c r="M215" t="n">
        <x:v>125</x:v>
      </x:c>
      <x:c r="N215" t="str"/>
      <x:c r="O215" t="str"/>
      <x:c r="P215" t="str"/>
      <x:c r="Q215" t="str">
        <x:v>E · modified/S13Cr</x:v>
      </x:c>
      <x:c r="R215"/>
      <x:c r="S215"/>
      <x:c r="T215" t="str">
        <x:v>RFQ required · no public supplier-specific quote</x:v>
      </x:c>
      <x:c r="U215"/>
      <x:c r="V215" t="str">
        <x:v>https://solutions.vallourec.com/product/13cr-and-super-13cr/</x:v>
      </x:c>
      <x:c r="W215" t="str">
        <x:v>Manufacturer-listed</x:v>
      </x:c>
      <x:c r="X215" t="str"/>
      <x:c r="Y215" t="str">
        <x:v>2026-10-10</x:v>
      </x:c>
    </x:row>
    <x:row r="216" ht="22" customHeight="1">
      <x:c r="A216" t="str">
        <x:v>OCTG-0215</x:v>
      </x:c>
      <x:c r="B216" t="str">
        <x:v>Vallourec</x:v>
      </x:c>
      <x:c r="C216" t="str">
        <x:v>Global / France</x:v>
      </x:c>
      <x:c r="D216" t="str">
        <x:v>VM 95 13CRSS</x:v>
      </x:c>
      <x:c r="E216" t="str">
        <x:v>Proprietary grade</x:v>
      </x:c>
      <x:c r="F216" t="str">
        <x:v>API 5CRA family / manufacturer specification</x:v>
      </x:c>
      <x:c r="G216" t="str">
        <x:v>Modified / super 13Cr</x:v>
      </x:c>
      <x:c r="H216" t="str">
        <x:v>High CO2 / elevated temperature / limited H2S; high collapse for HC</x:v>
      </x:c>
      <x:c r="I216" t="str">
        <x:v>Casing and tubing (verify sizes)</x:v>
      </x:c>
      <x:c r="J216" t="str">
        <x:v>Mild/limited sour: verify domain</x:v>
      </x:c>
      <x:c r="K216" t="str">
        <x:v>Improved (verify temperature / chloride limits)</x:v>
      </x:c>
      <x:c r="L216" t="str">
        <x:v>Enhanced</x:v>
      </x:c>
      <x:c r="M216" t="n">
        <x:v>95</x:v>
      </x:c>
      <x:c r="N216" t="str"/>
      <x:c r="O216" t="str"/>
      <x:c r="P216" t="str"/>
      <x:c r="Q216" t="str">
        <x:v>E · modified/S13Cr</x:v>
      </x:c>
      <x:c r="R216"/>
      <x:c r="S216"/>
      <x:c r="T216" t="str">
        <x:v>RFQ required · no public supplier-specific quote</x:v>
      </x:c>
      <x:c r="U216"/>
      <x:c r="V216" t="str">
        <x:v>https://solutions.vallourec.com/product/13cr-and-super-13cr/</x:v>
      </x:c>
      <x:c r="W216" t="str">
        <x:v>Manufacturer-listed</x:v>
      </x:c>
      <x:c r="X216" t="str"/>
      <x:c r="Y216" t="str">
        <x:v>2026-10-10</x:v>
      </x:c>
    </x:row>
    <x:row r="217" ht="22" customHeight="1">
      <x:c r="A217" t="str">
        <x:v>OCTG-0216</x:v>
      </x:c>
      <x:c r="B217" t="str">
        <x:v>Vallourec</x:v>
      </x:c>
      <x:c r="C217" t="str">
        <x:v>Global / France</x:v>
      </x:c>
      <x:c r="D217" t="str">
        <x:v>VM 95 13CRSSHC</x:v>
      </x:c>
      <x:c r="E217" t="str">
        <x:v>Proprietary grade</x:v>
      </x:c>
      <x:c r="F217" t="str">
        <x:v>API 5CRA family / manufacturer specification</x:v>
      </x:c>
      <x:c r="G217" t="str">
        <x:v>Modified / super 13Cr</x:v>
      </x:c>
      <x:c r="H217" t="str">
        <x:v>High CO2 / elevated temperature / limited H2S; high collapse for HC</x:v>
      </x:c>
      <x:c r="I217" t="str">
        <x:v>Casing and tubing (verify sizes)</x:v>
      </x:c>
      <x:c r="J217" t="str">
        <x:v>Mild/limited sour: verify domain</x:v>
      </x:c>
      <x:c r="K217" t="str">
        <x:v>Improved (verify temperature / chloride limits)</x:v>
      </x:c>
      <x:c r="L217" t="str">
        <x:v>Enhanced</x:v>
      </x:c>
      <x:c r="M217" t="n">
        <x:v>95</x:v>
      </x:c>
      <x:c r="N217" t="str"/>
      <x:c r="O217" t="str"/>
      <x:c r="P217" t="str"/>
      <x:c r="Q217" t="str">
        <x:v>E · modified/S13Cr</x:v>
      </x:c>
      <x:c r="R217"/>
      <x:c r="S217"/>
      <x:c r="T217" t="str">
        <x:v>RFQ required · no public supplier-specific quote</x:v>
      </x:c>
      <x:c r="U217"/>
      <x:c r="V217" t="str">
        <x:v>https://solutions.vallourec.com/product/13cr-and-super-13cr/</x:v>
      </x:c>
      <x:c r="W217" t="str">
        <x:v>Manufacturer-listed</x:v>
      </x:c>
      <x:c r="X217" t="str"/>
      <x:c r="Y217" t="str">
        <x:v>2026-10-10</x:v>
      </x:c>
    </x:row>
    <x:row r="218" ht="22" customHeight="1">
      <x:c r="A218" t="str">
        <x:v>OCTG-0217</x:v>
      </x:c>
      <x:c r="B218" t="str">
        <x:v>Nippon Steel</x:v>
      </x:c>
      <x:c r="C218" t="str">
        <x:v>Japan</x:v>
      </x:c>
      <x:c r="D218" t="str">
        <x:v>SM-110ES</x:v>
      </x:c>
      <x:c r="E218" t="str">
        <x:v>Proprietary grade</x:v>
      </x:c>
      <x:c r="F218" t="str">
        <x:v>API 5CT-based / manufacturer specification</x:v>
      </x:c>
      <x:c r="G218" t="str">
        <x:v>Carbon / low alloy</x:v>
      </x:c>
      <x:c r="H218" t="str">
        <x:v>Sour service; XS/XSD severe, ES mild/medium severity</x:v>
      </x:c>
      <x:c r="I218" t="str">
        <x:v>Casing and tubing (verify sizes)</x:v>
      </x:c>
      <x:c r="J218" t="str">
        <x:v>Sour service: manufacturer-defined limits</x:v>
      </x:c>
      <x:c r="K218" t="str">
        <x:v>Corrosion control may be needed</x:v>
      </x:c>
      <x:c r="L218" t="str">
        <x:v>API / not stated</x:v>
      </x:c>
      <x:c r="M218" t="n">
        <x:v>110</x:v>
      </x:c>
      <x:c r="N218" t="str"/>
      <x:c r="O218" t="str"/>
      <x:c r="P218" t="str"/>
      <x:c r="Q218" t="str">
        <x:v>A · standard carbon</x:v>
      </x:c>
      <x:c r="R218"/>
      <x:c r="S218"/>
      <x:c r="T218" t="str">
        <x:v>RFQ required · no public supplier-specific quote</x:v>
      </x:c>
      <x:c r="U218"/>
      <x:c r="V218" t="str">
        <x:v>https://www.tubular.nipponsteel.com/octg-material/application-list/sour-service</x:v>
      </x:c>
      <x:c r="W218" t="str">
        <x:v>Manufacturer-listed</x:v>
      </x:c>
      <x:c r="X218" t="str"/>
      <x:c r="Y218" t="str">
        <x:v>2026-10-10</x:v>
      </x:c>
    </x:row>
    <x:row r="219" ht="22" customHeight="1">
      <x:c r="A219" t="str">
        <x:v>OCTG-0218</x:v>
      </x:c>
      <x:c r="B219" t="str">
        <x:v>Nippon Steel</x:v>
      </x:c>
      <x:c r="C219" t="str">
        <x:v>Japan</x:v>
      </x:c>
      <x:c r="D219" t="str">
        <x:v>SM-110T</x:v>
      </x:c>
      <x:c r="E219" t="str">
        <x:v>Proprietary grade</x:v>
      </x:c>
      <x:c r="F219" t="str">
        <x:v>API 5CT-based / manufacturer specification</x:v>
      </x:c>
      <x:c r="G219" t="str">
        <x:v>Carbon / low alloy</x:v>
      </x:c>
      <x:c r="H219" t="str">
        <x:v>High collapse / high strength</x:v>
      </x:c>
      <x:c r="I219" t="str">
        <x:v>Casing and tubing (verify sizes)</x:v>
      </x:c>
      <x:c r="J219" t="str">
        <x:v>Not established by grade name</x:v>
      </x:c>
      <x:c r="K219" t="str">
        <x:v>Corrosion control may be needed</x:v>
      </x:c>
      <x:c r="L219" t="str">
        <x:v>Enhanced</x:v>
      </x:c>
      <x:c r="M219" t="n">
        <x:v>110</x:v>
      </x:c>
      <x:c r="N219" t="str"/>
      <x:c r="O219" t="str"/>
      <x:c r="P219" t="str"/>
      <x:c r="Q219" t="str">
        <x:v>A · standard carbon</x:v>
      </x:c>
      <x:c r="R219"/>
      <x:c r="S219"/>
      <x:c r="T219" t="str">
        <x:v>RFQ required · no public supplier-specific quote</x:v>
      </x:c>
      <x:c r="U219"/>
      <x:c r="V219" t="str">
        <x:v>https://www.tubular.nipponsteel.com/octg-material/application-list/high-collapse-high-strength</x:v>
      </x:c>
      <x:c r="W219" t="str">
        <x:v>Manufacturer-listed</x:v>
      </x:c>
      <x:c r="X219" t="str"/>
      <x:c r="Y219" t="str">
        <x:v>2026-10-10</x:v>
      </x:c>
    </x:row>
    <x:row r="220" ht="22" customHeight="1">
      <x:c r="A220" t="str">
        <x:v>OCTG-0219</x:v>
      </x:c>
      <x:c r="B220" t="str">
        <x:v>Nippon Steel</x:v>
      </x:c>
      <x:c r="C220" t="str">
        <x:v>Japan</x:v>
      </x:c>
      <x:c r="D220" t="str">
        <x:v>SM-110TES</x:v>
      </x:c>
      <x:c r="E220" t="str">
        <x:v>Proprietary grade</x:v>
      </x:c>
      <x:c r="F220" t="str">
        <x:v>API 5CT-based / manufacturer specification</x:v>
      </x:c>
      <x:c r="G220" t="str">
        <x:v>Carbon / low alloy</x:v>
      </x:c>
      <x:c r="H220" t="str">
        <x:v>High collapse + sour service (SSC); limits by datasheet</x:v>
      </x:c>
      <x:c r="I220" t="str">
        <x:v>Casing and tubing (verify sizes)</x:v>
      </x:c>
      <x:c r="J220" t="str">
        <x:v>Sour service: manufacturer-defined limits</x:v>
      </x:c>
      <x:c r="K220" t="str">
        <x:v>Corrosion control may be needed</x:v>
      </x:c>
      <x:c r="L220" t="str">
        <x:v>Enhanced</x:v>
      </x:c>
      <x:c r="M220" t="n">
        <x:v>110</x:v>
      </x:c>
      <x:c r="N220" t="str"/>
      <x:c r="O220" t="str"/>
      <x:c r="P220" t="str"/>
      <x:c r="Q220" t="str">
        <x:v>A · standard carbon</x:v>
      </x:c>
      <x:c r="R220"/>
      <x:c r="S220"/>
      <x:c r="T220" t="str">
        <x:v>RFQ required · no public supplier-specific quote</x:v>
      </x:c>
      <x:c r="U220"/>
      <x:c r="V220" t="str">
        <x:v>https://www.tubular.nipponsteel.com/octg-material/application-list/high-collapse-sour-service</x:v>
      </x:c>
      <x:c r="W220" t="str">
        <x:v>Manufacturer-listed</x:v>
      </x:c>
      <x:c r="X220" t="str"/>
      <x:c r="Y220" t="str">
        <x:v>2026-10-10</x:v>
      </x:c>
    </x:row>
    <x:row r="221" ht="22" customHeight="1">
      <x:c r="A221" t="str">
        <x:v>OCTG-0220</x:v>
      </x:c>
      <x:c r="B221" t="str">
        <x:v>Nippon Steel</x:v>
      </x:c>
      <x:c r="C221" t="str">
        <x:v>Japan</x:v>
      </x:c>
      <x:c r="D221" t="str">
        <x:v>SM-110TT</x:v>
      </x:c>
      <x:c r="E221" t="str">
        <x:v>Proprietary grade</x:v>
      </x:c>
      <x:c r="F221" t="str">
        <x:v>API 5CT-based / manufacturer specification</x:v>
      </x:c>
      <x:c r="G221" t="str">
        <x:v>Carbon / low alloy</x:v>
      </x:c>
      <x:c r="H221" t="str">
        <x:v>High collapse / high strength</x:v>
      </x:c>
      <x:c r="I221" t="str">
        <x:v>Casing and tubing (verify sizes)</x:v>
      </x:c>
      <x:c r="J221" t="str">
        <x:v>Not established by grade name</x:v>
      </x:c>
      <x:c r="K221" t="str">
        <x:v>Corrosion control may be needed</x:v>
      </x:c>
      <x:c r="L221" t="str">
        <x:v>Enhanced</x:v>
      </x:c>
      <x:c r="M221" t="n">
        <x:v>110</x:v>
      </x:c>
      <x:c r="N221" t="str"/>
      <x:c r="O221" t="str"/>
      <x:c r="P221" t="str"/>
      <x:c r="Q221" t="str">
        <x:v>A · standard carbon</x:v>
      </x:c>
      <x:c r="R221"/>
      <x:c r="S221"/>
      <x:c r="T221" t="str">
        <x:v>RFQ required · no public supplier-specific quote</x:v>
      </x:c>
      <x:c r="U221"/>
      <x:c r="V221" t="str">
        <x:v>https://www.tubular.nipponsteel.com/octg-material/application-list/high-collapse-high-strength</x:v>
      </x:c>
      <x:c r="W221" t="str">
        <x:v>Manufacturer-listed</x:v>
      </x:c>
      <x:c r="X221" t="str"/>
      <x:c r="Y221" t="str">
        <x:v>2026-10-10</x:v>
      </x:c>
    </x:row>
    <x:row r="222" ht="22" customHeight="1">
      <x:c r="A222" t="str">
        <x:v>OCTG-0221</x:v>
      </x:c>
      <x:c r="B222" t="str">
        <x:v>Nippon Steel</x:v>
      </x:c>
      <x:c r="C222" t="str">
        <x:v>Japan</x:v>
      </x:c>
      <x:c r="D222" t="str">
        <x:v>SM-110TXS</x:v>
      </x:c>
      <x:c r="E222" t="str">
        <x:v>Proprietary grade</x:v>
      </x:c>
      <x:c r="F222" t="str">
        <x:v>API 5CT-based / manufacturer specification</x:v>
      </x:c>
      <x:c r="G222" t="str">
        <x:v>Carbon / low alloy</x:v>
      </x:c>
      <x:c r="H222" t="str">
        <x:v>High collapse + sour service (SSC); limits by datasheet</x:v>
      </x:c>
      <x:c r="I222" t="str">
        <x:v>Casing and tubing (verify sizes)</x:v>
      </x:c>
      <x:c r="J222" t="str">
        <x:v>Sour service: manufacturer-defined limits</x:v>
      </x:c>
      <x:c r="K222" t="str">
        <x:v>Corrosion control may be needed</x:v>
      </x:c>
      <x:c r="L222" t="str">
        <x:v>Enhanced</x:v>
      </x:c>
      <x:c r="M222" t="n">
        <x:v>110</x:v>
      </x:c>
      <x:c r="N222" t="str"/>
      <x:c r="O222" t="str"/>
      <x:c r="P222" t="str"/>
      <x:c r="Q222" t="str">
        <x:v>A · standard carbon</x:v>
      </x:c>
      <x:c r="R222"/>
      <x:c r="S222"/>
      <x:c r="T222" t="str">
        <x:v>RFQ required · no public supplier-specific quote</x:v>
      </x:c>
      <x:c r="U222"/>
      <x:c r="V222" t="str">
        <x:v>https://www.tubular.nipponsteel.com/octg-material/application-list/high-collapse-sour-service</x:v>
      </x:c>
      <x:c r="W222" t="str">
        <x:v>Manufacturer-listed</x:v>
      </x:c>
      <x:c r="X222" t="str"/>
      <x:c r="Y222" t="str">
        <x:v>2026-10-10</x:v>
      </x:c>
    </x:row>
    <x:row r="223" ht="22" customHeight="1">
      <x:c r="A223" t="str">
        <x:v>OCTG-0222</x:v>
      </x:c>
      <x:c r="B223" t="str">
        <x:v>Nippon Steel</x:v>
      </x:c>
      <x:c r="C223" t="str">
        <x:v>Japan</x:v>
      </x:c>
      <x:c r="D223" t="str">
        <x:v>SM-110TXSD</x:v>
      </x:c>
      <x:c r="E223" t="str">
        <x:v>Proprietary grade</x:v>
      </x:c>
      <x:c r="F223" t="str">
        <x:v>API 5CT-based / manufacturer specification</x:v>
      </x:c>
      <x:c r="G223" t="str">
        <x:v>Carbon / low alloy</x:v>
      </x:c>
      <x:c r="H223" t="str">
        <x:v>High collapse + sour service (SSC); limits by datasheet</x:v>
      </x:c>
      <x:c r="I223" t="str">
        <x:v>Casing and tubing (verify sizes)</x:v>
      </x:c>
      <x:c r="J223" t="str">
        <x:v>Sour service: manufacturer-defined limits</x:v>
      </x:c>
      <x:c r="K223" t="str">
        <x:v>Corrosion control may be needed</x:v>
      </x:c>
      <x:c r="L223" t="str">
        <x:v>Enhanced</x:v>
      </x:c>
      <x:c r="M223" t="n">
        <x:v>110</x:v>
      </x:c>
      <x:c r="N223" t="str"/>
      <x:c r="O223" t="str"/>
      <x:c r="P223" t="str"/>
      <x:c r="Q223" t="str">
        <x:v>A · standard carbon</x:v>
      </x:c>
      <x:c r="R223"/>
      <x:c r="S223"/>
      <x:c r="T223" t="str">
        <x:v>RFQ required · no public supplier-specific quote</x:v>
      </x:c>
      <x:c r="U223"/>
      <x:c r="V223" t="str">
        <x:v>https://www.tubular.nipponsteel.com/octg-material/application-list/high-collapse-sour-service</x:v>
      </x:c>
      <x:c r="W223" t="str">
        <x:v>Manufacturer-listed</x:v>
      </x:c>
      <x:c r="X223" t="str"/>
      <x:c r="Y223" t="str">
        <x:v>2026-10-10</x:v>
      </x:c>
    </x:row>
    <x:row r="224" ht="22" customHeight="1">
      <x:c r="A224" t="str">
        <x:v>OCTG-0223</x:v>
      </x:c>
      <x:c r="B224" t="str">
        <x:v>Nippon Steel</x:v>
      </x:c>
      <x:c r="C224" t="str">
        <x:v>Japan</x:v>
      </x:c>
      <x:c r="D224" t="str">
        <x:v>SM-110XS</x:v>
      </x:c>
      <x:c r="E224" t="str">
        <x:v>Proprietary grade</x:v>
      </x:c>
      <x:c r="F224" t="str">
        <x:v>API 5CT-based / manufacturer specification</x:v>
      </x:c>
      <x:c r="G224" t="str">
        <x:v>Carbon / low alloy</x:v>
      </x:c>
      <x:c r="H224" t="str">
        <x:v>Sour service; XS/XSD severe, ES mild/medium severity</x:v>
      </x:c>
      <x:c r="I224" t="str">
        <x:v>Casing and tubing (verify sizes)</x:v>
      </x:c>
      <x:c r="J224" t="str">
        <x:v>Sour service: manufacturer-defined limits</x:v>
      </x:c>
      <x:c r="K224" t="str">
        <x:v>Corrosion control may be needed</x:v>
      </x:c>
      <x:c r="L224" t="str">
        <x:v>API / not stated</x:v>
      </x:c>
      <x:c r="M224" t="n">
        <x:v>110</x:v>
      </x:c>
      <x:c r="N224" t="str"/>
      <x:c r="O224" t="str"/>
      <x:c r="P224" t="str"/>
      <x:c r="Q224" t="str">
        <x:v>A · standard carbon</x:v>
      </x:c>
      <x:c r="R224"/>
      <x:c r="S224"/>
      <x:c r="T224" t="str">
        <x:v>RFQ required · no public supplier-specific quote</x:v>
      </x:c>
      <x:c r="U224"/>
      <x:c r="V224" t="str">
        <x:v>https://www.tubular.nipponsteel.com/octg-material/application-list/sour-service</x:v>
      </x:c>
      <x:c r="W224" t="str">
        <x:v>Manufacturer-listed</x:v>
      </x:c>
      <x:c r="X224" t="str"/>
      <x:c r="Y224" t="str">
        <x:v>2026-10-10</x:v>
      </x:c>
    </x:row>
    <x:row r="225" ht="22" customHeight="1">
      <x:c r="A225" t="str">
        <x:v>OCTG-0224</x:v>
      </x:c>
      <x:c r="B225" t="str">
        <x:v>Nippon Steel</x:v>
      </x:c>
      <x:c r="C225" t="str">
        <x:v>Japan</x:v>
      </x:c>
      <x:c r="D225" t="str">
        <x:v>SM-110XSD</x:v>
      </x:c>
      <x:c r="E225" t="str">
        <x:v>Proprietary grade</x:v>
      </x:c>
      <x:c r="F225" t="str">
        <x:v>API 5CT-based / manufacturer specification</x:v>
      </x:c>
      <x:c r="G225" t="str">
        <x:v>Carbon / low alloy</x:v>
      </x:c>
      <x:c r="H225" t="str">
        <x:v>Sour service; XS/XSD severe, ES mild/medium severity</x:v>
      </x:c>
      <x:c r="I225" t="str">
        <x:v>Casing and tubing (verify sizes)</x:v>
      </x:c>
      <x:c r="J225" t="str">
        <x:v>Sour service: manufacturer-defined limits</x:v>
      </x:c>
      <x:c r="K225" t="str">
        <x:v>Corrosion control may be needed</x:v>
      </x:c>
      <x:c r="L225" t="str">
        <x:v>API / not stated</x:v>
      </x:c>
      <x:c r="M225" t="n">
        <x:v>110</x:v>
      </x:c>
      <x:c r="N225" t="str"/>
      <x:c r="O225" t="str"/>
      <x:c r="P225" t="str"/>
      <x:c r="Q225" t="str">
        <x:v>A · standard carbon</x:v>
      </x:c>
      <x:c r="R225"/>
      <x:c r="S225"/>
      <x:c r="T225" t="str">
        <x:v>RFQ required · no public supplier-specific quote</x:v>
      </x:c>
      <x:c r="U225"/>
      <x:c r="V225" t="str">
        <x:v>https://www.tubular.nipponsteel.com/octg-material/application-list/sour-service</x:v>
      </x:c>
      <x:c r="W225" t="str">
        <x:v>Manufacturer-listed</x:v>
      </x:c>
      <x:c r="X225" t="str"/>
      <x:c r="Y225" t="str">
        <x:v>2026-10-10</x:v>
      </x:c>
    </x:row>
    <x:row r="226" ht="22" customHeight="1">
      <x:c r="A226" t="str">
        <x:v>OCTG-0225</x:v>
      </x:c>
      <x:c r="B226" t="str">
        <x:v>Nippon Steel</x:v>
      </x:c>
      <x:c r="C226" t="str">
        <x:v>Japan</x:v>
      </x:c>
      <x:c r="D226" t="str">
        <x:v>SM-125ES</x:v>
      </x:c>
      <x:c r="E226" t="str">
        <x:v>Proprietary grade</x:v>
      </x:c>
      <x:c r="F226" t="str">
        <x:v>API 5CT-based / manufacturer specification</x:v>
      </x:c>
      <x:c r="G226" t="str">
        <x:v>Carbon / low alloy</x:v>
      </x:c>
      <x:c r="H226" t="str">
        <x:v>Sour service; XS/XSD severe, ES mild/medium severity</x:v>
      </x:c>
      <x:c r="I226" t="str">
        <x:v>Casing and tubing (verify sizes)</x:v>
      </x:c>
      <x:c r="J226" t="str">
        <x:v>Sour service: manufacturer-defined limits</x:v>
      </x:c>
      <x:c r="K226" t="str">
        <x:v>Corrosion control may be needed</x:v>
      </x:c>
      <x:c r="L226" t="str">
        <x:v>API / not stated</x:v>
      </x:c>
      <x:c r="M226" t="n">
        <x:v>125</x:v>
      </x:c>
      <x:c r="N226" t="str"/>
      <x:c r="O226" t="str"/>
      <x:c r="P226" t="str"/>
      <x:c r="Q226" t="str">
        <x:v>A · standard carbon</x:v>
      </x:c>
      <x:c r="R226"/>
      <x:c r="S226"/>
      <x:c r="T226" t="str">
        <x:v>RFQ required · no public supplier-specific quote</x:v>
      </x:c>
      <x:c r="U226"/>
      <x:c r="V226" t="str">
        <x:v>https://www.tubular.nipponsteel.com/octg-material/application-list/sour-service</x:v>
      </x:c>
      <x:c r="W226" t="str">
        <x:v>Manufacturer-listed</x:v>
      </x:c>
      <x:c r="X226" t="str"/>
      <x:c r="Y226" t="str">
        <x:v>2026-10-10</x:v>
      </x:c>
    </x:row>
    <x:row r="227" ht="22" customHeight="1">
      <x:c r="A227" t="str">
        <x:v>OCTG-0226</x:v>
      </x:c>
      <x:c r="B227" t="str">
        <x:v>Nippon Steel</x:v>
      </x:c>
      <x:c r="C227" t="str">
        <x:v>Japan</x:v>
      </x:c>
      <x:c r="D227" t="str">
        <x:v>SM-125S</x:v>
      </x:c>
      <x:c r="E227" t="str">
        <x:v>Proprietary grade</x:v>
      </x:c>
      <x:c r="F227" t="str">
        <x:v>API 5CT-based / manufacturer specification</x:v>
      </x:c>
      <x:c r="G227" t="str">
        <x:v>Carbon / low alloy</x:v>
      </x:c>
      <x:c r="H227" t="str">
        <x:v>Sour service; XS/XSD severe, ES mild/medium severity</x:v>
      </x:c>
      <x:c r="I227" t="str">
        <x:v>Casing and tubing (verify sizes)</x:v>
      </x:c>
      <x:c r="J227" t="str">
        <x:v>Sour service: manufacturer-defined limits</x:v>
      </x:c>
      <x:c r="K227" t="str">
        <x:v>Corrosion control may be needed</x:v>
      </x:c>
      <x:c r="L227" t="str">
        <x:v>API / not stated</x:v>
      </x:c>
      <x:c r="M227" t="n">
        <x:v>125</x:v>
      </x:c>
      <x:c r="N227" t="str"/>
      <x:c r="O227" t="str"/>
      <x:c r="P227" t="str"/>
      <x:c r="Q227" t="str">
        <x:v>A · standard carbon</x:v>
      </x:c>
      <x:c r="R227"/>
      <x:c r="S227"/>
      <x:c r="T227" t="str">
        <x:v>RFQ required · no public supplier-specific quote</x:v>
      </x:c>
      <x:c r="U227"/>
      <x:c r="V227" t="str">
        <x:v>https://www.tubular.nipponsteel.com/octg-material/application-list/sour-service</x:v>
      </x:c>
      <x:c r="W227" t="str">
        <x:v>Manufacturer-listed</x:v>
      </x:c>
      <x:c r="X227" t="str"/>
      <x:c r="Y227" t="str">
        <x:v>2026-10-10</x:v>
      </x:c>
    </x:row>
    <x:row r="228" ht="22" customHeight="1">
      <x:c r="A228" t="str">
        <x:v>OCTG-0227</x:v>
      </x:c>
      <x:c r="B228" t="str">
        <x:v>Nippon Steel</x:v>
      </x:c>
      <x:c r="C228" t="str">
        <x:v>Japan</x:v>
      </x:c>
      <x:c r="D228" t="str">
        <x:v>SM-125TES</x:v>
      </x:c>
      <x:c r="E228" t="str">
        <x:v>Proprietary grade</x:v>
      </x:c>
      <x:c r="F228" t="str">
        <x:v>API 5CT-based / manufacturer specification</x:v>
      </x:c>
      <x:c r="G228" t="str">
        <x:v>Carbon / low alloy</x:v>
      </x:c>
      <x:c r="H228" t="str">
        <x:v>High collapse + sour service (SSC); limits by datasheet</x:v>
      </x:c>
      <x:c r="I228" t="str">
        <x:v>Casing and tubing (verify sizes)</x:v>
      </x:c>
      <x:c r="J228" t="str">
        <x:v>Sour service: manufacturer-defined limits</x:v>
      </x:c>
      <x:c r="K228" t="str">
        <x:v>Corrosion control may be needed</x:v>
      </x:c>
      <x:c r="L228" t="str">
        <x:v>Enhanced</x:v>
      </x:c>
      <x:c r="M228" t="n">
        <x:v>125</x:v>
      </x:c>
      <x:c r="N228" t="str"/>
      <x:c r="O228" t="str"/>
      <x:c r="P228" t="str"/>
      <x:c r="Q228" t="str">
        <x:v>A · standard carbon</x:v>
      </x:c>
      <x:c r="R228"/>
      <x:c r="S228"/>
      <x:c r="T228" t="str">
        <x:v>RFQ required · no public supplier-specific quote</x:v>
      </x:c>
      <x:c r="U228"/>
      <x:c r="V228" t="str">
        <x:v>https://www.tubular.nipponsteel.com/octg-material/application-list/high-collapse-sour-service</x:v>
      </x:c>
      <x:c r="W228" t="str">
        <x:v>Manufacturer-listed</x:v>
      </x:c>
      <x:c r="X228" t="str"/>
      <x:c r="Y228" t="str">
        <x:v>2026-10-10</x:v>
      </x:c>
    </x:row>
    <x:row r="229" ht="22" customHeight="1">
      <x:c r="A229" t="str">
        <x:v>OCTG-0228</x:v>
      </x:c>
      <x:c r="B229" t="str">
        <x:v>Nippon Steel</x:v>
      </x:c>
      <x:c r="C229" t="str">
        <x:v>Japan</x:v>
      </x:c>
      <x:c r="D229" t="str">
        <x:v>SM-125TT</x:v>
      </x:c>
      <x:c r="E229" t="str">
        <x:v>Proprietary grade</x:v>
      </x:c>
      <x:c r="F229" t="str">
        <x:v>API 5CT-based / manufacturer specification</x:v>
      </x:c>
      <x:c r="G229" t="str">
        <x:v>Carbon / low alloy</x:v>
      </x:c>
      <x:c r="H229" t="str">
        <x:v>High collapse / high strength</x:v>
      </x:c>
      <x:c r="I229" t="str">
        <x:v>Casing and tubing (verify sizes)</x:v>
      </x:c>
      <x:c r="J229" t="str">
        <x:v>Not established by grade name</x:v>
      </x:c>
      <x:c r="K229" t="str">
        <x:v>Corrosion control may be needed</x:v>
      </x:c>
      <x:c r="L229" t="str">
        <x:v>Enhanced</x:v>
      </x:c>
      <x:c r="M229" t="n">
        <x:v>125</x:v>
      </x:c>
      <x:c r="N229" t="str"/>
      <x:c r="O229" t="str"/>
      <x:c r="P229" t="str"/>
      <x:c r="Q229" t="str">
        <x:v>A · standard carbon</x:v>
      </x:c>
      <x:c r="R229"/>
      <x:c r="S229"/>
      <x:c r="T229" t="str">
        <x:v>RFQ required · no public supplier-specific quote</x:v>
      </x:c>
      <x:c r="U229"/>
      <x:c r="V229" t="str">
        <x:v>https://www.tubular.nipponsteel.com/octg-material/application-list/high-collapse-high-strength</x:v>
      </x:c>
      <x:c r="W229" t="str">
        <x:v>Manufacturer-listed</x:v>
      </x:c>
      <x:c r="X229" t="str"/>
      <x:c r="Y229" t="str">
        <x:v>2026-10-10</x:v>
      </x:c>
    </x:row>
    <x:row r="230" ht="22" customHeight="1">
      <x:c r="A230" t="str">
        <x:v>OCTG-0229</x:v>
      </x:c>
      <x:c r="B230" t="str">
        <x:v>Nippon Steel</x:v>
      </x:c>
      <x:c r="C230" t="str">
        <x:v>Japan</x:v>
      </x:c>
      <x:c r="D230" t="str">
        <x:v>SM-130G</x:v>
      </x:c>
      <x:c r="E230" t="str">
        <x:v>Proprietary grade</x:v>
      </x:c>
      <x:c r="F230" t="str">
        <x:v>API 5CT-based / manufacturer specification</x:v>
      </x:c>
      <x:c r="G230" t="str">
        <x:v>Carbon / low alloy</x:v>
      </x:c>
      <x:c r="H230" t="str">
        <x:v>High collapse / high strength</x:v>
      </x:c>
      <x:c r="I230" t="str">
        <x:v>Casing and tubing (verify sizes)</x:v>
      </x:c>
      <x:c r="J230" t="str">
        <x:v>Not established by grade name</x:v>
      </x:c>
      <x:c r="K230" t="str">
        <x:v>Corrosion control may be needed</x:v>
      </x:c>
      <x:c r="L230" t="str">
        <x:v>Enhanced</x:v>
      </x:c>
      <x:c r="M230" t="n">
        <x:v>130</x:v>
      </x:c>
      <x:c r="N230" t="str"/>
      <x:c r="O230" t="str"/>
      <x:c r="P230" t="str"/>
      <x:c r="Q230" t="str">
        <x:v>A · standard carbon</x:v>
      </x:c>
      <x:c r="R230"/>
      <x:c r="S230"/>
      <x:c r="T230" t="str">
        <x:v>RFQ required · no public supplier-specific quote</x:v>
      </x:c>
      <x:c r="U230"/>
      <x:c r="V230" t="str">
        <x:v>https://www.tubular.nipponsteel.com/octg-material/application-list/high-collapse-high-strength</x:v>
      </x:c>
      <x:c r="W230" t="str">
        <x:v>Manufacturer-listed</x:v>
      </x:c>
      <x:c r="X230" t="str"/>
      <x:c r="Y230" t="str">
        <x:v>2026-10-10</x:v>
      </x:c>
    </x:row>
    <x:row r="231" ht="22" customHeight="1">
      <x:c r="A231" t="str">
        <x:v>OCTG-0230</x:v>
      </x:c>
      <x:c r="B231" t="str">
        <x:v>Nippon Steel</x:v>
      </x:c>
      <x:c r="C231" t="str">
        <x:v>Japan</x:v>
      </x:c>
      <x:c r="D231" t="str">
        <x:v>SM-140MS</x:v>
      </x:c>
      <x:c r="E231" t="str">
        <x:v>Proprietary grade</x:v>
      </x:c>
      <x:c r="F231" t="str">
        <x:v>API 5CT-based / manufacturer specification</x:v>
      </x:c>
      <x:c r="G231" t="str">
        <x:v>Carbon / low alloy</x:v>
      </x:c>
      <x:c r="H231" t="str">
        <x:v>Sour service; XS/XSD severe, ES mild/medium severity</x:v>
      </x:c>
      <x:c r="I231" t="str">
        <x:v>Casing and tubing (verify sizes)</x:v>
      </x:c>
      <x:c r="J231" t="str">
        <x:v>Sour service: manufacturer-defined limits</x:v>
      </x:c>
      <x:c r="K231" t="str">
        <x:v>Corrosion control may be needed</x:v>
      </x:c>
      <x:c r="L231" t="str">
        <x:v>API / not stated</x:v>
      </x:c>
      <x:c r="M231" t="n">
        <x:v>140</x:v>
      </x:c>
      <x:c r="N231" t="str"/>
      <x:c r="O231" t="str"/>
      <x:c r="P231" t="str"/>
      <x:c r="Q231" t="str">
        <x:v>A · standard carbon</x:v>
      </x:c>
      <x:c r="R231"/>
      <x:c r="S231"/>
      <x:c r="T231" t="str">
        <x:v>RFQ required · no public supplier-specific quote</x:v>
      </x:c>
      <x:c r="U231"/>
      <x:c r="V231" t="str">
        <x:v>https://www.tubular.nipponsteel.com/octg-material/application-list/sour-service</x:v>
      </x:c>
      <x:c r="W231" t="str">
        <x:v>Manufacturer-listed</x:v>
      </x:c>
      <x:c r="X231" t="str"/>
      <x:c r="Y231" t="str">
        <x:v>2026-10-10</x:v>
      </x:c>
    </x:row>
    <x:row r="232" ht="22" customHeight="1">
      <x:c r="A232" t="str">
        <x:v>OCTG-0231</x:v>
      </x:c>
      <x:c r="B232" t="str">
        <x:v>Nippon Steel</x:v>
      </x:c>
      <x:c r="C232" t="str">
        <x:v>Japan</x:v>
      </x:c>
      <x:c r="D232" t="str">
        <x:v>SM-80T</x:v>
      </x:c>
      <x:c r="E232" t="str">
        <x:v>Proprietary grade</x:v>
      </x:c>
      <x:c r="F232" t="str">
        <x:v>API 5CT-based / manufacturer specification</x:v>
      </x:c>
      <x:c r="G232" t="str">
        <x:v>Carbon / low alloy</x:v>
      </x:c>
      <x:c r="H232" t="str">
        <x:v>High collapse / high strength</x:v>
      </x:c>
      <x:c r="I232" t="str">
        <x:v>Casing and tubing (verify sizes)</x:v>
      </x:c>
      <x:c r="J232" t="str">
        <x:v>Not established by grade name</x:v>
      </x:c>
      <x:c r="K232" t="str">
        <x:v>Corrosion control may be needed</x:v>
      </x:c>
      <x:c r="L232" t="str">
        <x:v>Enhanced</x:v>
      </x:c>
      <x:c r="M232" t="n">
        <x:v>80</x:v>
      </x:c>
      <x:c r="N232" t="str"/>
      <x:c r="O232" t="str"/>
      <x:c r="P232" t="str"/>
      <x:c r="Q232" t="str">
        <x:v>A · standard carbon</x:v>
      </x:c>
      <x:c r="R232"/>
      <x:c r="S232"/>
      <x:c r="T232" t="str">
        <x:v>RFQ required · no public supplier-specific quote</x:v>
      </x:c>
      <x:c r="U232"/>
      <x:c r="V232" t="str">
        <x:v>https://www.tubular.nipponsteel.com/octg-material/application-list/high-collapse-high-strength</x:v>
      </x:c>
      <x:c r="W232" t="str">
        <x:v>Manufacturer-listed</x:v>
      </x:c>
      <x:c r="X232" t="str"/>
      <x:c r="Y232" t="str">
        <x:v>2026-10-10</x:v>
      </x:c>
    </x:row>
    <x:row r="233" ht="22" customHeight="1">
      <x:c r="A233" t="str">
        <x:v>OCTG-0232</x:v>
      </x:c>
      <x:c r="B233" t="str">
        <x:v>Nippon Steel</x:v>
      </x:c>
      <x:c r="C233" t="str">
        <x:v>Japan</x:v>
      </x:c>
      <x:c r="D233" t="str">
        <x:v>SM-80TXS</x:v>
      </x:c>
      <x:c r="E233" t="str">
        <x:v>Proprietary grade</x:v>
      </x:c>
      <x:c r="F233" t="str">
        <x:v>API 5CT-based / manufacturer specification</x:v>
      </x:c>
      <x:c r="G233" t="str">
        <x:v>Carbon / low alloy</x:v>
      </x:c>
      <x:c r="H233" t="str">
        <x:v>High collapse + sour service (SSC); limits by datasheet</x:v>
      </x:c>
      <x:c r="I233" t="str">
        <x:v>Casing and tubing (verify sizes)</x:v>
      </x:c>
      <x:c r="J233" t="str">
        <x:v>Sour service: manufacturer-defined limits</x:v>
      </x:c>
      <x:c r="K233" t="str">
        <x:v>Corrosion control may be needed</x:v>
      </x:c>
      <x:c r="L233" t="str">
        <x:v>Enhanced</x:v>
      </x:c>
      <x:c r="M233" t="n">
        <x:v>80</x:v>
      </x:c>
      <x:c r="N233" t="str"/>
      <x:c r="O233" t="str"/>
      <x:c r="P233" t="str"/>
      <x:c r="Q233" t="str">
        <x:v>A · standard carbon</x:v>
      </x:c>
      <x:c r="R233"/>
      <x:c r="S233"/>
      <x:c r="T233" t="str">
        <x:v>RFQ required · no public supplier-specific quote</x:v>
      </x:c>
      <x:c r="U233"/>
      <x:c r="V233" t="str">
        <x:v>https://www.tubular.nipponsteel.com/octg-material/application-list/high-collapse-sour-service</x:v>
      </x:c>
      <x:c r="W233" t="str">
        <x:v>Manufacturer-listed</x:v>
      </x:c>
      <x:c r="X233" t="str"/>
      <x:c r="Y233" t="str">
        <x:v>2026-10-10</x:v>
      </x:c>
    </x:row>
    <x:row r="234" ht="22" customHeight="1">
      <x:c r="A234" t="str">
        <x:v>OCTG-0233</x:v>
      </x:c>
      <x:c r="B234" t="str">
        <x:v>Nippon Steel</x:v>
      </x:c>
      <x:c r="C234" t="str">
        <x:v>Japan</x:v>
      </x:c>
      <x:c r="D234" t="str">
        <x:v>SM-80TXSD</x:v>
      </x:c>
      <x:c r="E234" t="str">
        <x:v>Proprietary grade</x:v>
      </x:c>
      <x:c r="F234" t="str">
        <x:v>API 5CT-based / manufacturer specification</x:v>
      </x:c>
      <x:c r="G234" t="str">
        <x:v>Carbon / low alloy</x:v>
      </x:c>
      <x:c r="H234" t="str">
        <x:v>High collapse + sour service (SSC); limits by datasheet</x:v>
      </x:c>
      <x:c r="I234" t="str">
        <x:v>Casing and tubing (verify sizes)</x:v>
      </x:c>
      <x:c r="J234" t="str">
        <x:v>Sour service: manufacturer-defined limits</x:v>
      </x:c>
      <x:c r="K234" t="str">
        <x:v>Corrosion control may be needed</x:v>
      </x:c>
      <x:c r="L234" t="str">
        <x:v>Enhanced</x:v>
      </x:c>
      <x:c r="M234" t="n">
        <x:v>80</x:v>
      </x:c>
      <x:c r="N234" t="str"/>
      <x:c r="O234" t="str"/>
      <x:c r="P234" t="str"/>
      <x:c r="Q234" t="str">
        <x:v>A · standard carbon</x:v>
      </x:c>
      <x:c r="R234"/>
      <x:c r="S234"/>
      <x:c r="T234" t="str">
        <x:v>RFQ required · no public supplier-specific quote</x:v>
      </x:c>
      <x:c r="U234"/>
      <x:c r="V234" t="str">
        <x:v>https://www.tubular.nipponsteel.com/octg-material/application-list/high-collapse-sour-service</x:v>
      </x:c>
      <x:c r="W234" t="str">
        <x:v>Manufacturer-listed</x:v>
      </x:c>
      <x:c r="X234" t="str"/>
      <x:c r="Y234" t="str">
        <x:v>2026-10-10</x:v>
      </x:c>
    </x:row>
    <x:row r="235" ht="22" customHeight="1">
      <x:c r="A235" t="str">
        <x:v>OCTG-0234</x:v>
      </x:c>
      <x:c r="B235" t="str">
        <x:v>Nippon Steel</x:v>
      </x:c>
      <x:c r="C235" t="str">
        <x:v>Japan</x:v>
      </x:c>
      <x:c r="D235" t="str">
        <x:v>SM-80XS</x:v>
      </x:c>
      <x:c r="E235" t="str">
        <x:v>Proprietary grade</x:v>
      </x:c>
      <x:c r="F235" t="str">
        <x:v>API 5CT-based / manufacturer specification</x:v>
      </x:c>
      <x:c r="G235" t="str">
        <x:v>Carbon / low alloy</x:v>
      </x:c>
      <x:c r="H235" t="str">
        <x:v>Sour service; XS/XSD severe, ES mild/medium severity</x:v>
      </x:c>
      <x:c r="I235" t="str">
        <x:v>Casing and tubing (verify sizes)</x:v>
      </x:c>
      <x:c r="J235" t="str">
        <x:v>Sour service: manufacturer-defined limits</x:v>
      </x:c>
      <x:c r="K235" t="str">
        <x:v>Corrosion control may be needed</x:v>
      </x:c>
      <x:c r="L235" t="str">
        <x:v>API / not stated</x:v>
      </x:c>
      <x:c r="M235" t="n">
        <x:v>80</x:v>
      </x:c>
      <x:c r="N235" t="str"/>
      <x:c r="O235" t="str"/>
      <x:c r="P235" t="str"/>
      <x:c r="Q235" t="str">
        <x:v>A · standard carbon</x:v>
      </x:c>
      <x:c r="R235"/>
      <x:c r="S235"/>
      <x:c r="T235" t="str">
        <x:v>RFQ required · no public supplier-specific quote</x:v>
      </x:c>
      <x:c r="U235"/>
      <x:c r="V235" t="str">
        <x:v>https://www.tubular.nipponsteel.com/octg-material/application-list/sour-service</x:v>
      </x:c>
      <x:c r="W235" t="str">
        <x:v>Manufacturer-listed</x:v>
      </x:c>
      <x:c r="X235" t="str"/>
      <x:c r="Y235" t="str">
        <x:v>2026-10-10</x:v>
      </x:c>
    </x:row>
    <x:row r="236" ht="22" customHeight="1">
      <x:c r="A236" t="str">
        <x:v>OCTG-0235</x:v>
      </x:c>
      <x:c r="B236" t="str">
        <x:v>Nippon Steel</x:v>
      </x:c>
      <x:c r="C236" t="str">
        <x:v>Japan</x:v>
      </x:c>
      <x:c r="D236" t="str">
        <x:v>SM-80XSD</x:v>
      </x:c>
      <x:c r="E236" t="str">
        <x:v>Proprietary grade</x:v>
      </x:c>
      <x:c r="F236" t="str">
        <x:v>API 5CT-based / manufacturer specification</x:v>
      </x:c>
      <x:c r="G236" t="str">
        <x:v>Carbon / low alloy</x:v>
      </x:c>
      <x:c r="H236" t="str">
        <x:v>Sour service; XS/XSD severe, ES mild/medium severity</x:v>
      </x:c>
      <x:c r="I236" t="str">
        <x:v>Casing and tubing (verify sizes)</x:v>
      </x:c>
      <x:c r="J236" t="str">
        <x:v>Sour service: manufacturer-defined limits</x:v>
      </x:c>
      <x:c r="K236" t="str">
        <x:v>Corrosion control may be needed</x:v>
      </x:c>
      <x:c r="L236" t="str">
        <x:v>API / not stated</x:v>
      </x:c>
      <x:c r="M236" t="n">
        <x:v>80</x:v>
      </x:c>
      <x:c r="N236" t="str"/>
      <x:c r="O236" t="str"/>
      <x:c r="P236" t="str"/>
      <x:c r="Q236" t="str">
        <x:v>A · standard carbon</x:v>
      </x:c>
      <x:c r="R236"/>
      <x:c r="S236"/>
      <x:c r="T236" t="str">
        <x:v>RFQ required · no public supplier-specific quote</x:v>
      </x:c>
      <x:c r="U236"/>
      <x:c r="V236" t="str">
        <x:v>https://www.tubular.nipponsteel.com/octg-material/application-list/sour-service</x:v>
      </x:c>
      <x:c r="W236" t="str">
        <x:v>Manufacturer-listed</x:v>
      </x:c>
      <x:c r="X236" t="str"/>
      <x:c r="Y236" t="str">
        <x:v>2026-10-10</x:v>
      </x:c>
    </x:row>
    <x:row r="237" ht="22" customHeight="1">
      <x:c r="A237" t="str">
        <x:v>OCTG-0236</x:v>
      </x:c>
      <x:c r="B237" t="str">
        <x:v>Nippon Steel</x:v>
      </x:c>
      <x:c r="C237" t="str">
        <x:v>Japan</x:v>
      </x:c>
      <x:c r="D237" t="str">
        <x:v>SM-90TXS</x:v>
      </x:c>
      <x:c r="E237" t="str">
        <x:v>Proprietary grade</x:v>
      </x:c>
      <x:c r="F237" t="str">
        <x:v>API 5CT-based / manufacturer specification</x:v>
      </x:c>
      <x:c r="G237" t="str">
        <x:v>Carbon / low alloy</x:v>
      </x:c>
      <x:c r="H237" t="str">
        <x:v>High collapse + sour service (SSC); limits by datasheet</x:v>
      </x:c>
      <x:c r="I237" t="str">
        <x:v>Casing and tubing (verify sizes)</x:v>
      </x:c>
      <x:c r="J237" t="str">
        <x:v>Sour service: manufacturer-defined limits</x:v>
      </x:c>
      <x:c r="K237" t="str">
        <x:v>Corrosion control may be needed</x:v>
      </x:c>
      <x:c r="L237" t="str">
        <x:v>Enhanced</x:v>
      </x:c>
      <x:c r="M237" t="n">
        <x:v>90</x:v>
      </x:c>
      <x:c r="N237" t="str"/>
      <x:c r="O237" t="str"/>
      <x:c r="P237" t="str"/>
      <x:c r="Q237" t="str">
        <x:v>A · standard carbon</x:v>
      </x:c>
      <x:c r="R237"/>
      <x:c r="S237"/>
      <x:c r="T237" t="str">
        <x:v>RFQ required · no public supplier-specific quote</x:v>
      </x:c>
      <x:c r="U237"/>
      <x:c r="V237" t="str">
        <x:v>https://www.tubular.nipponsteel.com/octg-material/application-list/high-collapse-sour-service</x:v>
      </x:c>
      <x:c r="W237" t="str">
        <x:v>Manufacturer-listed</x:v>
      </x:c>
      <x:c r="X237" t="str"/>
      <x:c r="Y237" t="str">
        <x:v>2026-10-10</x:v>
      </x:c>
    </x:row>
    <x:row r="238" ht="22" customHeight="1">
      <x:c r="A238" t="str">
        <x:v>OCTG-0237</x:v>
      </x:c>
      <x:c r="B238" t="str">
        <x:v>Nippon Steel</x:v>
      </x:c>
      <x:c r="C238" t="str">
        <x:v>Japan</x:v>
      </x:c>
      <x:c r="D238" t="str">
        <x:v>SM-90TXSD</x:v>
      </x:c>
      <x:c r="E238" t="str">
        <x:v>Proprietary grade</x:v>
      </x:c>
      <x:c r="F238" t="str">
        <x:v>API 5CT-based / manufacturer specification</x:v>
      </x:c>
      <x:c r="G238" t="str">
        <x:v>Carbon / low alloy</x:v>
      </x:c>
      <x:c r="H238" t="str">
        <x:v>High collapse + sour service (SSC); limits by datasheet</x:v>
      </x:c>
      <x:c r="I238" t="str">
        <x:v>Casing and tubing (verify sizes)</x:v>
      </x:c>
      <x:c r="J238" t="str">
        <x:v>Sour service: manufacturer-defined limits</x:v>
      </x:c>
      <x:c r="K238" t="str">
        <x:v>Corrosion control may be needed</x:v>
      </x:c>
      <x:c r="L238" t="str">
        <x:v>Enhanced</x:v>
      </x:c>
      <x:c r="M238" t="n">
        <x:v>90</x:v>
      </x:c>
      <x:c r="N238" t="str"/>
      <x:c r="O238" t="str"/>
      <x:c r="P238" t="str"/>
      <x:c r="Q238" t="str">
        <x:v>A · standard carbon</x:v>
      </x:c>
      <x:c r="R238"/>
      <x:c r="S238"/>
      <x:c r="T238" t="str">
        <x:v>RFQ required · no public supplier-specific quote</x:v>
      </x:c>
      <x:c r="U238"/>
      <x:c r="V238" t="str">
        <x:v>https://www.tubular.nipponsteel.com/octg-material/application-list/high-collapse-sour-service</x:v>
      </x:c>
      <x:c r="W238" t="str">
        <x:v>Manufacturer-listed</x:v>
      </x:c>
      <x:c r="X238" t="str"/>
      <x:c r="Y238" t="str">
        <x:v>2026-10-10</x:v>
      </x:c>
    </x:row>
    <x:row r="239" ht="22" customHeight="1">
      <x:c r="A239" t="str">
        <x:v>OCTG-0238</x:v>
      </x:c>
      <x:c r="B239" t="str">
        <x:v>Nippon Steel</x:v>
      </x:c>
      <x:c r="C239" t="str">
        <x:v>Japan</x:v>
      </x:c>
      <x:c r="D239" t="str">
        <x:v>SM-90XS</x:v>
      </x:c>
      <x:c r="E239" t="str">
        <x:v>Proprietary grade</x:v>
      </x:c>
      <x:c r="F239" t="str">
        <x:v>API 5CT-based / manufacturer specification</x:v>
      </x:c>
      <x:c r="G239" t="str">
        <x:v>Carbon / low alloy</x:v>
      </x:c>
      <x:c r="H239" t="str">
        <x:v>Sour service; XS/XSD severe, ES mild/medium severity</x:v>
      </x:c>
      <x:c r="I239" t="str">
        <x:v>Casing and tubing (verify sizes)</x:v>
      </x:c>
      <x:c r="J239" t="str">
        <x:v>Sour service: manufacturer-defined limits</x:v>
      </x:c>
      <x:c r="K239" t="str">
        <x:v>Corrosion control may be needed</x:v>
      </x:c>
      <x:c r="L239" t="str">
        <x:v>API / not stated</x:v>
      </x:c>
      <x:c r="M239" t="n">
        <x:v>90</x:v>
      </x:c>
      <x:c r="N239" t="str"/>
      <x:c r="O239" t="str"/>
      <x:c r="P239" t="str"/>
      <x:c r="Q239" t="str">
        <x:v>A · standard carbon</x:v>
      </x:c>
      <x:c r="R239"/>
      <x:c r="S239"/>
      <x:c r="T239" t="str">
        <x:v>RFQ required · no public supplier-specific quote</x:v>
      </x:c>
      <x:c r="U239"/>
      <x:c r="V239" t="str">
        <x:v>https://www.tubular.nipponsteel.com/octg-material/application-list/sour-service</x:v>
      </x:c>
      <x:c r="W239" t="str">
        <x:v>Manufacturer-listed</x:v>
      </x:c>
      <x:c r="X239" t="str"/>
      <x:c r="Y239" t="str">
        <x:v>2026-10-10</x:v>
      </x:c>
    </x:row>
    <x:row r="240" ht="22" customHeight="1">
      <x:c r="A240" t="str">
        <x:v>OCTG-0239</x:v>
      </x:c>
      <x:c r="B240" t="str">
        <x:v>Nippon Steel</x:v>
      </x:c>
      <x:c r="C240" t="str">
        <x:v>Japan</x:v>
      </x:c>
      <x:c r="D240" t="str">
        <x:v>SM-90XSD</x:v>
      </x:c>
      <x:c r="E240" t="str">
        <x:v>Proprietary grade</x:v>
      </x:c>
      <x:c r="F240" t="str">
        <x:v>API 5CT-based / manufacturer specification</x:v>
      </x:c>
      <x:c r="G240" t="str">
        <x:v>Carbon / low alloy</x:v>
      </x:c>
      <x:c r="H240" t="str">
        <x:v>Sour service; XS/XSD severe, ES mild/medium severity</x:v>
      </x:c>
      <x:c r="I240" t="str">
        <x:v>Casing and tubing (verify sizes)</x:v>
      </x:c>
      <x:c r="J240" t="str">
        <x:v>Sour service: manufacturer-defined limits</x:v>
      </x:c>
      <x:c r="K240" t="str">
        <x:v>Corrosion control may be needed</x:v>
      </x:c>
      <x:c r="L240" t="str">
        <x:v>API / not stated</x:v>
      </x:c>
      <x:c r="M240" t="n">
        <x:v>90</x:v>
      </x:c>
      <x:c r="N240" t="str"/>
      <x:c r="O240" t="str"/>
      <x:c r="P240" t="str"/>
      <x:c r="Q240" t="str">
        <x:v>A · standard carbon</x:v>
      </x:c>
      <x:c r="R240"/>
      <x:c r="S240"/>
      <x:c r="T240" t="str">
        <x:v>RFQ required · no public supplier-specific quote</x:v>
      </x:c>
      <x:c r="U240"/>
      <x:c r="V240" t="str">
        <x:v>https://www.tubular.nipponsteel.com/octg-material/application-list/sour-service</x:v>
      </x:c>
      <x:c r="W240" t="str">
        <x:v>Manufacturer-listed</x:v>
      </x:c>
      <x:c r="X240" t="str"/>
      <x:c r="Y240" t="str">
        <x:v>2026-10-10</x:v>
      </x:c>
    </x:row>
    <x:row r="241" ht="22" customHeight="1">
      <x:c r="A241" t="str">
        <x:v>OCTG-0240</x:v>
      </x:c>
      <x:c r="B241" t="str">
        <x:v>Nippon Steel</x:v>
      </x:c>
      <x:c r="C241" t="str">
        <x:v>Japan</x:v>
      </x:c>
      <x:c r="D241" t="str">
        <x:v>SM-95T</x:v>
      </x:c>
      <x:c r="E241" t="str">
        <x:v>Proprietary grade</x:v>
      </x:c>
      <x:c r="F241" t="str">
        <x:v>API 5CT-based / manufacturer specification</x:v>
      </x:c>
      <x:c r="G241" t="str">
        <x:v>Carbon / low alloy</x:v>
      </x:c>
      <x:c r="H241" t="str">
        <x:v>High collapse / high strength</x:v>
      </x:c>
      <x:c r="I241" t="str">
        <x:v>Casing and tubing (verify sizes)</x:v>
      </x:c>
      <x:c r="J241" t="str">
        <x:v>Not established by grade name</x:v>
      </x:c>
      <x:c r="K241" t="str">
        <x:v>Corrosion control may be needed</x:v>
      </x:c>
      <x:c r="L241" t="str">
        <x:v>Enhanced</x:v>
      </x:c>
      <x:c r="M241" t="n">
        <x:v>95</x:v>
      </x:c>
      <x:c r="N241" t="str"/>
      <x:c r="O241" t="str"/>
      <x:c r="P241" t="str"/>
      <x:c r="Q241" t="str">
        <x:v>A · standard carbon</x:v>
      </x:c>
      <x:c r="R241"/>
      <x:c r="S241"/>
      <x:c r="T241" t="str">
        <x:v>RFQ required · no public supplier-specific quote</x:v>
      </x:c>
      <x:c r="U241"/>
      <x:c r="V241" t="str">
        <x:v>https://www.tubular.nipponsteel.com/octg-material/application-list/high-collapse-high-strength</x:v>
      </x:c>
      <x:c r="W241" t="str">
        <x:v>Manufacturer-listed</x:v>
      </x:c>
      <x:c r="X241" t="str"/>
      <x:c r="Y241" t="str">
        <x:v>2026-10-10</x:v>
      </x:c>
    </x:row>
    <x:row r="242" ht="22" customHeight="1">
      <x:c r="A242" t="str">
        <x:v>OCTG-0241</x:v>
      </x:c>
      <x:c r="B242" t="str">
        <x:v>Nippon Steel</x:v>
      </x:c>
      <x:c r="C242" t="str">
        <x:v>Japan</x:v>
      </x:c>
      <x:c r="D242" t="str">
        <x:v>SM-95TT</x:v>
      </x:c>
      <x:c r="E242" t="str">
        <x:v>Proprietary grade</x:v>
      </x:c>
      <x:c r="F242" t="str">
        <x:v>API 5CT-based / manufacturer specification</x:v>
      </x:c>
      <x:c r="G242" t="str">
        <x:v>Carbon / low alloy</x:v>
      </x:c>
      <x:c r="H242" t="str">
        <x:v>High collapse / high strength</x:v>
      </x:c>
      <x:c r="I242" t="str">
        <x:v>Casing and tubing (verify sizes)</x:v>
      </x:c>
      <x:c r="J242" t="str">
        <x:v>Not established by grade name</x:v>
      </x:c>
      <x:c r="K242" t="str">
        <x:v>Corrosion control may be needed</x:v>
      </x:c>
      <x:c r="L242" t="str">
        <x:v>Enhanced</x:v>
      </x:c>
      <x:c r="M242" t="n">
        <x:v>95</x:v>
      </x:c>
      <x:c r="N242" t="str"/>
      <x:c r="O242" t="str"/>
      <x:c r="P242" t="str"/>
      <x:c r="Q242" t="str">
        <x:v>A · standard carbon</x:v>
      </x:c>
      <x:c r="R242"/>
      <x:c r="S242"/>
      <x:c r="T242" t="str">
        <x:v>RFQ required · no public supplier-specific quote</x:v>
      </x:c>
      <x:c r="U242"/>
      <x:c r="V242" t="str">
        <x:v>https://www.tubular.nipponsteel.com/octg-material/application-list/high-collapse-high-strength</x:v>
      </x:c>
      <x:c r="W242" t="str">
        <x:v>Manufacturer-listed</x:v>
      </x:c>
      <x:c r="X242" t="str"/>
      <x:c r="Y242" t="str">
        <x:v>2026-10-10</x:v>
      </x:c>
    </x:row>
    <x:row r="243" ht="22" customHeight="1">
      <x:c r="A243" t="str">
        <x:v>OCTG-0242</x:v>
      </x:c>
      <x:c r="B243" t="str">
        <x:v>Nippon Steel</x:v>
      </x:c>
      <x:c r="C243" t="str">
        <x:v>Japan</x:v>
      </x:c>
      <x:c r="D243" t="str">
        <x:v>SM-95TXS</x:v>
      </x:c>
      <x:c r="E243" t="str">
        <x:v>Proprietary grade</x:v>
      </x:c>
      <x:c r="F243" t="str">
        <x:v>API 5CT-based / manufacturer specification</x:v>
      </x:c>
      <x:c r="G243" t="str">
        <x:v>Carbon / low alloy</x:v>
      </x:c>
      <x:c r="H243" t="str">
        <x:v>High collapse + sour service (SSC); limits by datasheet</x:v>
      </x:c>
      <x:c r="I243" t="str">
        <x:v>Casing and tubing (verify sizes)</x:v>
      </x:c>
      <x:c r="J243" t="str">
        <x:v>Sour service: manufacturer-defined limits</x:v>
      </x:c>
      <x:c r="K243" t="str">
        <x:v>Corrosion control may be needed</x:v>
      </x:c>
      <x:c r="L243" t="str">
        <x:v>Enhanced</x:v>
      </x:c>
      <x:c r="M243" t="n">
        <x:v>95</x:v>
      </x:c>
      <x:c r="N243" t="str"/>
      <x:c r="O243" t="str"/>
      <x:c r="P243" t="str"/>
      <x:c r="Q243" t="str">
        <x:v>A · standard carbon</x:v>
      </x:c>
      <x:c r="R243"/>
      <x:c r="S243"/>
      <x:c r="T243" t="str">
        <x:v>RFQ required · no public supplier-specific quote</x:v>
      </x:c>
      <x:c r="U243"/>
      <x:c r="V243" t="str">
        <x:v>https://www.tubular.nipponsteel.com/octg-material/application-list/high-collapse-sour-service</x:v>
      </x:c>
      <x:c r="W243" t="str">
        <x:v>Manufacturer-listed</x:v>
      </x:c>
      <x:c r="X243" t="str"/>
      <x:c r="Y243" t="str">
        <x:v>2026-10-10</x:v>
      </x:c>
    </x:row>
    <x:row r="244" ht="22" customHeight="1">
      <x:c r="A244" t="str">
        <x:v>OCTG-0243</x:v>
      </x:c>
      <x:c r="B244" t="str">
        <x:v>Nippon Steel</x:v>
      </x:c>
      <x:c r="C244" t="str">
        <x:v>Japan</x:v>
      </x:c>
      <x:c r="D244" t="str">
        <x:v>SM-95TXSD</x:v>
      </x:c>
      <x:c r="E244" t="str">
        <x:v>Proprietary grade</x:v>
      </x:c>
      <x:c r="F244" t="str">
        <x:v>API 5CT-based / manufacturer specification</x:v>
      </x:c>
      <x:c r="G244" t="str">
        <x:v>Carbon / low alloy</x:v>
      </x:c>
      <x:c r="H244" t="str">
        <x:v>High collapse + sour service (SSC); limits by datasheet</x:v>
      </x:c>
      <x:c r="I244" t="str">
        <x:v>Casing and tubing (verify sizes)</x:v>
      </x:c>
      <x:c r="J244" t="str">
        <x:v>Sour service: manufacturer-defined limits</x:v>
      </x:c>
      <x:c r="K244" t="str">
        <x:v>Corrosion control may be needed</x:v>
      </x:c>
      <x:c r="L244" t="str">
        <x:v>Enhanced</x:v>
      </x:c>
      <x:c r="M244" t="n">
        <x:v>95</x:v>
      </x:c>
      <x:c r="N244" t="str"/>
      <x:c r="O244" t="str"/>
      <x:c r="P244" t="str"/>
      <x:c r="Q244" t="str">
        <x:v>A · standard carbon</x:v>
      </x:c>
      <x:c r="R244"/>
      <x:c r="S244"/>
      <x:c r="T244" t="str">
        <x:v>RFQ required · no public supplier-specific quote</x:v>
      </x:c>
      <x:c r="U244"/>
      <x:c r="V244" t="str">
        <x:v>https://www.tubular.nipponsteel.com/octg-material/application-list/high-collapse-sour-service</x:v>
      </x:c>
      <x:c r="W244" t="str">
        <x:v>Manufacturer-listed</x:v>
      </x:c>
      <x:c r="X244" t="str"/>
      <x:c r="Y244" t="str">
        <x:v>2026-10-10</x:v>
      </x:c>
    </x:row>
    <x:row r="245" ht="22" customHeight="1">
      <x:c r="A245" t="str">
        <x:v>OCTG-0244</x:v>
      </x:c>
      <x:c r="B245" t="str">
        <x:v>Nippon Steel</x:v>
      </x:c>
      <x:c r="C245" t="str">
        <x:v>Japan</x:v>
      </x:c>
      <x:c r="D245" t="str">
        <x:v>SM-95XS</x:v>
      </x:c>
      <x:c r="E245" t="str">
        <x:v>Proprietary grade</x:v>
      </x:c>
      <x:c r="F245" t="str">
        <x:v>API 5CT-based / manufacturer specification</x:v>
      </x:c>
      <x:c r="G245" t="str">
        <x:v>Carbon / low alloy</x:v>
      </x:c>
      <x:c r="H245" t="str">
        <x:v>Sour service; XS/XSD severe, ES mild/medium severity</x:v>
      </x:c>
      <x:c r="I245" t="str">
        <x:v>Casing and tubing (verify sizes)</x:v>
      </x:c>
      <x:c r="J245" t="str">
        <x:v>Sour service: manufacturer-defined limits</x:v>
      </x:c>
      <x:c r="K245" t="str">
        <x:v>Corrosion control may be needed</x:v>
      </x:c>
      <x:c r="L245" t="str">
        <x:v>API / not stated</x:v>
      </x:c>
      <x:c r="M245" t="n">
        <x:v>95</x:v>
      </x:c>
      <x:c r="N245" t="str"/>
      <x:c r="O245" t="str"/>
      <x:c r="P245" t="str"/>
      <x:c r="Q245" t="str">
        <x:v>A · standard carbon</x:v>
      </x:c>
      <x:c r="R245"/>
      <x:c r="S245"/>
      <x:c r="T245" t="str">
        <x:v>RFQ required · no public supplier-specific quote</x:v>
      </x:c>
      <x:c r="U245"/>
      <x:c r="V245" t="str">
        <x:v>https://www.tubular.nipponsteel.com/octg-material/application-list/sour-service</x:v>
      </x:c>
      <x:c r="W245" t="str">
        <x:v>Manufacturer-listed</x:v>
      </x:c>
      <x:c r="X245" t="str"/>
      <x:c r="Y245" t="str">
        <x:v>2026-10-10</x:v>
      </x:c>
    </x:row>
    <x:row r="246" ht="22" customHeight="1">
      <x:c r="A246" t="str">
        <x:v>OCTG-0245</x:v>
      </x:c>
      <x:c r="B246" t="str">
        <x:v>Nippon Steel</x:v>
      </x:c>
      <x:c r="C246" t="str">
        <x:v>Japan</x:v>
      </x:c>
      <x:c r="D246" t="str">
        <x:v>SM-95XSD</x:v>
      </x:c>
      <x:c r="E246" t="str">
        <x:v>Proprietary grade</x:v>
      </x:c>
      <x:c r="F246" t="str">
        <x:v>API 5CT-based / manufacturer specification</x:v>
      </x:c>
      <x:c r="G246" t="str">
        <x:v>Carbon / low alloy</x:v>
      </x:c>
      <x:c r="H246" t="str">
        <x:v>Sour service; XS/XSD severe, ES mild/medium severity</x:v>
      </x:c>
      <x:c r="I246" t="str">
        <x:v>Casing and tubing (verify sizes)</x:v>
      </x:c>
      <x:c r="J246" t="str">
        <x:v>Sour service: manufacturer-defined limits</x:v>
      </x:c>
      <x:c r="K246" t="str">
        <x:v>Corrosion control may be needed</x:v>
      </x:c>
      <x:c r="L246" t="str">
        <x:v>API / not stated</x:v>
      </x:c>
      <x:c r="M246" t="n">
        <x:v>95</x:v>
      </x:c>
      <x:c r="N246" t="str"/>
      <x:c r="O246" t="str"/>
      <x:c r="P246" t="str"/>
      <x:c r="Q246" t="str">
        <x:v>A · standard carbon</x:v>
      </x:c>
      <x:c r="R246"/>
      <x:c r="S246"/>
      <x:c r="T246" t="str">
        <x:v>RFQ required · no public supplier-specific quote</x:v>
      </x:c>
      <x:c r="U246"/>
      <x:c r="V246" t="str">
        <x:v>https://www.tubular.nipponsteel.com/octg-material/application-list/sour-service</x:v>
      </x:c>
      <x:c r="W246" t="str">
        <x:v>Manufacturer-listed</x:v>
      </x:c>
      <x:c r="X246" t="str"/>
      <x:c r="Y246" t="str">
        <x:v>2026-10-10</x:v>
      </x:c>
    </x:row>
    <x:row r="247" ht="22" customHeight="1">
      <x:c r="A247" t="str">
        <x:v>OCTG-0246</x:v>
      </x:c>
      <x:c r="B247" t="str">
        <x:v>Nippon Steel</x:v>
      </x:c>
      <x:c r="C247" t="str">
        <x:v>Japan</x:v>
      </x:c>
      <x:c r="D247" t="str">
        <x:v>SM22CR-110</x:v>
      </x:c>
      <x:c r="E247" t="str">
        <x:v>Proprietary grade</x:v>
      </x:c>
      <x:c r="F247" t="str">
        <x:v>API 5CT-based / manufacturer specification</x:v>
      </x:c>
      <x:c r="G247" t="str">
        <x:v>Duplex 22Cr</x:v>
      </x:c>
      <x:c r="H247" t="str">
        <x:v>Wet CO2, chloride, project-verified H2S</x:v>
      </x:c>
      <x:c r="I247" t="str">
        <x:v>Casing and tubing (verify sizes)</x:v>
      </x:c>
      <x:c r="J247" t="str">
        <x:v>Not established by grade name</x:v>
      </x:c>
      <x:c r="K247" t="str">
        <x:v>Improved (verify temperature / chloride limits)</x:v>
      </x:c>
      <x:c r="L247" t="str">
        <x:v>API / not stated</x:v>
      </x:c>
      <x:c r="M247" t="n">
        <x:v>110</x:v>
      </x:c>
      <x:c r="N247" t="str"/>
      <x:c r="O247" t="str"/>
      <x:c r="P247" t="str"/>
      <x:c r="Q247" t="str">
        <x:v>F · duplex CRA</x:v>
      </x:c>
      <x:c r="R247"/>
      <x:c r="S247"/>
      <x:c r="T247" t="str">
        <x:v>RFQ required · no public supplier-specific quote</x:v>
      </x:c>
      <x:c r="U247"/>
      <x:c r="V247" t="str">
        <x:v>https://www.tubular.nipponsteel.com/octg-material/application-list/duplex-stainless-steel</x:v>
      </x:c>
      <x:c r="W247" t="str">
        <x:v>Manufacturer-listed</x:v>
      </x:c>
      <x:c r="X247" t="str"/>
      <x:c r="Y247" t="str">
        <x:v>2026-10-10</x:v>
      </x:c>
    </x:row>
    <x:row r="248" ht="22" customHeight="1">
      <x:c r="A248" t="str">
        <x:v>OCTG-0247</x:v>
      </x:c>
      <x:c r="B248" t="str">
        <x:v>Nippon Steel</x:v>
      </x:c>
      <x:c r="C248" t="str">
        <x:v>Japan</x:v>
      </x:c>
      <x:c r="D248" t="str">
        <x:v>SM22CR-125</x:v>
      </x:c>
      <x:c r="E248" t="str">
        <x:v>Proprietary grade</x:v>
      </x:c>
      <x:c r="F248" t="str">
        <x:v>API 5CT-based / manufacturer specification</x:v>
      </x:c>
      <x:c r="G248" t="str">
        <x:v>Duplex 22Cr</x:v>
      </x:c>
      <x:c r="H248" t="str">
        <x:v>Wet CO2, chloride, project-verified H2S</x:v>
      </x:c>
      <x:c r="I248" t="str">
        <x:v>Casing and tubing (verify sizes)</x:v>
      </x:c>
      <x:c r="J248" t="str">
        <x:v>Not established by grade name</x:v>
      </x:c>
      <x:c r="K248" t="str">
        <x:v>Improved (verify temperature / chloride limits)</x:v>
      </x:c>
      <x:c r="L248" t="str">
        <x:v>API / not stated</x:v>
      </x:c>
      <x:c r="M248" t="n">
        <x:v>125</x:v>
      </x:c>
      <x:c r="N248" t="str"/>
      <x:c r="O248" t="str"/>
      <x:c r="P248" t="str"/>
      <x:c r="Q248" t="str">
        <x:v>F · duplex CRA</x:v>
      </x:c>
      <x:c r="R248"/>
      <x:c r="S248"/>
      <x:c r="T248" t="str">
        <x:v>RFQ required · no public supplier-specific quote</x:v>
      </x:c>
      <x:c r="U248"/>
      <x:c r="V248" t="str">
        <x:v>https://www.tubular.nipponsteel.com/octg-material/application-list/duplex-stainless-steel</x:v>
      </x:c>
      <x:c r="W248" t="str">
        <x:v>Manufacturer-listed</x:v>
      </x:c>
      <x:c r="X248" t="str"/>
      <x:c r="Y248" t="str">
        <x:v>2026-10-10</x:v>
      </x:c>
    </x:row>
    <x:row r="249" ht="22" customHeight="1">
      <x:c r="A249" t="str">
        <x:v>OCTG-0248</x:v>
      </x:c>
      <x:c r="B249" t="str">
        <x:v>Nippon Steel</x:v>
      </x:c>
      <x:c r="C249" t="str">
        <x:v>Japan</x:v>
      </x:c>
      <x:c r="D249" t="str">
        <x:v>SM2242-110</x:v>
      </x:c>
      <x:c r="E249" t="str">
        <x:v>Proprietary grade</x:v>
      </x:c>
      <x:c r="F249" t="str">
        <x:v>API 5CRA-based CRA proprietary grade</x:v>
      </x:c>
      <x:c r="G249" t="str">
        <x:v>Ni-base CRA</x:v>
      </x:c>
      <x:c r="H249" t="str">
        <x:v>Severe H2S + CO2 + chlorides / high-temperature (confirm material selection envelope)</x:v>
      </x:c>
      <x:c r="I249" t="str">
        <x:v>Production tubing and liners</x:v>
      </x:c>
      <x:c r="J249" t="str">
        <x:v>Not established by grade name</x:v>
      </x:c>
      <x:c r="K249" t="str">
        <x:v>Improved (verify temperature / chloride limits)</x:v>
      </x:c>
      <x:c r="L249" t="str">
        <x:v>API / not stated</x:v>
      </x:c>
      <x:c r="M249" t="n">
        <x:v>110</x:v>
      </x:c>
      <x:c r="N249" t="str"/>
      <x:c r="O249" t="str"/>
      <x:c r="P249" t="str"/>
      <x:c r="Q249" t="str">
        <x:v>I · nickel-base CRA</x:v>
      </x:c>
      <x:c r="R249"/>
      <x:c r="S249"/>
      <x:c r="T249" t="str">
        <x:v>RFQ required · no public supplier-specific quote</x:v>
      </x:c>
      <x:c r="U249"/>
      <x:c r="V249" t="str">
        <x:v>https://www.tubular.nipponsteel.com/octg-material/application-list/nickel-alloy</x:v>
      </x:c>
      <x:c r="W249" t="str">
        <x:v>Manufacturer-listed</x:v>
      </x:c>
      <x:c r="X249" t="str"/>
      <x:c r="Y249" t="str">
        <x:v>2026-10-10</x:v>
      </x:c>
    </x:row>
    <x:row r="250" ht="22" customHeight="1">
      <x:c r="A250" t="str">
        <x:v>OCTG-0249</x:v>
      </x:c>
      <x:c r="B250" t="str">
        <x:v>Nippon Steel</x:v>
      </x:c>
      <x:c r="C250" t="str">
        <x:v>Japan</x:v>
      </x:c>
      <x:c r="D250" t="str">
        <x:v>SM2242-125</x:v>
      </x:c>
      <x:c r="E250" t="str">
        <x:v>Proprietary grade</x:v>
      </x:c>
      <x:c r="F250" t="str">
        <x:v>API 5CRA-based CRA proprietary grade</x:v>
      </x:c>
      <x:c r="G250" t="str">
        <x:v>Ni-base CRA</x:v>
      </x:c>
      <x:c r="H250" t="str">
        <x:v>Severe H2S + CO2 + chlorides / high-temperature (confirm material selection envelope)</x:v>
      </x:c>
      <x:c r="I250" t="str">
        <x:v>Production tubing and liners</x:v>
      </x:c>
      <x:c r="J250" t="str">
        <x:v>Not established by grade name</x:v>
      </x:c>
      <x:c r="K250" t="str">
        <x:v>Improved (verify temperature / chloride limits)</x:v>
      </x:c>
      <x:c r="L250" t="str">
        <x:v>API / not stated</x:v>
      </x:c>
      <x:c r="M250" t="n">
        <x:v>125</x:v>
      </x:c>
      <x:c r="N250" t="str"/>
      <x:c r="O250" t="str"/>
      <x:c r="P250" t="str"/>
      <x:c r="Q250" t="str">
        <x:v>I · nickel-base CRA</x:v>
      </x:c>
      <x:c r="R250"/>
      <x:c r="S250"/>
      <x:c r="T250" t="str">
        <x:v>RFQ required · no public supplier-specific quote</x:v>
      </x:c>
      <x:c r="U250"/>
      <x:c r="V250" t="str">
        <x:v>https://www.tubular.nipponsteel.com/octg-material/application-list/nickel-alloy</x:v>
      </x:c>
      <x:c r="W250" t="str">
        <x:v>Manufacturer-listed</x:v>
      </x:c>
      <x:c r="X250" t="str"/>
      <x:c r="Y250" t="str">
        <x:v>2026-10-10</x:v>
      </x:c>
    </x:row>
    <x:row r="251" ht="22" customHeight="1">
      <x:c r="A251" t="str">
        <x:v>OCTG-0250</x:v>
      </x:c>
      <x:c r="B251" t="str">
        <x:v>Nippon Steel</x:v>
      </x:c>
      <x:c r="C251" t="str">
        <x:v>Japan</x:v>
      </x:c>
      <x:c r="D251" t="str">
        <x:v>SM13CR-80</x:v>
      </x:c>
      <x:c r="E251" t="str">
        <x:v>Proprietary grade</x:v>
      </x:c>
      <x:c r="F251" t="str">
        <x:v>API 5CT-based / manufacturer specification</x:v>
      </x:c>
      <x:c r="G251" t="str">
        <x:v>Martensitic 13Cr</x:v>
      </x:c>
      <x:c r="H251" t="str">
        <x:v>Sweet CO2</x:v>
      </x:c>
      <x:c r="I251" t="str">
        <x:v>Casing and tubing (verify sizes)</x:v>
      </x:c>
      <x:c r="J251" t="str">
        <x:v>Not established by grade name</x:v>
      </x:c>
      <x:c r="K251" t="str">
        <x:v>Improved (verify temperature / chloride limits)</x:v>
      </x:c>
      <x:c r="L251" t="str">
        <x:v>API / not stated</x:v>
      </x:c>
      <x:c r="M251" t="n">
        <x:v>80</x:v>
      </x:c>
      <x:c r="N251" t="str"/>
      <x:c r="O251" t="str"/>
      <x:c r="P251" t="str"/>
      <x:c r="Q251" t="str">
        <x:v>D · 13Cr stainless</x:v>
      </x:c>
      <x:c r="R251"/>
      <x:c r="S251"/>
      <x:c r="T251" t="str">
        <x:v>RFQ required · no public supplier-specific quote</x:v>
      </x:c>
      <x:c r="U251"/>
      <x:c r="V251" t="str">
        <x:v>https://www.tubular.nipponsteel.com/octg-material/application-list/martensitic-stainless-steel</x:v>
      </x:c>
      <x:c r="W251" t="str">
        <x:v>Manufacturer-listed</x:v>
      </x:c>
      <x:c r="X251" t="str"/>
      <x:c r="Y251" t="str">
        <x:v>2026-10-10</x:v>
      </x:c>
    </x:row>
    <x:row r="252" ht="22" customHeight="1">
      <x:c r="A252" t="str">
        <x:v>OCTG-0251</x:v>
      </x:c>
      <x:c r="B252" t="str">
        <x:v>Nippon Steel</x:v>
      </x:c>
      <x:c r="C252" t="str">
        <x:v>Japan</x:v>
      </x:c>
      <x:c r="D252" t="str">
        <x:v>SM13CRM-110</x:v>
      </x:c>
      <x:c r="E252" t="str">
        <x:v>Proprietary grade</x:v>
      </x:c>
      <x:c r="F252" t="str">
        <x:v>API 5CT-based / manufacturer specification</x:v>
      </x:c>
      <x:c r="G252" t="str">
        <x:v>Modified / super 13Cr</x:v>
      </x:c>
      <x:c r="H252" t="str">
        <x:v>Sweet CO2 / limited H2S and higher temperatures</x:v>
      </x:c>
      <x:c r="I252" t="str">
        <x:v>Casing and tubing (verify sizes)</x:v>
      </x:c>
      <x:c r="J252" t="str">
        <x:v>Mild/limited sour: verify domain</x:v>
      </x:c>
      <x:c r="K252" t="str">
        <x:v>Improved (verify temperature / chloride limits)</x:v>
      </x:c>
      <x:c r="L252" t="str">
        <x:v>API / not stated</x:v>
      </x:c>
      <x:c r="M252" t="n">
        <x:v>110</x:v>
      </x:c>
      <x:c r="N252" t="str"/>
      <x:c r="O252" t="str"/>
      <x:c r="P252" t="str"/>
      <x:c r="Q252" t="str">
        <x:v>E · modified/S13Cr</x:v>
      </x:c>
      <x:c r="R252"/>
      <x:c r="S252"/>
      <x:c r="T252" t="str">
        <x:v>RFQ required · no public supplier-specific quote</x:v>
      </x:c>
      <x:c r="U252"/>
      <x:c r="V252" t="str">
        <x:v>https://www.tubular.nipponsteel.com/octg-material/application-list/martensitic-stainless-steel</x:v>
      </x:c>
      <x:c r="W252" t="str">
        <x:v>Manufacturer-listed</x:v>
      </x:c>
      <x:c r="X252" t="str"/>
      <x:c r="Y252" t="str">
        <x:v>2026-10-10</x:v>
      </x:c>
    </x:row>
    <x:row r="253" ht="22" customHeight="1">
      <x:c r="A253" t="str">
        <x:v>OCTG-0252</x:v>
      </x:c>
      <x:c r="B253" t="str">
        <x:v>Nippon Steel</x:v>
      </x:c>
      <x:c r="C253" t="str">
        <x:v>Japan</x:v>
      </x:c>
      <x:c r="D253" t="str">
        <x:v>SM13CRM-95</x:v>
      </x:c>
      <x:c r="E253" t="str">
        <x:v>Proprietary grade</x:v>
      </x:c>
      <x:c r="F253" t="str">
        <x:v>API 5CT-based / manufacturer specification</x:v>
      </x:c>
      <x:c r="G253" t="str">
        <x:v>Modified / super 13Cr</x:v>
      </x:c>
      <x:c r="H253" t="str">
        <x:v>Sweet CO2 / limited H2S and higher temperatures</x:v>
      </x:c>
      <x:c r="I253" t="str">
        <x:v>Casing and tubing (verify sizes)</x:v>
      </x:c>
      <x:c r="J253" t="str">
        <x:v>Mild/limited sour: verify domain</x:v>
      </x:c>
      <x:c r="K253" t="str">
        <x:v>Improved (verify temperature / chloride limits)</x:v>
      </x:c>
      <x:c r="L253" t="str">
        <x:v>API / not stated</x:v>
      </x:c>
      <x:c r="M253" t="n">
        <x:v>95</x:v>
      </x:c>
      <x:c r="N253" t="str"/>
      <x:c r="O253" t="str"/>
      <x:c r="P253" t="str"/>
      <x:c r="Q253" t="str">
        <x:v>E · modified/S13Cr</x:v>
      </x:c>
      <x:c r="R253"/>
      <x:c r="S253"/>
      <x:c r="T253" t="str">
        <x:v>RFQ required · no public supplier-specific quote</x:v>
      </x:c>
      <x:c r="U253"/>
      <x:c r="V253" t="str">
        <x:v>https://www.tubular.nipponsteel.com/octg-material/application-list/martensitic-stainless-steel</x:v>
      </x:c>
      <x:c r="W253" t="str">
        <x:v>Manufacturer-listed</x:v>
      </x:c>
      <x:c r="X253" t="str"/>
      <x:c r="Y253" t="str">
        <x:v>2026-10-10</x:v>
      </x:c>
    </x:row>
    <x:row r="254" ht="22" customHeight="1">
      <x:c r="A254" t="str">
        <x:v>OCTG-0253</x:v>
      </x:c>
      <x:c r="B254" t="str">
        <x:v>Nippon Steel</x:v>
      </x:c>
      <x:c r="C254" t="str">
        <x:v>Japan</x:v>
      </x:c>
      <x:c r="D254" t="str">
        <x:v>SM13CRS-110</x:v>
      </x:c>
      <x:c r="E254" t="str">
        <x:v>Proprietary grade</x:v>
      </x:c>
      <x:c r="F254" t="str">
        <x:v>API 5CT-based / manufacturer specification</x:v>
      </x:c>
      <x:c r="G254" t="str">
        <x:v>Modified / super 13Cr</x:v>
      </x:c>
      <x:c r="H254" t="str">
        <x:v>Sweet CO2 / limited H2S and higher temperatures</x:v>
      </x:c>
      <x:c r="I254" t="str">
        <x:v>Casing and tubing (verify sizes)</x:v>
      </x:c>
      <x:c r="J254" t="str">
        <x:v>Mild/limited sour: verify domain</x:v>
      </x:c>
      <x:c r="K254" t="str">
        <x:v>Improved (verify temperature / chloride limits)</x:v>
      </x:c>
      <x:c r="L254" t="str">
        <x:v>API / not stated</x:v>
      </x:c>
      <x:c r="M254" t="n">
        <x:v>110</x:v>
      </x:c>
      <x:c r="N254" t="str"/>
      <x:c r="O254" t="str"/>
      <x:c r="P254" t="str"/>
      <x:c r="Q254" t="str">
        <x:v>E · modified/S13Cr</x:v>
      </x:c>
      <x:c r="R254"/>
      <x:c r="S254"/>
      <x:c r="T254" t="str">
        <x:v>RFQ required · no public supplier-specific quote</x:v>
      </x:c>
      <x:c r="U254"/>
      <x:c r="V254" t="str">
        <x:v>https://www.tubular.nipponsteel.com/octg-material/application-list/martensitic-stainless-steel</x:v>
      </x:c>
      <x:c r="W254" t="str">
        <x:v>Manufacturer-listed</x:v>
      </x:c>
      <x:c r="X254" t="str"/>
      <x:c r="Y254" t="str">
        <x:v>2026-10-10</x:v>
      </x:c>
    </x:row>
    <x:row r="255" ht="22" customHeight="1">
      <x:c r="A255" t="str">
        <x:v>OCTG-0254</x:v>
      </x:c>
      <x:c r="B255" t="str">
        <x:v>Nippon Steel</x:v>
      </x:c>
      <x:c r="C255" t="str">
        <x:v>Japan</x:v>
      </x:c>
      <x:c r="D255" t="str">
        <x:v>SM13CRS-95</x:v>
      </x:c>
      <x:c r="E255" t="str">
        <x:v>Proprietary grade</x:v>
      </x:c>
      <x:c r="F255" t="str">
        <x:v>API 5CT-based / manufacturer specification</x:v>
      </x:c>
      <x:c r="G255" t="str">
        <x:v>Modified / super 13Cr</x:v>
      </x:c>
      <x:c r="H255" t="str">
        <x:v>Sweet CO2 / limited H2S and higher temperatures</x:v>
      </x:c>
      <x:c r="I255" t="str">
        <x:v>Casing and tubing (verify sizes)</x:v>
      </x:c>
      <x:c r="J255" t="str">
        <x:v>Mild/limited sour: verify domain</x:v>
      </x:c>
      <x:c r="K255" t="str">
        <x:v>Improved (verify temperature / chloride limits)</x:v>
      </x:c>
      <x:c r="L255" t="str">
        <x:v>API / not stated</x:v>
      </x:c>
      <x:c r="M255" t="n">
        <x:v>95</x:v>
      </x:c>
      <x:c r="N255" t="str"/>
      <x:c r="O255" t="str"/>
      <x:c r="P255" t="str"/>
      <x:c r="Q255" t="str">
        <x:v>E · modified/S13Cr</x:v>
      </x:c>
      <x:c r="R255"/>
      <x:c r="S255"/>
      <x:c r="T255" t="str">
        <x:v>RFQ required · no public supplier-specific quote</x:v>
      </x:c>
      <x:c r="U255"/>
      <x:c r="V255" t="str">
        <x:v>https://www.tubular.nipponsteel.com/octg-material/application-list/martensitic-stainless-steel</x:v>
      </x:c>
      <x:c r="W255" t="str">
        <x:v>Manufacturer-listed</x:v>
      </x:c>
      <x:c r="X255" t="str"/>
      <x:c r="Y255" t="str">
        <x:v>2026-10-10</x:v>
      </x:c>
    </x:row>
    <x:row r="256" ht="22" customHeight="1">
      <x:c r="A256" t="str">
        <x:v>OCTG-0255</x:v>
      </x:c>
      <x:c r="B256" t="str">
        <x:v>Nippon Steel</x:v>
      </x:c>
      <x:c r="C256" t="str">
        <x:v>Japan</x:v>
      </x:c>
      <x:c r="D256" t="str">
        <x:v>SM2050-110</x:v>
      </x:c>
      <x:c r="E256" t="str">
        <x:v>Proprietary grade</x:v>
      </x:c>
      <x:c r="F256" t="str">
        <x:v>API 5CRA-based CRA proprietary grade</x:v>
      </x:c>
      <x:c r="G256" t="str">
        <x:v>Ni-base CRA</x:v>
      </x:c>
      <x:c r="H256" t="str">
        <x:v>Severe H2S + CO2 + chlorides / high-temperature (confirm material selection envelope)</x:v>
      </x:c>
      <x:c r="I256" t="str">
        <x:v>Production tubing and liners</x:v>
      </x:c>
      <x:c r="J256" t="str">
        <x:v>Not established by grade name</x:v>
      </x:c>
      <x:c r="K256" t="str">
        <x:v>Improved (verify temperature / chloride limits)</x:v>
      </x:c>
      <x:c r="L256" t="str">
        <x:v>API / not stated</x:v>
      </x:c>
      <x:c r="M256" t="n">
        <x:v>110</x:v>
      </x:c>
      <x:c r="N256" t="str"/>
      <x:c r="O256" t="str"/>
      <x:c r="P256" t="str"/>
      <x:c r="Q256" t="str">
        <x:v>I · nickel-base CRA</x:v>
      </x:c>
      <x:c r="R256"/>
      <x:c r="S256"/>
      <x:c r="T256" t="str">
        <x:v>RFQ required · no public supplier-specific quote</x:v>
      </x:c>
      <x:c r="U256"/>
      <x:c r="V256" t="str">
        <x:v>https://www.tubular.nipponsteel.com/octg-material/application-list/nickel-alloy</x:v>
      </x:c>
      <x:c r="W256" t="str">
        <x:v>Manufacturer-listed</x:v>
      </x:c>
      <x:c r="X256" t="str"/>
      <x:c r="Y256" t="str">
        <x:v>2026-10-10</x:v>
      </x:c>
    </x:row>
    <x:row r="257" ht="22" customHeight="1">
      <x:c r="A257" t="str">
        <x:v>OCTG-0256</x:v>
      </x:c>
      <x:c r="B257" t="str">
        <x:v>Nippon Steel</x:v>
      </x:c>
      <x:c r="C257" t="str">
        <x:v>Japan</x:v>
      </x:c>
      <x:c r="D257" t="str">
        <x:v>SM2050-125</x:v>
      </x:c>
      <x:c r="E257" t="str">
        <x:v>Proprietary grade</x:v>
      </x:c>
      <x:c r="F257" t="str">
        <x:v>API 5CRA-based CRA proprietary grade</x:v>
      </x:c>
      <x:c r="G257" t="str">
        <x:v>Ni-base CRA</x:v>
      </x:c>
      <x:c r="H257" t="str">
        <x:v>Severe H2S + CO2 + chlorides / high-temperature (confirm material selection envelope)</x:v>
      </x:c>
      <x:c r="I257" t="str">
        <x:v>Production tubing and liners</x:v>
      </x:c>
      <x:c r="J257" t="str">
        <x:v>Not established by grade name</x:v>
      </x:c>
      <x:c r="K257" t="str">
        <x:v>Improved (verify temperature / chloride limits)</x:v>
      </x:c>
      <x:c r="L257" t="str">
        <x:v>API / not stated</x:v>
      </x:c>
      <x:c r="M257" t="n">
        <x:v>125</x:v>
      </x:c>
      <x:c r="N257" t="str"/>
      <x:c r="O257" t="str"/>
      <x:c r="P257" t="str"/>
      <x:c r="Q257" t="str">
        <x:v>I · nickel-base CRA</x:v>
      </x:c>
      <x:c r="R257"/>
      <x:c r="S257"/>
      <x:c r="T257" t="str">
        <x:v>RFQ required · no public supplier-specific quote</x:v>
      </x:c>
      <x:c r="U257"/>
      <x:c r="V257" t="str">
        <x:v>https://www.tubular.nipponsteel.com/octg-material/application-list/nickel-alloy</x:v>
      </x:c>
      <x:c r="W257" t="str">
        <x:v>Manufacturer-listed</x:v>
      </x:c>
      <x:c r="X257" t="str"/>
      <x:c r="Y257" t="str">
        <x:v>2026-10-10</x:v>
      </x:c>
    </x:row>
    <x:row r="258" ht="22" customHeight="1">
      <x:c r="A258" t="str">
        <x:v>OCTG-0257</x:v>
      </x:c>
      <x:c r="B258" t="str">
        <x:v>Nippon Steel</x:v>
      </x:c>
      <x:c r="C258" t="str">
        <x:v>Japan</x:v>
      </x:c>
      <x:c r="D258" t="str">
        <x:v>SM2535-110</x:v>
      </x:c>
      <x:c r="E258" t="str">
        <x:v>Proprietary grade</x:v>
      </x:c>
      <x:c r="F258" t="str">
        <x:v>API 5CRA-based CRA proprietary grade</x:v>
      </x:c>
      <x:c r="G258" t="str">
        <x:v>Ni-base CRA</x:v>
      </x:c>
      <x:c r="H258" t="str">
        <x:v>Severe H2S + CO2 + chlorides / high-temperature (confirm material selection envelope)</x:v>
      </x:c>
      <x:c r="I258" t="str">
        <x:v>Production tubing and liners</x:v>
      </x:c>
      <x:c r="J258" t="str">
        <x:v>Not established by grade name</x:v>
      </x:c>
      <x:c r="K258" t="str">
        <x:v>Improved (verify temperature / chloride limits)</x:v>
      </x:c>
      <x:c r="L258" t="str">
        <x:v>API / not stated</x:v>
      </x:c>
      <x:c r="M258" t="n">
        <x:v>110</x:v>
      </x:c>
      <x:c r="N258" t="str"/>
      <x:c r="O258" t="str"/>
      <x:c r="P258" t="str"/>
      <x:c r="Q258" t="str">
        <x:v>I · nickel-base CRA</x:v>
      </x:c>
      <x:c r="R258"/>
      <x:c r="S258"/>
      <x:c r="T258" t="str">
        <x:v>RFQ required · no public supplier-specific quote</x:v>
      </x:c>
      <x:c r="U258"/>
      <x:c r="V258" t="str">
        <x:v>https://www.tubular.nipponsteel.com/octg-material/application-list/nickel-alloy</x:v>
      </x:c>
      <x:c r="W258" t="str">
        <x:v>Manufacturer-listed</x:v>
      </x:c>
      <x:c r="X258" t="str"/>
      <x:c r="Y258" t="str">
        <x:v>2026-10-10</x:v>
      </x:c>
    </x:row>
    <x:row r="259" ht="22" customHeight="1">
      <x:c r="A259" t="str">
        <x:v>OCTG-0258</x:v>
      </x:c>
      <x:c r="B259" t="str">
        <x:v>Nippon Steel</x:v>
      </x:c>
      <x:c r="C259" t="str">
        <x:v>Japan</x:v>
      </x:c>
      <x:c r="D259" t="str">
        <x:v>SM2535-125</x:v>
      </x:c>
      <x:c r="E259" t="str">
        <x:v>Proprietary grade</x:v>
      </x:c>
      <x:c r="F259" t="str">
        <x:v>API 5CRA-based CRA proprietary grade</x:v>
      </x:c>
      <x:c r="G259" t="str">
        <x:v>Ni-base CRA</x:v>
      </x:c>
      <x:c r="H259" t="str">
        <x:v>Severe H2S + CO2 + chlorides / high-temperature (confirm material selection envelope)</x:v>
      </x:c>
      <x:c r="I259" t="str">
        <x:v>Production tubing and liners</x:v>
      </x:c>
      <x:c r="J259" t="str">
        <x:v>Not established by grade name</x:v>
      </x:c>
      <x:c r="K259" t="str">
        <x:v>Improved (verify temperature / chloride limits)</x:v>
      </x:c>
      <x:c r="L259" t="str">
        <x:v>API / not stated</x:v>
      </x:c>
      <x:c r="M259" t="n">
        <x:v>125</x:v>
      </x:c>
      <x:c r="N259" t="str"/>
      <x:c r="O259" t="str"/>
      <x:c r="P259" t="str"/>
      <x:c r="Q259" t="str">
        <x:v>I · nickel-base CRA</x:v>
      </x:c>
      <x:c r="R259"/>
      <x:c r="S259"/>
      <x:c r="T259" t="str">
        <x:v>RFQ required · no public supplier-specific quote</x:v>
      </x:c>
      <x:c r="U259"/>
      <x:c r="V259" t="str">
        <x:v>https://www.tubular.nipponsteel.com/octg-material/application-list/nickel-alloy</x:v>
      </x:c>
      <x:c r="W259" t="str">
        <x:v>Manufacturer-listed</x:v>
      </x:c>
      <x:c r="X259" t="str"/>
      <x:c r="Y259" t="str">
        <x:v>2026-10-10</x:v>
      </x:c>
    </x:row>
    <x:row r="260" ht="22" customHeight="1">
      <x:c r="A260" t="str">
        <x:v>OCTG-0259</x:v>
      </x:c>
      <x:c r="B260" t="str">
        <x:v>Nippon Steel</x:v>
      </x:c>
      <x:c r="C260" t="str">
        <x:v>Japan</x:v>
      </x:c>
      <x:c r="D260" t="str">
        <x:v>SM2550-110</x:v>
      </x:c>
      <x:c r="E260" t="str">
        <x:v>Proprietary grade</x:v>
      </x:c>
      <x:c r="F260" t="str">
        <x:v>API 5CRA-based CRA proprietary grade</x:v>
      </x:c>
      <x:c r="G260" t="str">
        <x:v>Ni-base CRA</x:v>
      </x:c>
      <x:c r="H260" t="str">
        <x:v>Severe H2S + CO2 + chlorides / high-temperature (confirm material selection envelope)</x:v>
      </x:c>
      <x:c r="I260" t="str">
        <x:v>Production tubing and liners</x:v>
      </x:c>
      <x:c r="J260" t="str">
        <x:v>Not established by grade name</x:v>
      </x:c>
      <x:c r="K260" t="str">
        <x:v>Improved (verify temperature / chloride limits)</x:v>
      </x:c>
      <x:c r="L260" t="str">
        <x:v>API / not stated</x:v>
      </x:c>
      <x:c r="M260" t="n">
        <x:v>110</x:v>
      </x:c>
      <x:c r="N260" t="str"/>
      <x:c r="O260" t="str"/>
      <x:c r="P260" t="str"/>
      <x:c r="Q260" t="str">
        <x:v>I · nickel-base CRA</x:v>
      </x:c>
      <x:c r="R260"/>
      <x:c r="S260"/>
      <x:c r="T260" t="str">
        <x:v>RFQ required · no public supplier-specific quote</x:v>
      </x:c>
      <x:c r="U260"/>
      <x:c r="V260" t="str">
        <x:v>https://www.tubular.nipponsteel.com/octg-material/application-list/nickel-alloy</x:v>
      </x:c>
      <x:c r="W260" t="str">
        <x:v>Manufacturer-listed</x:v>
      </x:c>
      <x:c r="X260" t="str"/>
      <x:c r="Y260" t="str">
        <x:v>2026-10-10</x:v>
      </x:c>
    </x:row>
    <x:row r="261" ht="22" customHeight="1">
      <x:c r="A261" t="str">
        <x:v>OCTG-0260</x:v>
      </x:c>
      <x:c r="B261" t="str">
        <x:v>Nippon Steel</x:v>
      </x:c>
      <x:c r="C261" t="str">
        <x:v>Japan</x:v>
      </x:c>
      <x:c r="D261" t="str">
        <x:v>SM2550-125</x:v>
      </x:c>
      <x:c r="E261" t="str">
        <x:v>Proprietary grade</x:v>
      </x:c>
      <x:c r="F261" t="str">
        <x:v>API 5CRA-based CRA proprietary grade</x:v>
      </x:c>
      <x:c r="G261" t="str">
        <x:v>Ni-base CRA</x:v>
      </x:c>
      <x:c r="H261" t="str">
        <x:v>Severe H2S + CO2 + chlorides / high-temperature (confirm material selection envelope)</x:v>
      </x:c>
      <x:c r="I261" t="str">
        <x:v>Production tubing and liners</x:v>
      </x:c>
      <x:c r="J261" t="str">
        <x:v>Not established by grade name</x:v>
      </x:c>
      <x:c r="K261" t="str">
        <x:v>Improved (verify temperature / chloride limits)</x:v>
      </x:c>
      <x:c r="L261" t="str">
        <x:v>API / not stated</x:v>
      </x:c>
      <x:c r="M261" t="n">
        <x:v>125</x:v>
      </x:c>
      <x:c r="N261" t="str"/>
      <x:c r="O261" t="str"/>
      <x:c r="P261" t="str"/>
      <x:c r="Q261" t="str">
        <x:v>I · nickel-base CRA</x:v>
      </x:c>
      <x:c r="R261"/>
      <x:c r="S261"/>
      <x:c r="T261" t="str">
        <x:v>RFQ required · no public supplier-specific quote</x:v>
      </x:c>
      <x:c r="U261"/>
      <x:c r="V261" t="str">
        <x:v>https://www.tubular.nipponsteel.com/octg-material/application-list/nickel-alloy</x:v>
      </x:c>
      <x:c r="W261" t="str">
        <x:v>Manufacturer-listed</x:v>
      </x:c>
      <x:c r="X261" t="str"/>
      <x:c r="Y261" t="str">
        <x:v>2026-10-10</x:v>
      </x:c>
    </x:row>
    <x:row r="262" ht="22" customHeight="1">
      <x:c r="A262" t="str">
        <x:v>OCTG-0261</x:v>
      </x:c>
      <x:c r="B262" t="str">
        <x:v>Nippon Steel</x:v>
      </x:c>
      <x:c r="C262" t="str">
        <x:v>Japan</x:v>
      </x:c>
      <x:c r="D262" t="str">
        <x:v>SMC276-110</x:v>
      </x:c>
      <x:c r="E262" t="str">
        <x:v>Proprietary grade</x:v>
      </x:c>
      <x:c r="F262" t="str">
        <x:v>API 5CRA-based CRA proprietary grade</x:v>
      </x:c>
      <x:c r="G262" t="str">
        <x:v>Ni-base CRA</x:v>
      </x:c>
      <x:c r="H262" t="str">
        <x:v>Severe H2S + CO2 + chlorides / high-temperature (confirm material selection envelope)</x:v>
      </x:c>
      <x:c r="I262" t="str">
        <x:v>Production tubing and liners</x:v>
      </x:c>
      <x:c r="J262" t="str">
        <x:v>Not established by grade name</x:v>
      </x:c>
      <x:c r="K262" t="str">
        <x:v>Improved (verify temperature / chloride limits)</x:v>
      </x:c>
      <x:c r="L262" t="str">
        <x:v>API / not stated</x:v>
      </x:c>
      <x:c r="M262" t="n">
        <x:v>110</x:v>
      </x:c>
      <x:c r="N262" t="str"/>
      <x:c r="O262" t="str"/>
      <x:c r="P262" t="str"/>
      <x:c r="Q262" t="str">
        <x:v>I · nickel-base CRA</x:v>
      </x:c>
      <x:c r="R262"/>
      <x:c r="S262"/>
      <x:c r="T262" t="str">
        <x:v>RFQ required · no public supplier-specific quote</x:v>
      </x:c>
      <x:c r="U262"/>
      <x:c r="V262" t="str">
        <x:v>https://www.tubular.nipponsteel.com/octg-material/application-list/nickel-alloy</x:v>
      </x:c>
      <x:c r="W262" t="str">
        <x:v>Manufacturer-listed</x:v>
      </x:c>
      <x:c r="X262" t="str"/>
      <x:c r="Y262" t="str">
        <x:v>2026-10-10</x:v>
      </x:c>
    </x:row>
    <x:row r="263" ht="22" customHeight="1">
      <x:c r="A263" t="str">
        <x:v>OCTG-0262</x:v>
      </x:c>
      <x:c r="B263" t="str">
        <x:v>Nippon Steel</x:v>
      </x:c>
      <x:c r="C263" t="str">
        <x:v>Japan</x:v>
      </x:c>
      <x:c r="D263" t="str">
        <x:v>SMC276-125</x:v>
      </x:c>
      <x:c r="E263" t="str">
        <x:v>Proprietary grade</x:v>
      </x:c>
      <x:c r="F263" t="str">
        <x:v>API 5CRA-based CRA proprietary grade</x:v>
      </x:c>
      <x:c r="G263" t="str">
        <x:v>Ni-base CRA</x:v>
      </x:c>
      <x:c r="H263" t="str">
        <x:v>Severe H2S + CO2 + chlorides / high-temperature (confirm material selection envelope)</x:v>
      </x:c>
      <x:c r="I263" t="str">
        <x:v>Production tubing and liners</x:v>
      </x:c>
      <x:c r="J263" t="str">
        <x:v>Not established by grade name</x:v>
      </x:c>
      <x:c r="K263" t="str">
        <x:v>Improved (verify temperature / chloride limits)</x:v>
      </x:c>
      <x:c r="L263" t="str">
        <x:v>API / not stated</x:v>
      </x:c>
      <x:c r="M263" t="n">
        <x:v>125</x:v>
      </x:c>
      <x:c r="N263" t="str"/>
      <x:c r="O263" t="str"/>
      <x:c r="P263" t="str"/>
      <x:c r="Q263" t="str">
        <x:v>I · nickel-base CRA</x:v>
      </x:c>
      <x:c r="R263"/>
      <x:c r="S263"/>
      <x:c r="T263" t="str">
        <x:v>RFQ required · no public supplier-specific quote</x:v>
      </x:c>
      <x:c r="U263"/>
      <x:c r="V263" t="str">
        <x:v>https://www.tubular.nipponsteel.com/octg-material/application-list/nickel-alloy</x:v>
      </x:c>
      <x:c r="W263" t="str">
        <x:v>Manufacturer-listed</x:v>
      </x:c>
      <x:c r="X263" t="str"/>
      <x:c r="Y263" t="str">
        <x:v>2026-10-10</x:v>
      </x:c>
    </x:row>
    <x:row r="264" ht="22" customHeight="1">
      <x:c r="A264" t="str">
        <x:v>OCTG-0263</x:v>
      </x:c>
      <x:c r="B264" t="str">
        <x:v>Nippon Steel</x:v>
      </x:c>
      <x:c r="C264" t="str">
        <x:v>Japan</x:v>
      </x:c>
      <x:c r="D264" t="str">
        <x:v>SM25CR-110</x:v>
      </x:c>
      <x:c r="E264" t="str">
        <x:v>Proprietary grade</x:v>
      </x:c>
      <x:c r="F264" t="str">
        <x:v>API 5CT-based / manufacturer specification</x:v>
      </x:c>
      <x:c r="G264" t="str">
        <x:v>Super duplex 25Cr</x:v>
      </x:c>
      <x:c r="H264" t="str">
        <x:v>Wet CO2, high chloride, project-verified H2S</x:v>
      </x:c>
      <x:c r="I264" t="str">
        <x:v>Casing and tubing (verify sizes)</x:v>
      </x:c>
      <x:c r="J264" t="str">
        <x:v>Not established by grade name</x:v>
      </x:c>
      <x:c r="K264" t="str">
        <x:v>Improved (verify temperature / chloride limits)</x:v>
      </x:c>
      <x:c r="L264" t="str">
        <x:v>API / not stated</x:v>
      </x:c>
      <x:c r="M264" t="n">
        <x:v>110</x:v>
      </x:c>
      <x:c r="N264" t="str"/>
      <x:c r="O264" t="str"/>
      <x:c r="P264" t="str"/>
      <x:c r="Q264" t="str">
        <x:v>G · super duplex CRA</x:v>
      </x:c>
      <x:c r="R264"/>
      <x:c r="S264"/>
      <x:c r="T264" t="str">
        <x:v>RFQ required · no public supplier-specific quote</x:v>
      </x:c>
      <x:c r="U264"/>
      <x:c r="V264" t="str">
        <x:v>https://www.tubular.nipponsteel.com/octg-material/application-list/duplex-stainless-steel</x:v>
      </x:c>
      <x:c r="W264" t="str">
        <x:v>Manufacturer-listed</x:v>
      </x:c>
      <x:c r="X264" t="str"/>
      <x:c r="Y264" t="str">
        <x:v>2026-10-10</x:v>
      </x:c>
    </x:row>
    <x:row r="265" ht="22" customHeight="1">
      <x:c r="A265" t="str">
        <x:v>OCTG-0264</x:v>
      </x:c>
      <x:c r="B265" t="str">
        <x:v>Nippon Steel</x:v>
      </x:c>
      <x:c r="C265" t="str">
        <x:v>Japan</x:v>
      </x:c>
      <x:c r="D265" t="str">
        <x:v>SM25CR-125</x:v>
      </x:c>
      <x:c r="E265" t="str">
        <x:v>Proprietary grade</x:v>
      </x:c>
      <x:c r="F265" t="str">
        <x:v>API 5CT-based / manufacturer specification</x:v>
      </x:c>
      <x:c r="G265" t="str">
        <x:v>Super duplex 25Cr</x:v>
      </x:c>
      <x:c r="H265" t="str">
        <x:v>Wet CO2, high chloride, project-verified H2S</x:v>
      </x:c>
      <x:c r="I265" t="str">
        <x:v>Casing and tubing (verify sizes)</x:v>
      </x:c>
      <x:c r="J265" t="str">
        <x:v>Not established by grade name</x:v>
      </x:c>
      <x:c r="K265" t="str">
        <x:v>Improved (verify temperature / chloride limits)</x:v>
      </x:c>
      <x:c r="L265" t="str">
        <x:v>API / not stated</x:v>
      </x:c>
      <x:c r="M265" t="n">
        <x:v>125</x:v>
      </x:c>
      <x:c r="N265" t="str"/>
      <x:c r="O265" t="str"/>
      <x:c r="P265" t="str"/>
      <x:c r="Q265" t="str">
        <x:v>G · super duplex CRA</x:v>
      </x:c>
      <x:c r="R265"/>
      <x:c r="S265"/>
      <x:c r="T265" t="str">
        <x:v>RFQ required · no public supplier-specific quote</x:v>
      </x:c>
      <x:c r="U265"/>
      <x:c r="V265" t="str">
        <x:v>https://www.tubular.nipponsteel.com/octg-material/application-list/duplex-stainless-steel</x:v>
      </x:c>
      <x:c r="W265" t="str">
        <x:v>Manufacturer-listed</x:v>
      </x:c>
      <x:c r="X265" t="str"/>
      <x:c r="Y265" t="str">
        <x:v>2026-10-10</x:v>
      </x:c>
    </x:row>
    <x:row r="266" ht="22" customHeight="1">
      <x:c r="A266" t="str">
        <x:v>OCTG-0265</x:v>
      </x:c>
      <x:c r="B266" t="str">
        <x:v>Nippon Steel</x:v>
      </x:c>
      <x:c r="C266" t="str">
        <x:v>Japan</x:v>
      </x:c>
      <x:c r="D266" t="str">
        <x:v>SM25CRU-80</x:v>
      </x:c>
      <x:c r="E266" t="str">
        <x:v>Proprietary grade</x:v>
      </x:c>
      <x:c r="F266" t="str">
        <x:v>API 5CT-based / manufacturer specification</x:v>
      </x:c>
      <x:c r="G266" t="str">
        <x:v>Super duplex 25Cr</x:v>
      </x:c>
      <x:c r="H266" t="str">
        <x:v>Wet CO2, high chloride, project-verified H2S</x:v>
      </x:c>
      <x:c r="I266" t="str">
        <x:v>Casing and tubing (verify sizes)</x:v>
      </x:c>
      <x:c r="J266" t="str">
        <x:v>Not established by grade name</x:v>
      </x:c>
      <x:c r="K266" t="str">
        <x:v>Improved (verify temperature / chloride limits)</x:v>
      </x:c>
      <x:c r="L266" t="str">
        <x:v>API / not stated</x:v>
      </x:c>
      <x:c r="M266" t="n">
        <x:v>80</x:v>
      </x:c>
      <x:c r="N266" t="str"/>
      <x:c r="O266" t="str"/>
      <x:c r="P266" t="str"/>
      <x:c r="Q266" t="str">
        <x:v>G · super duplex CRA</x:v>
      </x:c>
      <x:c r="R266"/>
      <x:c r="S266"/>
      <x:c r="T266" t="str">
        <x:v>RFQ required · no public supplier-specific quote</x:v>
      </x:c>
      <x:c r="U266"/>
      <x:c r="V266" t="str">
        <x:v>https://www.tubular.nipponsteel.com/octg-material/application-list/duplex-stainless-steel</x:v>
      </x:c>
      <x:c r="W266" t="str">
        <x:v>Manufacturer-listed</x:v>
      </x:c>
      <x:c r="X266" t="str"/>
      <x:c r="Y266" t="str">
        <x:v>2026-10-10</x:v>
      </x:c>
    </x:row>
    <x:row r="267" ht="22" customHeight="1">
      <x:c r="A267" t="str">
        <x:v>OCTG-0266</x:v>
      </x:c>
      <x:c r="B267" t="str">
        <x:v>Nippon Steel</x:v>
      </x:c>
      <x:c r="C267" t="str">
        <x:v>Japan</x:v>
      </x:c>
      <x:c r="D267" t="str">
        <x:v>SM25CRW-125</x:v>
      </x:c>
      <x:c r="E267" t="str">
        <x:v>Proprietary grade</x:v>
      </x:c>
      <x:c r="F267" t="str">
        <x:v>API 5CT-based / manufacturer specification</x:v>
      </x:c>
      <x:c r="G267" t="str">
        <x:v>Super duplex 25Cr</x:v>
      </x:c>
      <x:c r="H267" t="str">
        <x:v>Wet CO2, high chloride, project-verified H2S</x:v>
      </x:c>
      <x:c r="I267" t="str">
        <x:v>Casing and tubing (verify sizes)</x:v>
      </x:c>
      <x:c r="J267" t="str">
        <x:v>Not established by grade name</x:v>
      </x:c>
      <x:c r="K267" t="str">
        <x:v>Improved (verify temperature / chloride limits)</x:v>
      </x:c>
      <x:c r="L267" t="str">
        <x:v>API / not stated</x:v>
      </x:c>
      <x:c r="M267" t="n">
        <x:v>125</x:v>
      </x:c>
      <x:c r="N267" t="str"/>
      <x:c r="O267" t="str"/>
      <x:c r="P267" t="str"/>
      <x:c r="Q267" t="str">
        <x:v>G · super duplex CRA</x:v>
      </x:c>
      <x:c r="R267"/>
      <x:c r="S267"/>
      <x:c r="T267" t="str">
        <x:v>RFQ required · no public supplier-specific quote</x:v>
      </x:c>
      <x:c r="U267"/>
      <x:c r="V267" t="str">
        <x:v>https://www.tubular.nipponsteel.com/octg-material/application-list/duplex-stainless-steel</x:v>
      </x:c>
      <x:c r="W267" t="str">
        <x:v>Manufacturer-listed</x:v>
      </x:c>
      <x:c r="X267" t="str"/>
      <x:c r="Y267" t="str">
        <x:v>2026-10-10</x:v>
      </x:c>
    </x:row>
    <x:row r="268" ht="22" customHeight="1">
      <x:c r="A268" t="str">
        <x:v>OCTG-0267</x:v>
      </x:c>
      <x:c r="B268" t="str">
        <x:v>JFE Steel</x:v>
      </x:c>
      <x:c r="C268" t="str">
        <x:v>Japan</x:v>
      </x:c>
      <x:c r="D268" t="str">
        <x:v>C110-HC</x:v>
      </x:c>
      <x:c r="E268" t="str">
        <x:v>Proprietary grade</x:v>
      </x:c>
      <x:c r="F268" t="str">
        <x:v>API 5CT-based / manufacturer specification</x:v>
      </x:c>
      <x:c r="G268" t="str">
        <x:v>Carbon / low alloy</x:v>
      </x:c>
      <x:c r="H268" t="str">
        <x:v>Sour + high collapse</x:v>
      </x:c>
      <x:c r="I268" t="str">
        <x:v>Casing and tubing (verify sizes)</x:v>
      </x:c>
      <x:c r="J268" t="str">
        <x:v>Sour service: manufacturer-defined limits</x:v>
      </x:c>
      <x:c r="K268" t="str">
        <x:v>Corrosion control may be needed</x:v>
      </x:c>
      <x:c r="L268" t="str">
        <x:v>Enhanced</x:v>
      </x:c>
      <x:c r="M268" t="n">
        <x:v>110</x:v>
      </x:c>
      <x:c r="N268" t="str"/>
      <x:c r="O268" t="str"/>
      <x:c r="P268" t="str"/>
      <x:c r="Q268" t="str">
        <x:v>A · standard carbon</x:v>
      </x:c>
      <x:c r="R268"/>
      <x:c r="S268"/>
      <x:c r="T268" t="str">
        <x:v>RFQ required · no public supplier-specific quote</x:v>
      </x:c>
      <x:c r="U268"/>
      <x:c r="V268" t="str">
        <x:v>https://www.jfe-steel.co.jp/en/products/energy/octg/material/grade_table.html</x:v>
      </x:c>
      <x:c r="W268" t="str">
        <x:v>Manufacturer-listed</x:v>
      </x:c>
      <x:c r="X268" t="str"/>
      <x:c r="Y268" t="str">
        <x:v>2026-10-10</x:v>
      </x:c>
    </x:row>
    <x:row r="269" ht="22" customHeight="1">
      <x:c r="A269" t="str">
        <x:v>OCTG-0268</x:v>
      </x:c>
      <x:c r="B269" t="str">
        <x:v>JFE Steel</x:v>
      </x:c>
      <x:c r="C269" t="str">
        <x:v>Japan</x:v>
      </x:c>
      <x:c r="D269" t="str">
        <x:v>C110-HCX</x:v>
      </x:c>
      <x:c r="E269" t="str">
        <x:v>Proprietary grade</x:v>
      </x:c>
      <x:c r="F269" t="str">
        <x:v>API 5CT-based / manufacturer specification</x:v>
      </x:c>
      <x:c r="G269" t="str">
        <x:v>Carbon / low alloy</x:v>
      </x:c>
      <x:c r="H269" t="str">
        <x:v>Sour + high collapse</x:v>
      </x:c>
      <x:c r="I269" t="str">
        <x:v>Casing and tubing (verify sizes)</x:v>
      </x:c>
      <x:c r="J269" t="str">
        <x:v>Sour service: manufacturer-defined limits</x:v>
      </x:c>
      <x:c r="K269" t="str">
        <x:v>Corrosion control may be needed</x:v>
      </x:c>
      <x:c r="L269" t="str">
        <x:v>Enhanced</x:v>
      </x:c>
      <x:c r="M269" t="n">
        <x:v>110</x:v>
      </x:c>
      <x:c r="N269" t="str"/>
      <x:c r="O269" t="str"/>
      <x:c r="P269" t="str"/>
      <x:c r="Q269" t="str">
        <x:v>A · standard carbon</x:v>
      </x:c>
      <x:c r="R269"/>
      <x:c r="S269"/>
      <x:c r="T269" t="str">
        <x:v>RFQ required · no public supplier-specific quote</x:v>
      </x:c>
      <x:c r="U269"/>
      <x:c r="V269" t="str">
        <x:v>https://www.jfe-steel.co.jp/en/products/energy/octg/material/grade_table.html</x:v>
      </x:c>
      <x:c r="W269" t="str">
        <x:v>Manufacturer-listed</x:v>
      </x:c>
      <x:c r="X269" t="str"/>
      <x:c r="Y269" t="str">
        <x:v>2026-10-10</x:v>
      </x:c>
    </x:row>
    <x:row r="270" ht="22" customHeight="1">
      <x:c r="A270" t="str">
        <x:v>OCTG-0269</x:v>
      </x:c>
      <x:c r="B270" t="str">
        <x:v>JFE Steel</x:v>
      </x:c>
      <x:c r="C270" t="str">
        <x:v>Japan</x:v>
      </x:c>
      <x:c r="D270" t="str">
        <x:v>C110-XS</x:v>
      </x:c>
      <x:c r="E270" t="str">
        <x:v>Proprietary grade</x:v>
      </x:c>
      <x:c r="F270" t="str">
        <x:v>API 5CT-based / manufacturer specification</x:v>
      </x:c>
      <x:c r="G270" t="str">
        <x:v>Carbon / low alloy</x:v>
      </x:c>
      <x:c r="H270" t="str">
        <x:v>Enhanced / extreme sour</x:v>
      </x:c>
      <x:c r="I270" t="str">
        <x:v>Casing and tubing (verify sizes)</x:v>
      </x:c>
      <x:c r="J270" t="str">
        <x:v>Not established by grade name</x:v>
      </x:c>
      <x:c r="K270" t="str">
        <x:v>Corrosion control may be needed</x:v>
      </x:c>
      <x:c r="L270" t="str">
        <x:v>API / not stated</x:v>
      </x:c>
      <x:c r="M270" t="n">
        <x:v>110</x:v>
      </x:c>
      <x:c r="N270" t="str"/>
      <x:c r="O270" t="str"/>
      <x:c r="P270" t="str"/>
      <x:c r="Q270" t="str">
        <x:v>A · standard carbon</x:v>
      </x:c>
      <x:c r="R270"/>
      <x:c r="S270"/>
      <x:c r="T270" t="str">
        <x:v>RFQ required · no public supplier-specific quote</x:v>
      </x:c>
      <x:c r="U270"/>
      <x:c r="V270" t="str">
        <x:v>https://www.jfe-steel.co.jp/en/products/energy/octg/material/grade_table.html</x:v>
      </x:c>
      <x:c r="W270" t="str">
        <x:v>Manufacturer-listed</x:v>
      </x:c>
      <x:c r="X270" t="str"/>
      <x:c r="Y270" t="str">
        <x:v>2026-10-10</x:v>
      </x:c>
    </x:row>
    <x:row r="271" ht="22" customHeight="1">
      <x:c r="A271" t="str">
        <x:v>OCTG-0270</x:v>
      </x:c>
      <x:c r="B271" t="str">
        <x:v>JFE Steel</x:v>
      </x:c>
      <x:c r="C271" t="str">
        <x:v>Japan</x:v>
      </x:c>
      <x:c r="D271" t="str">
        <x:v>C110-XSHC</x:v>
      </x:c>
      <x:c r="E271" t="str">
        <x:v>Proprietary grade</x:v>
      </x:c>
      <x:c r="F271" t="str">
        <x:v>API 5CT-based / manufacturer specification</x:v>
      </x:c>
      <x:c r="G271" t="str">
        <x:v>Carbon / low alloy</x:v>
      </x:c>
      <x:c r="H271" t="str">
        <x:v>Sour + high collapse</x:v>
      </x:c>
      <x:c r="I271" t="str">
        <x:v>Casing and tubing (verify sizes)</x:v>
      </x:c>
      <x:c r="J271" t="str">
        <x:v>Sour service: manufacturer-defined limits</x:v>
      </x:c>
      <x:c r="K271" t="str">
        <x:v>Corrosion control may be needed</x:v>
      </x:c>
      <x:c r="L271" t="str">
        <x:v>Enhanced</x:v>
      </x:c>
      <x:c r="M271" t="n">
        <x:v>110</x:v>
      </x:c>
      <x:c r="N271" t="str"/>
      <x:c r="O271" t="str"/>
      <x:c r="P271" t="str"/>
      <x:c r="Q271" t="str">
        <x:v>A · standard carbon</x:v>
      </x:c>
      <x:c r="R271"/>
      <x:c r="S271"/>
      <x:c r="T271" t="str">
        <x:v>RFQ required · no public supplier-specific quote</x:v>
      </x:c>
      <x:c r="U271"/>
      <x:c r="V271" t="str">
        <x:v>https://www.jfe-steel.co.jp/en/products/energy/octg/material/grade_table.html</x:v>
      </x:c>
      <x:c r="W271" t="str">
        <x:v>Manufacturer-listed</x:v>
      </x:c>
      <x:c r="X271" t="str"/>
      <x:c r="Y271" t="str">
        <x:v>2026-10-10</x:v>
      </x:c>
    </x:row>
    <x:row r="272" ht="22" customHeight="1">
      <x:c r="A272" t="str">
        <x:v>OCTG-0271</x:v>
      </x:c>
      <x:c r="B272" t="str">
        <x:v>JFE Steel</x:v>
      </x:c>
      <x:c r="C272" t="str">
        <x:v>Japan</x:v>
      </x:c>
      <x:c r="D272" t="str">
        <x:v>C110-XSHCX</x:v>
      </x:c>
      <x:c r="E272" t="str">
        <x:v>Proprietary grade</x:v>
      </x:c>
      <x:c r="F272" t="str">
        <x:v>API 5CT-based / manufacturer specification</x:v>
      </x:c>
      <x:c r="G272" t="str">
        <x:v>Carbon / low alloy</x:v>
      </x:c>
      <x:c r="H272" t="str">
        <x:v>Sour + high collapse</x:v>
      </x:c>
      <x:c r="I272" t="str">
        <x:v>Casing and tubing (verify sizes)</x:v>
      </x:c>
      <x:c r="J272" t="str">
        <x:v>Sour service: manufacturer-defined limits</x:v>
      </x:c>
      <x:c r="K272" t="str">
        <x:v>Corrosion control may be needed</x:v>
      </x:c>
      <x:c r="L272" t="str">
        <x:v>Enhanced</x:v>
      </x:c>
      <x:c r="M272" t="n">
        <x:v>110</x:v>
      </x:c>
      <x:c r="N272" t="str"/>
      <x:c r="O272" t="str"/>
      <x:c r="P272" t="str"/>
      <x:c r="Q272" t="str">
        <x:v>A · standard carbon</x:v>
      </x:c>
      <x:c r="R272"/>
      <x:c r="S272"/>
      <x:c r="T272" t="str">
        <x:v>RFQ required · no public supplier-specific quote</x:v>
      </x:c>
      <x:c r="U272"/>
      <x:c r="V272" t="str">
        <x:v>https://www.jfe-steel.co.jp/en/products/energy/octg/material/grade_table.html</x:v>
      </x:c>
      <x:c r="W272" t="str">
        <x:v>Manufacturer-listed</x:v>
      </x:c>
      <x:c r="X272" t="str"/>
      <x:c r="Y272" t="str">
        <x:v>2026-10-10</x:v>
      </x:c>
    </x:row>
    <x:row r="273" ht="22" customHeight="1">
      <x:c r="A273" t="str">
        <x:v>OCTG-0272</x:v>
      </x:c>
      <x:c r="B273" t="str">
        <x:v>JFE Steel</x:v>
      </x:c>
      <x:c r="C273" t="str">
        <x:v>Japan</x:v>
      </x:c>
      <x:c r="D273" t="str">
        <x:v>JFE-110S</x:v>
      </x:c>
      <x:c r="E273" t="str">
        <x:v>Proprietary grade</x:v>
      </x:c>
      <x:c r="F273" t="str">
        <x:v>API 5CT-based / manufacturer specification</x:v>
      </x:c>
      <x:c r="G273" t="str">
        <x:v>Carbon / low alloy</x:v>
      </x:c>
      <x:c r="H273" t="str">
        <x:v>Manufacturer sour-service series; 125S is mild sour</x:v>
      </x:c>
      <x:c r="I273" t="str">
        <x:v>Casing and tubing (verify sizes)</x:v>
      </x:c>
      <x:c r="J273" t="str">
        <x:v>Mild/limited sour: verify domain</x:v>
      </x:c>
      <x:c r="K273" t="str">
        <x:v>Corrosion control may be needed</x:v>
      </x:c>
      <x:c r="L273" t="str">
        <x:v>API / not stated</x:v>
      </x:c>
      <x:c r="M273" t="n">
        <x:v>110</x:v>
      </x:c>
      <x:c r="N273" t="str"/>
      <x:c r="O273" t="str"/>
      <x:c r="P273" t="str"/>
      <x:c r="Q273" t="str">
        <x:v>A · standard carbon</x:v>
      </x:c>
      <x:c r="R273"/>
      <x:c r="S273"/>
      <x:c r="T273" t="str">
        <x:v>RFQ required · no public supplier-specific quote</x:v>
      </x:c>
      <x:c r="U273"/>
      <x:c r="V273" t="str">
        <x:v>https://www.jfe-steel.co.jp/en/products/energy/octg/material/grade_table.html</x:v>
      </x:c>
      <x:c r="W273" t="str">
        <x:v>Manufacturer-listed</x:v>
      </x:c>
      <x:c r="X273" t="str"/>
      <x:c r="Y273" t="str">
        <x:v>2026-10-10</x:v>
      </x:c>
    </x:row>
    <x:row r="274" ht="22" customHeight="1">
      <x:c r="A274" t="str">
        <x:v>OCTG-0273</x:v>
      </x:c>
      <x:c r="B274" t="str">
        <x:v>JFE Steel</x:v>
      </x:c>
      <x:c r="C274" t="str">
        <x:v>Japan</x:v>
      </x:c>
      <x:c r="D274" t="str">
        <x:v>JFE-110SS</x:v>
      </x:c>
      <x:c r="E274" t="str">
        <x:v>Proprietary grade</x:v>
      </x:c>
      <x:c r="F274" t="str">
        <x:v>API 5CT-based / manufacturer specification</x:v>
      </x:c>
      <x:c r="G274" t="str">
        <x:v>Carbon / low alloy</x:v>
      </x:c>
      <x:c r="H274" t="str">
        <x:v>Manufacturer sour-service series; 125S is mild sour</x:v>
      </x:c>
      <x:c r="I274" t="str">
        <x:v>Casing and tubing (verify sizes)</x:v>
      </x:c>
      <x:c r="J274" t="str">
        <x:v>Mild/limited sour: verify domain</x:v>
      </x:c>
      <x:c r="K274" t="str">
        <x:v>Corrosion control may be needed</x:v>
      </x:c>
      <x:c r="L274" t="str">
        <x:v>API / not stated</x:v>
      </x:c>
      <x:c r="M274" t="n">
        <x:v>110</x:v>
      </x:c>
      <x:c r="N274" t="str"/>
      <x:c r="O274" t="str"/>
      <x:c r="P274" t="str"/>
      <x:c r="Q274" t="str">
        <x:v>A · standard carbon</x:v>
      </x:c>
      <x:c r="R274"/>
      <x:c r="S274"/>
      <x:c r="T274" t="str">
        <x:v>RFQ required · no public supplier-specific quote</x:v>
      </x:c>
      <x:c r="U274"/>
      <x:c r="V274" t="str">
        <x:v>https://www.jfe-steel.co.jp/en/products/energy/octg/material/grade_table.html</x:v>
      </x:c>
      <x:c r="W274" t="str">
        <x:v>Manufacturer-listed</x:v>
      </x:c>
      <x:c r="X274" t="str"/>
      <x:c r="Y274" t="str">
        <x:v>2026-10-10</x:v>
      </x:c>
    </x:row>
    <x:row r="275" ht="22" customHeight="1">
      <x:c r="A275" t="str">
        <x:v>OCTG-0274</x:v>
      </x:c>
      <x:c r="B275" t="str">
        <x:v>JFE Steel</x:v>
      </x:c>
      <x:c r="C275" t="str">
        <x:v>Japan</x:v>
      </x:c>
      <x:c r="D275" t="str">
        <x:v>JFE-125S</x:v>
      </x:c>
      <x:c r="E275" t="str">
        <x:v>Proprietary grade</x:v>
      </x:c>
      <x:c r="F275" t="str">
        <x:v>API 5CT-based / manufacturer specification</x:v>
      </x:c>
      <x:c r="G275" t="str">
        <x:v>Carbon / low alloy</x:v>
      </x:c>
      <x:c r="H275" t="str">
        <x:v>Manufacturer sour-service series; 125S is mild sour</x:v>
      </x:c>
      <x:c r="I275" t="str">
        <x:v>Casing and tubing (verify sizes)</x:v>
      </x:c>
      <x:c r="J275" t="str">
        <x:v>Mild/limited sour: verify domain</x:v>
      </x:c>
      <x:c r="K275" t="str">
        <x:v>Corrosion control may be needed</x:v>
      </x:c>
      <x:c r="L275" t="str">
        <x:v>API / not stated</x:v>
      </x:c>
      <x:c r="M275" t="n">
        <x:v>125</x:v>
      </x:c>
      <x:c r="N275" t="str"/>
      <x:c r="O275" t="str"/>
      <x:c r="P275" t="str"/>
      <x:c r="Q275" t="str">
        <x:v>A · standard carbon</x:v>
      </x:c>
      <x:c r="R275"/>
      <x:c r="S275"/>
      <x:c r="T275" t="str">
        <x:v>RFQ required · no public supplier-specific quote</x:v>
      </x:c>
      <x:c r="U275"/>
      <x:c r="V275" t="str">
        <x:v>https://www.jfe-steel.co.jp/en/products/energy/octg/material/grade_table.html</x:v>
      </x:c>
      <x:c r="W275" t="str">
        <x:v>Manufacturer-listed</x:v>
      </x:c>
      <x:c r="X275" t="str"/>
      <x:c r="Y275" t="str">
        <x:v>2026-10-10</x:v>
      </x:c>
    </x:row>
    <x:row r="276" ht="22" customHeight="1">
      <x:c r="A276" t="str">
        <x:v>OCTG-0275</x:v>
      </x:c>
      <x:c r="B276" t="str">
        <x:v>JFE Steel</x:v>
      </x:c>
      <x:c r="C276" t="str">
        <x:v>Japan</x:v>
      </x:c>
      <x:c r="D276" t="str">
        <x:v>JFE-80S</x:v>
      </x:c>
      <x:c r="E276" t="str">
        <x:v>Proprietary grade</x:v>
      </x:c>
      <x:c r="F276" t="str">
        <x:v>API 5CT-based / manufacturer specification</x:v>
      </x:c>
      <x:c r="G276" t="str">
        <x:v>Carbon / low alloy</x:v>
      </x:c>
      <x:c r="H276" t="str">
        <x:v>Manufacturer sour-service series; 125S is mild sour</x:v>
      </x:c>
      <x:c r="I276" t="str">
        <x:v>Casing and tubing (verify sizes)</x:v>
      </x:c>
      <x:c r="J276" t="str">
        <x:v>Mild/limited sour: verify domain</x:v>
      </x:c>
      <x:c r="K276" t="str">
        <x:v>Corrosion control may be needed</x:v>
      </x:c>
      <x:c r="L276" t="str">
        <x:v>API / not stated</x:v>
      </x:c>
      <x:c r="M276" t="n">
        <x:v>80</x:v>
      </x:c>
      <x:c r="N276" t="str"/>
      <x:c r="O276" t="str"/>
      <x:c r="P276" t="str"/>
      <x:c r="Q276" t="str">
        <x:v>A · standard carbon</x:v>
      </x:c>
      <x:c r="R276"/>
      <x:c r="S276"/>
      <x:c r="T276" t="str">
        <x:v>RFQ required · no public supplier-specific quote</x:v>
      </x:c>
      <x:c r="U276"/>
      <x:c r="V276" t="str">
        <x:v>https://www.jfe-steel.co.jp/en/products/energy/octg/material/grade_table.html</x:v>
      </x:c>
      <x:c r="W276" t="str">
        <x:v>Manufacturer-listed</x:v>
      </x:c>
      <x:c r="X276" t="str"/>
      <x:c r="Y276" t="str">
        <x:v>2026-10-10</x:v>
      </x:c>
    </x:row>
    <x:row r="277" ht="22" customHeight="1">
      <x:c r="A277" t="str">
        <x:v>OCTG-0276</x:v>
      </x:c>
      <x:c r="B277" t="str">
        <x:v>JFE Steel</x:v>
      </x:c>
      <x:c r="C277" t="str">
        <x:v>Japan</x:v>
      </x:c>
      <x:c r="D277" t="str">
        <x:v>JFE-85S</x:v>
      </x:c>
      <x:c r="E277" t="str">
        <x:v>Proprietary grade</x:v>
      </x:c>
      <x:c r="F277" t="str">
        <x:v>API 5CT-based / manufacturer specification</x:v>
      </x:c>
      <x:c r="G277" t="str">
        <x:v>Carbon / low alloy</x:v>
      </x:c>
      <x:c r="H277" t="str">
        <x:v>Manufacturer sour-service series; 125S is mild sour</x:v>
      </x:c>
      <x:c r="I277" t="str">
        <x:v>Casing and tubing (verify sizes)</x:v>
      </x:c>
      <x:c r="J277" t="str">
        <x:v>Mild/limited sour: verify domain</x:v>
      </x:c>
      <x:c r="K277" t="str">
        <x:v>Corrosion control may be needed</x:v>
      </x:c>
      <x:c r="L277" t="str">
        <x:v>API / not stated</x:v>
      </x:c>
      <x:c r="M277" t="n">
        <x:v>85</x:v>
      </x:c>
      <x:c r="N277" t="str"/>
      <x:c r="O277" t="str"/>
      <x:c r="P277" t="str"/>
      <x:c r="Q277" t="str">
        <x:v>A · standard carbon</x:v>
      </x:c>
      <x:c r="R277"/>
      <x:c r="S277"/>
      <x:c r="T277" t="str">
        <x:v>RFQ required · no public supplier-specific quote</x:v>
      </x:c>
      <x:c r="U277"/>
      <x:c r="V277" t="str">
        <x:v>https://www.jfe-steel.co.jp/en/products/energy/octg/material/grade_table.html</x:v>
      </x:c>
      <x:c r="W277" t="str">
        <x:v>Manufacturer-listed</x:v>
      </x:c>
      <x:c r="X277" t="str"/>
      <x:c r="Y277" t="str">
        <x:v>2026-10-10</x:v>
      </x:c>
    </x:row>
    <x:row r="278" ht="22" customHeight="1">
      <x:c r="A278" t="str">
        <x:v>OCTG-0277</x:v>
      </x:c>
      <x:c r="B278" t="str">
        <x:v>JFE Steel</x:v>
      </x:c>
      <x:c r="C278" t="str">
        <x:v>Japan</x:v>
      </x:c>
      <x:c r="D278" t="str">
        <x:v>JFE-85SS</x:v>
      </x:c>
      <x:c r="E278" t="str">
        <x:v>Proprietary grade</x:v>
      </x:c>
      <x:c r="F278" t="str">
        <x:v>API 5CT-based / manufacturer specification</x:v>
      </x:c>
      <x:c r="G278" t="str">
        <x:v>Carbon / low alloy</x:v>
      </x:c>
      <x:c r="H278" t="str">
        <x:v>Manufacturer sour-service series; 125S is mild sour</x:v>
      </x:c>
      <x:c r="I278" t="str">
        <x:v>Casing and tubing (verify sizes)</x:v>
      </x:c>
      <x:c r="J278" t="str">
        <x:v>Mild/limited sour: verify domain</x:v>
      </x:c>
      <x:c r="K278" t="str">
        <x:v>Corrosion control may be needed</x:v>
      </x:c>
      <x:c r="L278" t="str">
        <x:v>API / not stated</x:v>
      </x:c>
      <x:c r="M278" t="n">
        <x:v>85</x:v>
      </x:c>
      <x:c r="N278" t="str"/>
      <x:c r="O278" t="str"/>
      <x:c r="P278" t="str"/>
      <x:c r="Q278" t="str">
        <x:v>A · standard carbon</x:v>
      </x:c>
      <x:c r="R278"/>
      <x:c r="S278"/>
      <x:c r="T278" t="str">
        <x:v>RFQ required · no public supplier-specific quote</x:v>
      </x:c>
      <x:c r="U278"/>
      <x:c r="V278" t="str">
        <x:v>https://www.jfe-steel.co.jp/en/products/energy/octg/material/grade_table.html</x:v>
      </x:c>
      <x:c r="W278" t="str">
        <x:v>Manufacturer-listed</x:v>
      </x:c>
      <x:c r="X278" t="str"/>
      <x:c r="Y278" t="str">
        <x:v>2026-10-10</x:v>
      </x:c>
    </x:row>
    <x:row r="279" ht="22" customHeight="1">
      <x:c r="A279" t="str">
        <x:v>OCTG-0278</x:v>
      </x:c>
      <x:c r="B279" t="str">
        <x:v>JFE Steel</x:v>
      </x:c>
      <x:c r="C279" t="str">
        <x:v>Japan</x:v>
      </x:c>
      <x:c r="D279" t="str">
        <x:v>JFE-90S</x:v>
      </x:c>
      <x:c r="E279" t="str">
        <x:v>Proprietary grade</x:v>
      </x:c>
      <x:c r="F279" t="str">
        <x:v>API 5CT-based / manufacturer specification</x:v>
      </x:c>
      <x:c r="G279" t="str">
        <x:v>Carbon / low alloy</x:v>
      </x:c>
      <x:c r="H279" t="str">
        <x:v>Manufacturer sour-service series; 125S is mild sour</x:v>
      </x:c>
      <x:c r="I279" t="str">
        <x:v>Casing and tubing (verify sizes)</x:v>
      </x:c>
      <x:c r="J279" t="str">
        <x:v>Mild/limited sour: verify domain</x:v>
      </x:c>
      <x:c r="K279" t="str">
        <x:v>Corrosion control may be needed</x:v>
      </x:c>
      <x:c r="L279" t="str">
        <x:v>API / not stated</x:v>
      </x:c>
      <x:c r="M279" t="n">
        <x:v>90</x:v>
      </x:c>
      <x:c r="N279" t="str"/>
      <x:c r="O279" t="str"/>
      <x:c r="P279" t="str"/>
      <x:c r="Q279" t="str">
        <x:v>A · standard carbon</x:v>
      </x:c>
      <x:c r="R279"/>
      <x:c r="S279"/>
      <x:c r="T279" t="str">
        <x:v>RFQ required · no public supplier-specific quote</x:v>
      </x:c>
      <x:c r="U279"/>
      <x:c r="V279" t="str">
        <x:v>https://www.jfe-steel.co.jp/en/products/energy/octg/material/grade_table.html</x:v>
      </x:c>
      <x:c r="W279" t="str">
        <x:v>Manufacturer-listed</x:v>
      </x:c>
      <x:c r="X279" t="str"/>
      <x:c r="Y279" t="str">
        <x:v>2026-10-10</x:v>
      </x:c>
    </x:row>
    <x:row r="280" ht="22" customHeight="1">
      <x:c r="A280" t="str">
        <x:v>OCTG-0279</x:v>
      </x:c>
      <x:c r="B280" t="str">
        <x:v>JFE Steel</x:v>
      </x:c>
      <x:c r="C280" t="str">
        <x:v>Japan</x:v>
      </x:c>
      <x:c r="D280" t="str">
        <x:v>JFE-90SS</x:v>
      </x:c>
      <x:c r="E280" t="str">
        <x:v>Proprietary grade</x:v>
      </x:c>
      <x:c r="F280" t="str">
        <x:v>API 5CT-based / manufacturer specification</x:v>
      </x:c>
      <x:c r="G280" t="str">
        <x:v>Carbon / low alloy</x:v>
      </x:c>
      <x:c r="H280" t="str">
        <x:v>Manufacturer sour-service series; 125S is mild sour</x:v>
      </x:c>
      <x:c r="I280" t="str">
        <x:v>Casing and tubing (verify sizes)</x:v>
      </x:c>
      <x:c r="J280" t="str">
        <x:v>Mild/limited sour: verify domain</x:v>
      </x:c>
      <x:c r="K280" t="str">
        <x:v>Corrosion control may be needed</x:v>
      </x:c>
      <x:c r="L280" t="str">
        <x:v>API / not stated</x:v>
      </x:c>
      <x:c r="M280" t="n">
        <x:v>90</x:v>
      </x:c>
      <x:c r="N280" t="str"/>
      <x:c r="O280" t="str"/>
      <x:c r="P280" t="str"/>
      <x:c r="Q280" t="str">
        <x:v>A · standard carbon</x:v>
      </x:c>
      <x:c r="R280"/>
      <x:c r="S280"/>
      <x:c r="T280" t="str">
        <x:v>RFQ required · no public supplier-specific quote</x:v>
      </x:c>
      <x:c r="U280"/>
      <x:c r="V280" t="str">
        <x:v>https://www.jfe-steel.co.jp/en/products/energy/octg/material/grade_table.html</x:v>
      </x:c>
      <x:c r="W280" t="str">
        <x:v>Manufacturer-listed</x:v>
      </x:c>
      <x:c r="X280" t="str"/>
      <x:c r="Y280" t="str">
        <x:v>2026-10-10</x:v>
      </x:c>
    </x:row>
    <x:row r="281" ht="22" customHeight="1">
      <x:c r="A281" t="str">
        <x:v>OCTG-0280</x:v>
      </x:c>
      <x:c r="B281" t="str">
        <x:v>JFE Steel</x:v>
      </x:c>
      <x:c r="C281" t="str">
        <x:v>Japan</x:v>
      </x:c>
      <x:c r="D281" t="str">
        <x:v>JFE-95S</x:v>
      </x:c>
      <x:c r="E281" t="str">
        <x:v>Proprietary grade</x:v>
      </x:c>
      <x:c r="F281" t="str">
        <x:v>API 5CT-based / manufacturer specification</x:v>
      </x:c>
      <x:c r="G281" t="str">
        <x:v>Carbon / low alloy</x:v>
      </x:c>
      <x:c r="H281" t="str">
        <x:v>Manufacturer sour-service series; 125S is mild sour</x:v>
      </x:c>
      <x:c r="I281" t="str">
        <x:v>Casing and tubing (verify sizes)</x:v>
      </x:c>
      <x:c r="J281" t="str">
        <x:v>Mild/limited sour: verify domain</x:v>
      </x:c>
      <x:c r="K281" t="str">
        <x:v>Corrosion control may be needed</x:v>
      </x:c>
      <x:c r="L281" t="str">
        <x:v>API / not stated</x:v>
      </x:c>
      <x:c r="M281" t="n">
        <x:v>95</x:v>
      </x:c>
      <x:c r="N281" t="str"/>
      <x:c r="O281" t="str"/>
      <x:c r="P281" t="str"/>
      <x:c r="Q281" t="str">
        <x:v>A · standard carbon</x:v>
      </x:c>
      <x:c r="R281"/>
      <x:c r="S281"/>
      <x:c r="T281" t="str">
        <x:v>RFQ required · no public supplier-specific quote</x:v>
      </x:c>
      <x:c r="U281"/>
      <x:c r="V281" t="str">
        <x:v>https://www.jfe-steel.co.jp/en/products/energy/octg/material/grade_table.html</x:v>
      </x:c>
      <x:c r="W281" t="str">
        <x:v>Manufacturer-listed</x:v>
      </x:c>
      <x:c r="X281" t="str"/>
      <x:c r="Y281" t="str">
        <x:v>2026-10-10</x:v>
      </x:c>
    </x:row>
    <x:row r="282" ht="22" customHeight="1">
      <x:c r="A282" t="str">
        <x:v>OCTG-0281</x:v>
      </x:c>
      <x:c r="B282" t="str">
        <x:v>JFE Steel</x:v>
      </x:c>
      <x:c r="C282" t="str">
        <x:v>Japan</x:v>
      </x:c>
      <x:c r="D282" t="str">
        <x:v>JFE-95SS</x:v>
      </x:c>
      <x:c r="E282" t="str">
        <x:v>Proprietary grade</x:v>
      </x:c>
      <x:c r="F282" t="str">
        <x:v>API 5CT-based / manufacturer specification</x:v>
      </x:c>
      <x:c r="G282" t="str">
        <x:v>Carbon / low alloy</x:v>
      </x:c>
      <x:c r="H282" t="str">
        <x:v>Manufacturer sour-service series; 125S is mild sour</x:v>
      </x:c>
      <x:c r="I282" t="str">
        <x:v>Casing and tubing (verify sizes)</x:v>
      </x:c>
      <x:c r="J282" t="str">
        <x:v>Mild/limited sour: verify domain</x:v>
      </x:c>
      <x:c r="K282" t="str">
        <x:v>Corrosion control may be needed</x:v>
      </x:c>
      <x:c r="L282" t="str">
        <x:v>API / not stated</x:v>
      </x:c>
      <x:c r="M282" t="n">
        <x:v>95</x:v>
      </x:c>
      <x:c r="N282" t="str"/>
      <x:c r="O282" t="str"/>
      <x:c r="P282" t="str"/>
      <x:c r="Q282" t="str">
        <x:v>A · standard carbon</x:v>
      </x:c>
      <x:c r="R282"/>
      <x:c r="S282"/>
      <x:c r="T282" t="str">
        <x:v>RFQ required · no public supplier-specific quote</x:v>
      </x:c>
      <x:c r="U282"/>
      <x:c r="V282" t="str">
        <x:v>https://www.jfe-steel.co.jp/en/products/energy/octg/material/grade_table.html</x:v>
      </x:c>
      <x:c r="W282" t="str">
        <x:v>Manufacturer-listed</x:v>
      </x:c>
      <x:c r="X282" t="str"/>
      <x:c r="Y282" t="str">
        <x:v>2026-10-10</x:v>
      </x:c>
    </x:row>
    <x:row r="283" ht="22" customHeight="1">
      <x:c r="A283" t="str">
        <x:v>OCTG-0282</x:v>
      </x:c>
      <x:c r="B283" t="str">
        <x:v>JFE Steel</x:v>
      </x:c>
      <x:c r="C283" t="str">
        <x:v>Japan</x:v>
      </x:c>
      <x:c r="D283" t="str">
        <x:v>P110-HC</x:v>
      </x:c>
      <x:c r="E283" t="str">
        <x:v>Proprietary grade</x:v>
      </x:c>
      <x:c r="F283" t="str">
        <x:v>API 5CT-based / manufacturer specification</x:v>
      </x:c>
      <x:c r="G283" t="str">
        <x:v>Carbon / low alloy</x:v>
      </x:c>
      <x:c r="H283" t="str">
        <x:v>High collapse</x:v>
      </x:c>
      <x:c r="I283" t="str">
        <x:v>Casing and tubing (verify sizes)</x:v>
      </x:c>
      <x:c r="J283" t="str">
        <x:v>Not established by grade name</x:v>
      </x:c>
      <x:c r="K283" t="str">
        <x:v>Corrosion control may be needed</x:v>
      </x:c>
      <x:c r="L283" t="str">
        <x:v>Enhanced</x:v>
      </x:c>
      <x:c r="M283" t="n">
        <x:v>110</x:v>
      </x:c>
      <x:c r="N283" t="str"/>
      <x:c r="O283" t="str"/>
      <x:c r="P283" t="str"/>
      <x:c r="Q283" t="str">
        <x:v>A · standard carbon</x:v>
      </x:c>
      <x:c r="R283"/>
      <x:c r="S283"/>
      <x:c r="T283" t="str">
        <x:v>RFQ required · no public supplier-specific quote</x:v>
      </x:c>
      <x:c r="U283"/>
      <x:c r="V283" t="str">
        <x:v>https://www.jfe-steel.co.jp/en/products/energy/octg/material/grade_table.html</x:v>
      </x:c>
      <x:c r="W283" t="str">
        <x:v>Manufacturer-listed</x:v>
      </x:c>
      <x:c r="X283" t="str"/>
      <x:c r="Y283" t="str">
        <x:v>2026-10-10</x:v>
      </x:c>
    </x:row>
    <x:row r="284" ht="22" customHeight="1">
      <x:c r="A284" t="str">
        <x:v>OCTG-0283</x:v>
      </x:c>
      <x:c r="B284" t="str">
        <x:v>JFE Steel</x:v>
      </x:c>
      <x:c r="C284" t="str">
        <x:v>Japan</x:v>
      </x:c>
      <x:c r="D284" t="str">
        <x:v>P110-HCX</x:v>
      </x:c>
      <x:c r="E284" t="str">
        <x:v>Proprietary grade</x:v>
      </x:c>
      <x:c r="F284" t="str">
        <x:v>API 5CT-based / manufacturer specification</x:v>
      </x:c>
      <x:c r="G284" t="str">
        <x:v>Carbon / low alloy</x:v>
      </x:c>
      <x:c r="H284" t="str">
        <x:v>High collapse</x:v>
      </x:c>
      <x:c r="I284" t="str">
        <x:v>Casing and tubing (verify sizes)</x:v>
      </x:c>
      <x:c r="J284" t="str">
        <x:v>Not established by grade name</x:v>
      </x:c>
      <x:c r="K284" t="str">
        <x:v>Corrosion control may be needed</x:v>
      </x:c>
      <x:c r="L284" t="str">
        <x:v>Enhanced</x:v>
      </x:c>
      <x:c r="M284" t="n">
        <x:v>110</x:v>
      </x:c>
      <x:c r="N284" t="str"/>
      <x:c r="O284" t="str"/>
      <x:c r="P284" t="str"/>
      <x:c r="Q284" t="str">
        <x:v>A · standard carbon</x:v>
      </x:c>
      <x:c r="R284"/>
      <x:c r="S284"/>
      <x:c r="T284" t="str">
        <x:v>RFQ required · no public supplier-specific quote</x:v>
      </x:c>
      <x:c r="U284"/>
      <x:c r="V284" t="str">
        <x:v>https://www.jfe-steel.co.jp/en/products/energy/octg/material/grade_table.html</x:v>
      </x:c>
      <x:c r="W284" t="str">
        <x:v>Manufacturer-listed</x:v>
      </x:c>
      <x:c r="X284" t="str"/>
      <x:c r="Y284" t="str">
        <x:v>2026-10-10</x:v>
      </x:c>
    </x:row>
    <x:row r="285" ht="22" customHeight="1">
      <x:c r="A285" t="str">
        <x:v>OCTG-0284</x:v>
      </x:c>
      <x:c r="B285" t="str">
        <x:v>JFE Steel</x:v>
      </x:c>
      <x:c r="C285" t="str">
        <x:v>Japan</x:v>
      </x:c>
      <x:c r="D285" t="str">
        <x:v>P110-MS</x:v>
      </x:c>
      <x:c r="E285" t="str">
        <x:v>Proprietary grade</x:v>
      </x:c>
      <x:c r="F285" t="str">
        <x:v>API 5CT-based / manufacturer specification</x:v>
      </x:c>
      <x:c r="G285" t="str">
        <x:v>Carbon / low alloy</x:v>
      </x:c>
      <x:c r="H285" t="str">
        <x:v>Mild sour</x:v>
      </x:c>
      <x:c r="I285" t="str">
        <x:v>Casing and tubing (verify sizes)</x:v>
      </x:c>
      <x:c r="J285" t="str">
        <x:v>Mild/limited sour: verify domain</x:v>
      </x:c>
      <x:c r="K285" t="str">
        <x:v>Corrosion control may be needed</x:v>
      </x:c>
      <x:c r="L285" t="str">
        <x:v>API / not stated</x:v>
      </x:c>
      <x:c r="M285" t="n">
        <x:v>110</x:v>
      </x:c>
      <x:c r="N285" t="str"/>
      <x:c r="O285" t="str"/>
      <x:c r="P285" t="str"/>
      <x:c r="Q285" t="str">
        <x:v>A · standard carbon</x:v>
      </x:c>
      <x:c r="R285"/>
      <x:c r="S285"/>
      <x:c r="T285" t="str">
        <x:v>RFQ required · no public supplier-specific quote</x:v>
      </x:c>
      <x:c r="U285"/>
      <x:c r="V285" t="str">
        <x:v>https://www.jfe-steel.co.jp/en/products/energy/octg/material/grade_table.html</x:v>
      </x:c>
      <x:c r="W285" t="str">
        <x:v>Manufacturer-listed</x:v>
      </x:c>
      <x:c r="X285" t="str"/>
      <x:c r="Y285" t="str">
        <x:v>2026-10-10</x:v>
      </x:c>
    </x:row>
    <x:row r="286" ht="22" customHeight="1">
      <x:c r="A286" t="str">
        <x:v>OCTG-0285</x:v>
      </x:c>
      <x:c r="B286" t="str">
        <x:v>JFE Steel</x:v>
      </x:c>
      <x:c r="C286" t="str">
        <x:v>Japan</x:v>
      </x:c>
      <x:c r="D286" t="str">
        <x:v>P110E</x:v>
      </x:c>
      <x:c r="E286" t="str">
        <x:v>Proprietary grade</x:v>
      </x:c>
      <x:c r="F286" t="str">
        <x:v>API 5CT-based / manufacturer specification</x:v>
      </x:c>
      <x:c r="G286" t="str">
        <x:v>Carbon / low alloy</x:v>
      </x:c>
      <x:c r="H286" t="str">
        <x:v>Restricted/enhanced yield</x:v>
      </x:c>
      <x:c r="I286" t="str">
        <x:v>Casing and tubing (verify sizes)</x:v>
      </x:c>
      <x:c r="J286" t="str">
        <x:v>Not established by grade name</x:v>
      </x:c>
      <x:c r="K286" t="str">
        <x:v>Corrosion control may be needed</x:v>
      </x:c>
      <x:c r="L286" t="str">
        <x:v>API / not stated</x:v>
      </x:c>
      <x:c r="M286" t="n">
        <x:v>110</x:v>
      </x:c>
      <x:c r="N286" t="str"/>
      <x:c r="O286" t="str"/>
      <x:c r="P286" t="str"/>
      <x:c r="Q286" t="str">
        <x:v>A · standard carbon</x:v>
      </x:c>
      <x:c r="R286"/>
      <x:c r="S286"/>
      <x:c r="T286" t="str">
        <x:v>RFQ required · no public supplier-specific quote</x:v>
      </x:c>
      <x:c r="U286"/>
      <x:c r="V286" t="str">
        <x:v>https://www.jfe-steel.co.jp/en/products/energy/octg/material/grade_table.html</x:v>
      </x:c>
      <x:c r="W286" t="str">
        <x:v>Manufacturer-listed</x:v>
      </x:c>
      <x:c r="X286" t="str"/>
      <x:c r="Y286" t="str">
        <x:v>2026-10-10</x:v>
      </x:c>
    </x:row>
    <x:row r="287" ht="22" customHeight="1">
      <x:c r="A287" t="str">
        <x:v>OCTG-0286</x:v>
      </x:c>
      <x:c r="B287" t="str">
        <x:v>JFE Steel</x:v>
      </x:c>
      <x:c r="C287" t="str">
        <x:v>Japan</x:v>
      </x:c>
      <x:c r="D287" t="str">
        <x:v>Q125-HC</x:v>
      </x:c>
      <x:c r="E287" t="str">
        <x:v>Proprietary grade</x:v>
      </x:c>
      <x:c r="F287" t="str">
        <x:v>API 5CT-based / manufacturer specification</x:v>
      </x:c>
      <x:c r="G287" t="str">
        <x:v>Carbon / low alloy</x:v>
      </x:c>
      <x:c r="H287" t="str">
        <x:v>High collapse</x:v>
      </x:c>
      <x:c r="I287" t="str">
        <x:v>Casing and tubing (verify sizes)</x:v>
      </x:c>
      <x:c r="J287" t="str">
        <x:v>Not established by grade name</x:v>
      </x:c>
      <x:c r="K287" t="str">
        <x:v>Corrosion control may be needed</x:v>
      </x:c>
      <x:c r="L287" t="str">
        <x:v>Enhanced</x:v>
      </x:c>
      <x:c r="M287" t="n">
        <x:v>125</x:v>
      </x:c>
      <x:c r="N287" t="str"/>
      <x:c r="O287" t="str"/>
      <x:c r="P287" t="str"/>
      <x:c r="Q287" t="str">
        <x:v>A · standard carbon</x:v>
      </x:c>
      <x:c r="R287"/>
      <x:c r="S287"/>
      <x:c r="T287" t="str">
        <x:v>RFQ required · no public supplier-specific quote</x:v>
      </x:c>
      <x:c r="U287"/>
      <x:c r="V287" t="str">
        <x:v>https://www.jfe-steel.co.jp/en/products/energy/octg/material/grade_table.html</x:v>
      </x:c>
      <x:c r="W287" t="str">
        <x:v>Manufacturer-listed</x:v>
      </x:c>
      <x:c r="X287" t="str"/>
      <x:c r="Y287" t="str">
        <x:v>2026-10-10</x:v>
      </x:c>
    </x:row>
    <x:row r="288" ht="22" customHeight="1">
      <x:c r="A288" t="str">
        <x:v>OCTG-0287</x:v>
      </x:c>
      <x:c r="B288" t="str">
        <x:v>JFE Steel</x:v>
      </x:c>
      <x:c r="C288" t="str">
        <x:v>Japan</x:v>
      </x:c>
      <x:c r="D288" t="str">
        <x:v>Q125-HCX</x:v>
      </x:c>
      <x:c r="E288" t="str">
        <x:v>Proprietary grade</x:v>
      </x:c>
      <x:c r="F288" t="str">
        <x:v>API 5CT-based / manufacturer specification</x:v>
      </x:c>
      <x:c r="G288" t="str">
        <x:v>Carbon / low alloy</x:v>
      </x:c>
      <x:c r="H288" t="str">
        <x:v>High collapse</x:v>
      </x:c>
      <x:c r="I288" t="str">
        <x:v>Casing and tubing (verify sizes)</x:v>
      </x:c>
      <x:c r="J288" t="str">
        <x:v>Not established by grade name</x:v>
      </x:c>
      <x:c r="K288" t="str">
        <x:v>Corrosion control may be needed</x:v>
      </x:c>
      <x:c r="L288" t="str">
        <x:v>Enhanced</x:v>
      </x:c>
      <x:c r="M288" t="n">
        <x:v>125</x:v>
      </x:c>
      <x:c r="N288" t="str"/>
      <x:c r="O288" t="str"/>
      <x:c r="P288" t="str"/>
      <x:c r="Q288" t="str">
        <x:v>A · standard carbon</x:v>
      </x:c>
      <x:c r="R288"/>
      <x:c r="S288"/>
      <x:c r="T288" t="str">
        <x:v>RFQ required · no public supplier-specific quote</x:v>
      </x:c>
      <x:c r="U288"/>
      <x:c r="V288" t="str">
        <x:v>https://www.jfe-steel.co.jp/en/products/energy/octg/material/grade_table.html</x:v>
      </x:c>
      <x:c r="W288" t="str">
        <x:v>Manufacturer-listed</x:v>
      </x:c>
      <x:c r="X288" t="str"/>
      <x:c r="Y288" t="str">
        <x:v>2026-10-10</x:v>
      </x:c>
    </x:row>
    <x:row r="289" ht="22" customHeight="1">
      <x:c r="A289" t="str">
        <x:v>OCTG-0288</x:v>
      </x:c>
      <x:c r="B289" t="str">
        <x:v>JFE Steel</x:v>
      </x:c>
      <x:c r="C289" t="str">
        <x:v>Japan</x:v>
      </x:c>
      <x:c r="D289" t="str">
        <x:v>T95-HC</x:v>
      </x:c>
      <x:c r="E289" t="str">
        <x:v>Proprietary grade</x:v>
      </x:c>
      <x:c r="F289" t="str">
        <x:v>API 5CT-based / manufacturer specification</x:v>
      </x:c>
      <x:c r="G289" t="str">
        <x:v>Carbon / low alloy</x:v>
      </x:c>
      <x:c r="H289" t="str">
        <x:v>Sour + high collapse</x:v>
      </x:c>
      <x:c r="I289" t="str">
        <x:v>Casing and tubing (verify sizes)</x:v>
      </x:c>
      <x:c r="J289" t="str">
        <x:v>Sour service: manufacturer-defined limits</x:v>
      </x:c>
      <x:c r="K289" t="str">
        <x:v>Corrosion control may be needed</x:v>
      </x:c>
      <x:c r="L289" t="str">
        <x:v>Enhanced</x:v>
      </x:c>
      <x:c r="M289" t="n">
        <x:v>95</x:v>
      </x:c>
      <x:c r="N289" t="str"/>
      <x:c r="O289" t="str"/>
      <x:c r="P289" t="str"/>
      <x:c r="Q289" t="str">
        <x:v>A · standard carbon</x:v>
      </x:c>
      <x:c r="R289"/>
      <x:c r="S289"/>
      <x:c r="T289" t="str">
        <x:v>RFQ required · no public supplier-specific quote</x:v>
      </x:c>
      <x:c r="U289"/>
      <x:c r="V289" t="str">
        <x:v>https://www.jfe-steel.co.jp/en/products/energy/octg/material/grade_table.html</x:v>
      </x:c>
      <x:c r="W289" t="str">
        <x:v>Manufacturer-listed</x:v>
      </x:c>
      <x:c r="X289" t="str"/>
      <x:c r="Y289" t="str">
        <x:v>2026-10-10</x:v>
      </x:c>
    </x:row>
    <x:row r="290" ht="22" customHeight="1">
      <x:c r="A290" t="str">
        <x:v>OCTG-0289</x:v>
      </x:c>
      <x:c r="B290" t="str">
        <x:v>JFE Steel</x:v>
      </x:c>
      <x:c r="C290" t="str">
        <x:v>Japan</x:v>
      </x:c>
      <x:c r="D290" t="str">
        <x:v>T95-HCX</x:v>
      </x:c>
      <x:c r="E290" t="str">
        <x:v>Proprietary grade</x:v>
      </x:c>
      <x:c r="F290" t="str">
        <x:v>API 5CT-based / manufacturer specification</x:v>
      </x:c>
      <x:c r="G290" t="str">
        <x:v>Carbon / low alloy</x:v>
      </x:c>
      <x:c r="H290" t="str">
        <x:v>Sour + high collapse</x:v>
      </x:c>
      <x:c r="I290" t="str">
        <x:v>Casing and tubing (verify sizes)</x:v>
      </x:c>
      <x:c r="J290" t="str">
        <x:v>Sour service: manufacturer-defined limits</x:v>
      </x:c>
      <x:c r="K290" t="str">
        <x:v>Corrosion control may be needed</x:v>
      </x:c>
      <x:c r="L290" t="str">
        <x:v>Enhanced</x:v>
      </x:c>
      <x:c r="M290" t="n">
        <x:v>95</x:v>
      </x:c>
      <x:c r="N290" t="str"/>
      <x:c r="O290" t="str"/>
      <x:c r="P290" t="str"/>
      <x:c r="Q290" t="str">
        <x:v>A · standard carbon</x:v>
      </x:c>
      <x:c r="R290"/>
      <x:c r="S290"/>
      <x:c r="T290" t="str">
        <x:v>RFQ required · no public supplier-specific quote</x:v>
      </x:c>
      <x:c r="U290"/>
      <x:c r="V290" t="str">
        <x:v>https://www.jfe-steel.co.jp/en/products/energy/octg/material/grade_table.html</x:v>
      </x:c>
      <x:c r="W290" t="str">
        <x:v>Manufacturer-listed</x:v>
      </x:c>
      <x:c r="X290" t="str"/>
      <x:c r="Y290" t="str">
        <x:v>2026-10-10</x:v>
      </x:c>
    </x:row>
    <x:row r="291" ht="22" customHeight="1">
      <x:c r="A291" t="str">
        <x:v>OCTG-0290</x:v>
      </x:c>
      <x:c r="B291" t="str">
        <x:v>JFE Steel</x:v>
      </x:c>
      <x:c r="C291" t="str">
        <x:v>Japan</x:v>
      </x:c>
      <x:c r="D291" t="str">
        <x:v>T95E</x:v>
      </x:c>
      <x:c r="E291" t="str">
        <x:v>Proprietary grade</x:v>
      </x:c>
      <x:c r="F291" t="str">
        <x:v>API 5CT-based / manufacturer specification</x:v>
      </x:c>
      <x:c r="G291" t="str">
        <x:v>Carbon / low alloy</x:v>
      </x:c>
      <x:c r="H291" t="str">
        <x:v>Restricted/enhanced yield</x:v>
      </x:c>
      <x:c r="I291" t="str">
        <x:v>Casing and tubing (verify sizes)</x:v>
      </x:c>
      <x:c r="J291" t="str">
        <x:v>Not established by grade name</x:v>
      </x:c>
      <x:c r="K291" t="str">
        <x:v>Corrosion control may be needed</x:v>
      </x:c>
      <x:c r="L291" t="str">
        <x:v>API / not stated</x:v>
      </x:c>
      <x:c r="M291" t="n">
        <x:v>95</x:v>
      </x:c>
      <x:c r="N291" t="str"/>
      <x:c r="O291" t="str"/>
      <x:c r="P291" t="str"/>
      <x:c r="Q291" t="str">
        <x:v>A · standard carbon</x:v>
      </x:c>
      <x:c r="R291"/>
      <x:c r="S291"/>
      <x:c r="T291" t="str">
        <x:v>RFQ required · no public supplier-specific quote</x:v>
      </x:c>
      <x:c r="U291"/>
      <x:c r="V291" t="str">
        <x:v>https://www.jfe-steel.co.jp/en/products/energy/octg/material/grade_table.html</x:v>
      </x:c>
      <x:c r="W291" t="str">
        <x:v>Manufacturer-listed</x:v>
      </x:c>
      <x:c r="X291" t="str"/>
      <x:c r="Y291" t="str">
        <x:v>2026-10-10</x:v>
      </x:c>
    </x:row>
    <x:row r="292" ht="22" customHeight="1">
      <x:c r="A292" t="str">
        <x:v>OCTG-0291</x:v>
      </x:c>
      <x:c r="B292" t="str">
        <x:v>JFE Steel</x:v>
      </x:c>
      <x:c r="C292" t="str">
        <x:v>Japan</x:v>
      </x:c>
      <x:c r="D292" t="str">
        <x:v>JFE-13CR-80</x:v>
      </x:c>
      <x:c r="E292" t="str">
        <x:v>Proprietary grade</x:v>
      </x:c>
      <x:c r="F292" t="str">
        <x:v>API 5CT-based / manufacturer specification</x:v>
      </x:c>
      <x:c r="G292" t="str">
        <x:v>Martensitic 13Cr</x:v>
      </x:c>
      <x:c r="H292" t="str">
        <x:v>Sweet wet CO2</x:v>
      </x:c>
      <x:c r="I292" t="str">
        <x:v>Casing and tubing (verify sizes)</x:v>
      </x:c>
      <x:c r="J292" t="str">
        <x:v>Not established by grade name</x:v>
      </x:c>
      <x:c r="K292" t="str">
        <x:v>Improved (verify temperature / chloride limits)</x:v>
      </x:c>
      <x:c r="L292" t="str">
        <x:v>API / not stated</x:v>
      </x:c>
      <x:c r="M292" t="n">
        <x:v>80</x:v>
      </x:c>
      <x:c r="N292" t="str"/>
      <x:c r="O292" t="str"/>
      <x:c r="P292" t="str"/>
      <x:c r="Q292" t="str">
        <x:v>D · 13Cr stainless</x:v>
      </x:c>
      <x:c r="R292"/>
      <x:c r="S292"/>
      <x:c r="T292" t="str">
        <x:v>RFQ required · no public supplier-specific quote</x:v>
      </x:c>
      <x:c r="U292"/>
      <x:c r="V292" t="str">
        <x:v>https://www.jfe-steel.co.jp/en/products/energy/octg/material/13cr_ms.html</x:v>
      </x:c>
      <x:c r="W292" t="str">
        <x:v>Manufacturer-listed</x:v>
      </x:c>
      <x:c r="X292" t="str"/>
      <x:c r="Y292" t="str">
        <x:v>2026-10-10</x:v>
      </x:c>
    </x:row>
    <x:row r="293" ht="22" customHeight="1">
      <x:c r="A293" t="str">
        <x:v>OCTG-0292</x:v>
      </x:c>
      <x:c r="B293" t="str">
        <x:v>JFE Steel</x:v>
      </x:c>
      <x:c r="C293" t="str">
        <x:v>Japan</x:v>
      </x:c>
      <x:c r="D293" t="str">
        <x:v>JFE-13CR-85</x:v>
      </x:c>
      <x:c r="E293" t="str">
        <x:v>Proprietary grade</x:v>
      </x:c>
      <x:c r="F293" t="str">
        <x:v>API 5CT-based / manufacturer specification</x:v>
      </x:c>
      <x:c r="G293" t="str">
        <x:v>Martensitic 13Cr</x:v>
      </x:c>
      <x:c r="H293" t="str">
        <x:v>Sweet wet CO2</x:v>
      </x:c>
      <x:c r="I293" t="str">
        <x:v>Casing and tubing (verify sizes)</x:v>
      </x:c>
      <x:c r="J293" t="str">
        <x:v>Not established by grade name</x:v>
      </x:c>
      <x:c r="K293" t="str">
        <x:v>Improved (verify temperature / chloride limits)</x:v>
      </x:c>
      <x:c r="L293" t="str">
        <x:v>API / not stated</x:v>
      </x:c>
      <x:c r="M293" t="n">
        <x:v>85</x:v>
      </x:c>
      <x:c r="N293" t="str"/>
      <x:c r="O293" t="str"/>
      <x:c r="P293" t="str"/>
      <x:c r="Q293" t="str">
        <x:v>D · 13Cr stainless</x:v>
      </x:c>
      <x:c r="R293"/>
      <x:c r="S293"/>
      <x:c r="T293" t="str">
        <x:v>RFQ required · no public supplier-specific quote</x:v>
      </x:c>
      <x:c r="U293"/>
      <x:c r="V293" t="str">
        <x:v>https://www.jfe-steel.co.jp/en/products/energy/octg/material/13cr_ms.html</x:v>
      </x:c>
      <x:c r="W293" t="str">
        <x:v>Manufacturer-listed</x:v>
      </x:c>
      <x:c r="X293" t="str"/>
      <x:c r="Y293" t="str">
        <x:v>2026-10-10</x:v>
      </x:c>
    </x:row>
    <x:row r="294" ht="22" customHeight="1">
      <x:c r="A294" t="str">
        <x:v>OCTG-0293</x:v>
      </x:c>
      <x:c r="B294" t="str">
        <x:v>JFE Steel</x:v>
      </x:c>
      <x:c r="C294" t="str">
        <x:v>Japan</x:v>
      </x:c>
      <x:c r="D294" t="str">
        <x:v>JFE-13CR-95</x:v>
      </x:c>
      <x:c r="E294" t="str">
        <x:v>Proprietary grade</x:v>
      </x:c>
      <x:c r="F294" t="str">
        <x:v>API 5CT-based / manufacturer specification</x:v>
      </x:c>
      <x:c r="G294" t="str">
        <x:v>Martensitic 13Cr</x:v>
      </x:c>
      <x:c r="H294" t="str">
        <x:v>Sweet wet CO2</x:v>
      </x:c>
      <x:c r="I294" t="str">
        <x:v>Casing and tubing (verify sizes)</x:v>
      </x:c>
      <x:c r="J294" t="str">
        <x:v>Not established by grade name</x:v>
      </x:c>
      <x:c r="K294" t="str">
        <x:v>Improved (verify temperature / chloride limits)</x:v>
      </x:c>
      <x:c r="L294" t="str">
        <x:v>API / not stated</x:v>
      </x:c>
      <x:c r="M294" t="n">
        <x:v>95</x:v>
      </x:c>
      <x:c r="N294" t="str"/>
      <x:c r="O294" t="str"/>
      <x:c r="P294" t="str"/>
      <x:c r="Q294" t="str">
        <x:v>D · 13Cr stainless</x:v>
      </x:c>
      <x:c r="R294"/>
      <x:c r="S294"/>
      <x:c r="T294" t="str">
        <x:v>RFQ required · no public supplier-specific quote</x:v>
      </x:c>
      <x:c r="U294"/>
      <x:c r="V294" t="str">
        <x:v>https://www.jfe-steel.co.jp/en/products/energy/octg/material/13cr_ms.html</x:v>
      </x:c>
      <x:c r="W294" t="str">
        <x:v>Manufacturer-listed</x:v>
      </x:c>
      <x:c r="X294" t="str"/>
      <x:c r="Y294" t="str">
        <x:v>2026-10-10</x:v>
      </x:c>
    </x:row>
    <x:row r="295" ht="22" customHeight="1">
      <x:c r="A295" t="str">
        <x:v>OCTG-0294</x:v>
      </x:c>
      <x:c r="B295" t="str">
        <x:v>JFE Steel</x:v>
      </x:c>
      <x:c r="C295" t="str">
        <x:v>Japan</x:v>
      </x:c>
      <x:c r="D295" t="str">
        <x:v>JFE-HP1-13CR-110</x:v>
      </x:c>
      <x:c r="E295" t="str">
        <x:v>Proprietary grade</x:v>
      </x:c>
      <x:c r="F295" t="str">
        <x:v>API 5CT-based / manufacturer specification</x:v>
      </x:c>
      <x:c r="G295" t="str">
        <x:v>Modified / super 13Cr</x:v>
      </x:c>
      <x:c r="H295" t="str">
        <x:v>Wet CO2 / mild sour</x:v>
      </x:c>
      <x:c r="I295" t="str">
        <x:v>Casing and tubing (verify sizes)</x:v>
      </x:c>
      <x:c r="J295" t="str">
        <x:v>Mild/limited sour: verify domain</x:v>
      </x:c>
      <x:c r="K295" t="str">
        <x:v>Improved (verify temperature / chloride limits)</x:v>
      </x:c>
      <x:c r="L295" t="str">
        <x:v>API / not stated</x:v>
      </x:c>
      <x:c r="M295" t="n">
        <x:v>110</x:v>
      </x:c>
      <x:c r="N295" t="str"/>
      <x:c r="O295" t="str"/>
      <x:c r="P295" t="str"/>
      <x:c r="Q295" t="str">
        <x:v>E · modified/S13Cr</x:v>
      </x:c>
      <x:c r="R295"/>
      <x:c r="S295"/>
      <x:c r="T295" t="str">
        <x:v>RFQ required · no public supplier-specific quote</x:v>
      </x:c>
      <x:c r="U295"/>
      <x:c r="V295" t="str">
        <x:v>https://www.jfe-steel.co.jp/en/products/energy/octg/material/13cr_ms.html</x:v>
      </x:c>
      <x:c r="W295" t="str">
        <x:v>Manufacturer-listed</x:v>
      </x:c>
      <x:c r="X295" t="str"/>
      <x:c r="Y295" t="str">
        <x:v>2026-10-10</x:v>
      </x:c>
    </x:row>
    <x:row r="296" ht="22" customHeight="1">
      <x:c r="A296" t="str">
        <x:v>OCTG-0295</x:v>
      </x:c>
      <x:c r="B296" t="str">
        <x:v>JFE Steel</x:v>
      </x:c>
      <x:c r="C296" t="str">
        <x:v>Japan</x:v>
      </x:c>
      <x:c r="D296" t="str">
        <x:v>JFE-HP1-13CR-95</x:v>
      </x:c>
      <x:c r="E296" t="str">
        <x:v>Proprietary grade</x:v>
      </x:c>
      <x:c r="F296" t="str">
        <x:v>API 5CT-based / manufacturer specification</x:v>
      </x:c>
      <x:c r="G296" t="str">
        <x:v>Modified / super 13Cr</x:v>
      </x:c>
      <x:c r="H296" t="str">
        <x:v>Wet CO2 / mild sour</x:v>
      </x:c>
      <x:c r="I296" t="str">
        <x:v>Casing and tubing (verify sizes)</x:v>
      </x:c>
      <x:c r="J296" t="str">
        <x:v>Mild/limited sour: verify domain</x:v>
      </x:c>
      <x:c r="K296" t="str">
        <x:v>Improved (verify temperature / chloride limits)</x:v>
      </x:c>
      <x:c r="L296" t="str">
        <x:v>API / not stated</x:v>
      </x:c>
      <x:c r="M296" t="n">
        <x:v>95</x:v>
      </x:c>
      <x:c r="N296" t="str"/>
      <x:c r="O296" t="str"/>
      <x:c r="P296" t="str"/>
      <x:c r="Q296" t="str">
        <x:v>E · modified/S13Cr</x:v>
      </x:c>
      <x:c r="R296"/>
      <x:c r="S296"/>
      <x:c r="T296" t="str">
        <x:v>RFQ required · no public supplier-specific quote</x:v>
      </x:c>
      <x:c r="U296"/>
      <x:c r="V296" t="str">
        <x:v>https://www.jfe-steel.co.jp/en/products/energy/octg/material/13cr_ms.html</x:v>
      </x:c>
      <x:c r="W296" t="str">
        <x:v>Manufacturer-listed</x:v>
      </x:c>
      <x:c r="X296" t="str"/>
      <x:c r="Y296" t="str">
        <x:v>2026-10-10</x:v>
      </x:c>
    </x:row>
    <x:row r="297" ht="22" customHeight="1">
      <x:c r="A297" t="str">
        <x:v>OCTG-0296</x:v>
      </x:c>
      <x:c r="B297" t="str">
        <x:v>JFE Steel</x:v>
      </x:c>
      <x:c r="C297" t="str">
        <x:v>Japan</x:v>
      </x:c>
      <x:c r="D297" t="str">
        <x:v>JFE-HP2-13CR-110CRA</x:v>
      </x:c>
      <x:c r="E297" t="str">
        <x:v>Proprietary grade</x:v>
      </x:c>
      <x:c r="F297" t="str">
        <x:v>API 5CT-based / manufacturer specification</x:v>
      </x:c>
      <x:c r="G297" t="str">
        <x:v>Modified / super 13Cr</x:v>
      </x:c>
      <x:c r="H297" t="str">
        <x:v>Wet CO2 / mild sour</x:v>
      </x:c>
      <x:c r="I297" t="str">
        <x:v>Casing and tubing (verify sizes)</x:v>
      </x:c>
      <x:c r="J297" t="str">
        <x:v>Mild/limited sour: verify domain</x:v>
      </x:c>
      <x:c r="K297" t="str">
        <x:v>Improved (verify temperature / chloride limits)</x:v>
      </x:c>
      <x:c r="L297" t="str">
        <x:v>API / not stated</x:v>
      </x:c>
      <x:c r="M297" t="n">
        <x:v>110</x:v>
      </x:c>
      <x:c r="N297" t="str"/>
      <x:c r="O297" t="str"/>
      <x:c r="P297" t="str"/>
      <x:c r="Q297" t="str">
        <x:v>E · modified/S13Cr</x:v>
      </x:c>
      <x:c r="R297"/>
      <x:c r="S297"/>
      <x:c r="T297" t="str">
        <x:v>RFQ required · no public supplier-specific quote</x:v>
      </x:c>
      <x:c r="U297"/>
      <x:c r="V297" t="str">
        <x:v>https://www.jfe-steel.co.jp/en/products/energy/octg/material/13cr_ms.html</x:v>
      </x:c>
      <x:c r="W297" t="str">
        <x:v>Manufacturer-listed</x:v>
      </x:c>
      <x:c r="X297" t="str"/>
      <x:c r="Y297" t="str">
        <x:v>2026-10-10</x:v>
      </x:c>
    </x:row>
    <x:row r="298" ht="22" customHeight="1">
      <x:c r="A298" t="str">
        <x:v>OCTG-0297</x:v>
      </x:c>
      <x:c r="B298" t="str">
        <x:v>JFE Steel</x:v>
      </x:c>
      <x:c r="C298" t="str">
        <x:v>Japan</x:v>
      </x:c>
      <x:c r="D298" t="str">
        <x:v>JFE-HP2-13CR-110M</x:v>
      </x:c>
      <x:c r="E298" t="str">
        <x:v>Proprietary grade</x:v>
      </x:c>
      <x:c r="F298" t="str">
        <x:v>API 5CT-based / manufacturer specification</x:v>
      </x:c>
      <x:c r="G298" t="str">
        <x:v>Modified / super 13Cr</x:v>
      </x:c>
      <x:c r="H298" t="str">
        <x:v>Wet CO2 / mild sour</x:v>
      </x:c>
      <x:c r="I298" t="str">
        <x:v>Casing and tubing (verify sizes)</x:v>
      </x:c>
      <x:c r="J298" t="str">
        <x:v>Mild/limited sour: verify domain</x:v>
      </x:c>
      <x:c r="K298" t="str">
        <x:v>Improved (verify temperature / chloride limits)</x:v>
      </x:c>
      <x:c r="L298" t="str">
        <x:v>API / not stated</x:v>
      </x:c>
      <x:c r="M298" t="n">
        <x:v>110</x:v>
      </x:c>
      <x:c r="N298" t="str"/>
      <x:c r="O298" t="str"/>
      <x:c r="P298" t="str"/>
      <x:c r="Q298" t="str">
        <x:v>E · modified/S13Cr</x:v>
      </x:c>
      <x:c r="R298"/>
      <x:c r="S298"/>
      <x:c r="T298" t="str">
        <x:v>RFQ required · no public supplier-specific quote</x:v>
      </x:c>
      <x:c r="U298"/>
      <x:c r="V298" t="str">
        <x:v>https://www.jfe-steel.co.jp/en/products/energy/octg/material/13cr_ms.html</x:v>
      </x:c>
      <x:c r="W298" t="str">
        <x:v>Manufacturer-listed</x:v>
      </x:c>
      <x:c r="X298" t="str"/>
      <x:c r="Y298" t="str">
        <x:v>2026-10-10</x:v>
      </x:c>
    </x:row>
    <x:row r="299" ht="22" customHeight="1">
      <x:c r="A299" t="str">
        <x:v>OCTG-0298</x:v>
      </x:c>
      <x:c r="B299" t="str">
        <x:v>JFE Steel</x:v>
      </x:c>
      <x:c r="C299" t="str">
        <x:v>Japan</x:v>
      </x:c>
      <x:c r="D299" t="str">
        <x:v>JFE-HP2-13CR-95CRA</x:v>
      </x:c>
      <x:c r="E299" t="str">
        <x:v>Proprietary grade</x:v>
      </x:c>
      <x:c r="F299" t="str">
        <x:v>API 5CT-based / manufacturer specification</x:v>
      </x:c>
      <x:c r="G299" t="str">
        <x:v>Modified / super 13Cr</x:v>
      </x:c>
      <x:c r="H299" t="str">
        <x:v>Wet CO2 / mild sour</x:v>
      </x:c>
      <x:c r="I299" t="str">
        <x:v>Casing and tubing (verify sizes)</x:v>
      </x:c>
      <x:c r="J299" t="str">
        <x:v>Mild/limited sour: verify domain</x:v>
      </x:c>
      <x:c r="K299" t="str">
        <x:v>Improved (verify temperature / chloride limits)</x:v>
      </x:c>
      <x:c r="L299" t="str">
        <x:v>API / not stated</x:v>
      </x:c>
      <x:c r="M299" t="n">
        <x:v>95</x:v>
      </x:c>
      <x:c r="N299" t="str"/>
      <x:c r="O299" t="str"/>
      <x:c r="P299" t="str"/>
      <x:c r="Q299" t="str">
        <x:v>E · modified/S13Cr</x:v>
      </x:c>
      <x:c r="R299"/>
      <x:c r="S299"/>
      <x:c r="T299" t="str">
        <x:v>RFQ required · no public supplier-specific quote</x:v>
      </x:c>
      <x:c r="U299"/>
      <x:c r="V299" t="str">
        <x:v>https://www.jfe-steel.co.jp/en/products/energy/octg/material/13cr_ms.html</x:v>
      </x:c>
      <x:c r="W299" t="str">
        <x:v>Manufacturer-listed</x:v>
      </x:c>
      <x:c r="X299" t="str"/>
      <x:c r="Y299" t="str">
        <x:v>2026-10-10</x:v>
      </x:c>
    </x:row>
    <x:row r="300" ht="22" customHeight="1">
      <x:c r="A300" t="str">
        <x:v>OCTG-0299</x:v>
      </x:c>
      <x:c r="B300" t="str">
        <x:v>JFE Steel</x:v>
      </x:c>
      <x:c r="C300" t="str">
        <x:v>Japan</x:v>
      </x:c>
      <x:c r="D300" t="str">
        <x:v>JFE-HP2-13CR-95M</x:v>
      </x:c>
      <x:c r="E300" t="str">
        <x:v>Proprietary grade</x:v>
      </x:c>
      <x:c r="F300" t="str">
        <x:v>API 5CT-based / manufacturer specification</x:v>
      </x:c>
      <x:c r="G300" t="str">
        <x:v>Modified / super 13Cr</x:v>
      </x:c>
      <x:c r="H300" t="str">
        <x:v>Wet CO2 / mild sour</x:v>
      </x:c>
      <x:c r="I300" t="str">
        <x:v>Casing and tubing (verify sizes)</x:v>
      </x:c>
      <x:c r="J300" t="str">
        <x:v>Mild/limited sour: verify domain</x:v>
      </x:c>
      <x:c r="K300" t="str">
        <x:v>Improved (verify temperature / chloride limits)</x:v>
      </x:c>
      <x:c r="L300" t="str">
        <x:v>API / not stated</x:v>
      </x:c>
      <x:c r="M300" t="n">
        <x:v>95</x:v>
      </x:c>
      <x:c r="N300" t="str"/>
      <x:c r="O300" t="str"/>
      <x:c r="P300" t="str"/>
      <x:c r="Q300" t="str">
        <x:v>E · modified/S13Cr</x:v>
      </x:c>
      <x:c r="R300"/>
      <x:c r="S300"/>
      <x:c r="T300" t="str">
        <x:v>RFQ required · no public supplier-specific quote</x:v>
      </x:c>
      <x:c r="U300"/>
      <x:c r="V300" t="str">
        <x:v>https://www.jfe-steel.co.jp/en/products/energy/octg/material/13cr_ms.html</x:v>
      </x:c>
      <x:c r="W300" t="str">
        <x:v>Manufacturer-listed</x:v>
      </x:c>
      <x:c r="X300" t="str"/>
      <x:c r="Y300" t="str">
        <x:v>2026-10-10</x:v>
      </x:c>
    </x:row>
    <x:row r="301" ht="22" customHeight="1">
      <x:c r="A301" t="str">
        <x:v>OCTG-0300</x:v>
      </x:c>
      <x:c r="B301" t="str">
        <x:v>JFE Steel</x:v>
      </x:c>
      <x:c r="C301" t="str">
        <x:v>Japan</x:v>
      </x:c>
      <x:c r="D301" t="str">
        <x:v>JFE-UHP-15CR-125</x:v>
      </x:c>
      <x:c r="E301" t="str">
        <x:v>Proprietary grade</x:v>
      </x:c>
      <x:c r="F301" t="str">
        <x:v>API 5CT-based / manufacturer specification</x:v>
      </x:c>
      <x:c r="G301" t="str">
        <x:v>Modified / super 13Cr</x:v>
      </x:c>
      <x:c r="H301" t="str">
        <x:v>HPHT / severe wet CO2 / mild sour</x:v>
      </x:c>
      <x:c r="I301" t="str">
        <x:v>Casing and tubing (verify sizes)</x:v>
      </x:c>
      <x:c r="J301" t="str">
        <x:v>Mild/limited sour: verify domain</x:v>
      </x:c>
      <x:c r="K301" t="str">
        <x:v>Improved (verify temperature / chloride limits)</x:v>
      </x:c>
      <x:c r="L301" t="str">
        <x:v>API / not stated</x:v>
      </x:c>
      <x:c r="M301" t="n">
        <x:v>125</x:v>
      </x:c>
      <x:c r="N301" t="str"/>
      <x:c r="O301" t="str"/>
      <x:c r="P301" t="str"/>
      <x:c r="Q301" t="str">
        <x:v>E · modified/S13Cr</x:v>
      </x:c>
      <x:c r="R301"/>
      <x:c r="S301"/>
      <x:c r="T301" t="str">
        <x:v>RFQ required · no public supplier-specific quote</x:v>
      </x:c>
      <x:c r="U301"/>
      <x:c r="V301" t="str">
        <x:v>https://www.jfe-steel.co.jp/en/products/energy/octg/material/uhp_ht.html</x:v>
      </x:c>
      <x:c r="W301" t="str">
        <x:v>Manufacturer-listed</x:v>
      </x:c>
      <x:c r="X301" t="str">
        <x:v>15Cr UNS S42625; 17Cr UNS S42825; 15Cr 135ksi mentioned as available; treat as manufacturer product, not generic 13Cr</x:v>
      </x:c>
      <x:c r="Y301" t="str">
        <x:v>2026-10-10</x:v>
      </x:c>
    </x:row>
    <x:row r="302" ht="22" customHeight="1">
      <x:c r="A302" t="str">
        <x:v>OCTG-0301</x:v>
      </x:c>
      <x:c r="B302" t="str">
        <x:v>JFE Steel</x:v>
      </x:c>
      <x:c r="C302" t="str">
        <x:v>Japan</x:v>
      </x:c>
      <x:c r="D302" t="str">
        <x:v>JFE-UHP-15CR-135</x:v>
      </x:c>
      <x:c r="E302" t="str">
        <x:v>Proprietary grade</x:v>
      </x:c>
      <x:c r="F302" t="str">
        <x:v>API 5CT-based / manufacturer specification</x:v>
      </x:c>
      <x:c r="G302" t="str">
        <x:v>Modified / super 13Cr</x:v>
      </x:c>
      <x:c r="H302" t="str">
        <x:v>HPHT / severe wet CO2 / mild sour</x:v>
      </x:c>
      <x:c r="I302" t="str">
        <x:v>Casing and tubing (verify sizes)</x:v>
      </x:c>
      <x:c r="J302" t="str">
        <x:v>Mild/limited sour: verify domain</x:v>
      </x:c>
      <x:c r="K302" t="str">
        <x:v>Improved (verify temperature / chloride limits)</x:v>
      </x:c>
      <x:c r="L302" t="str">
        <x:v>API / not stated</x:v>
      </x:c>
      <x:c r="M302" t="n">
        <x:v>135</x:v>
      </x:c>
      <x:c r="N302" t="str"/>
      <x:c r="O302" t="str"/>
      <x:c r="P302" t="str"/>
      <x:c r="Q302" t="str">
        <x:v>E · modified/S13Cr</x:v>
      </x:c>
      <x:c r="R302"/>
      <x:c r="S302"/>
      <x:c r="T302" t="str">
        <x:v>RFQ required · no public supplier-specific quote</x:v>
      </x:c>
      <x:c r="U302"/>
      <x:c r="V302" t="str">
        <x:v>https://www.jfe-steel.co.jp/en/products/energy/octg/material/uhp_ht.html</x:v>
      </x:c>
      <x:c r="W302" t="str">
        <x:v>Manufacturer-listed</x:v>
      </x:c>
      <x:c r="X302" t="str">
        <x:v>15Cr UNS S42625; 17Cr UNS S42825; 15Cr 135ksi mentioned as available; treat as manufacturer product, not generic 13Cr</x:v>
      </x:c>
      <x:c r="Y302" t="str">
        <x:v>2026-10-10</x:v>
      </x:c>
    </x:row>
    <x:row r="303" ht="22" customHeight="1">
      <x:c r="A303" t="str">
        <x:v>OCTG-0302</x:v>
      </x:c>
      <x:c r="B303" t="str">
        <x:v>JFE Steel</x:v>
      </x:c>
      <x:c r="C303" t="str">
        <x:v>Japan</x:v>
      </x:c>
      <x:c r="D303" t="str">
        <x:v>JFE-UHP-17CR-110</x:v>
      </x:c>
      <x:c r="E303" t="str">
        <x:v>Proprietary grade</x:v>
      </x:c>
      <x:c r="F303" t="str">
        <x:v>API 5CT-based / manufacturer specification</x:v>
      </x:c>
      <x:c r="G303" t="str">
        <x:v>Modified / super 13Cr</x:v>
      </x:c>
      <x:c r="H303" t="str">
        <x:v>HPHT / severe wet CO2 / mild sour</x:v>
      </x:c>
      <x:c r="I303" t="str">
        <x:v>Casing and tubing (verify sizes)</x:v>
      </x:c>
      <x:c r="J303" t="str">
        <x:v>Mild/limited sour: verify domain</x:v>
      </x:c>
      <x:c r="K303" t="str">
        <x:v>Improved (verify temperature / chloride limits)</x:v>
      </x:c>
      <x:c r="L303" t="str">
        <x:v>API / not stated</x:v>
      </x:c>
      <x:c r="M303" t="n">
        <x:v>110</x:v>
      </x:c>
      <x:c r="N303" t="str"/>
      <x:c r="O303" t="str"/>
      <x:c r="P303" t="str"/>
      <x:c r="Q303" t="str">
        <x:v>E · modified/S13Cr</x:v>
      </x:c>
      <x:c r="R303"/>
      <x:c r="S303"/>
      <x:c r="T303" t="str">
        <x:v>RFQ required · no public supplier-specific quote</x:v>
      </x:c>
      <x:c r="U303"/>
      <x:c r="V303" t="str">
        <x:v>https://www.jfe-steel.co.jp/en/products/energy/octg/material/uhp_ht.html</x:v>
      </x:c>
      <x:c r="W303" t="str">
        <x:v>Manufacturer-listed</x:v>
      </x:c>
      <x:c r="X303" t="str">
        <x:v>15Cr UNS S42625; 17Cr UNS S42825; 15Cr 135ksi mentioned as available; treat as manufacturer product, not generic 13Cr</x:v>
      </x:c>
      <x:c r="Y303" t="str">
        <x:v>2026-10-10</x:v>
      </x:c>
    </x:row>
    <x:row r="304" ht="22" customHeight="1">
      <x:c r="A304" t="str">
        <x:v>OCTG-0303</x:v>
      </x:c>
      <x:c r="B304" t="str">
        <x:v>voestalpine Tubulars</x:v>
      </x:c>
      <x:c r="C304" t="str">
        <x:v>Austria</x:v>
      </x:c>
      <x:c r="D304" t="str">
        <x:v>VA-D-125</x:v>
      </x:c>
      <x:c r="E304" t="str">
        <x:v>Proprietary grade</x:v>
      </x:c>
      <x:c r="F304" t="str">
        <x:v>API 5CT-based / manufacturer specification</x:v>
      </x:c>
      <x:c r="G304" t="str">
        <x:v>Carbon / low alloy</x:v>
      </x:c>
      <x:c r="H304" t="str">
        <x:v>Deep wells</x:v>
      </x:c>
      <x:c r="I304" t="str">
        <x:v>Casing and tubing (verify sizes)</x:v>
      </x:c>
      <x:c r="J304" t="str">
        <x:v>Not established by grade name</x:v>
      </x:c>
      <x:c r="K304" t="str">
        <x:v>Corrosion control may be needed</x:v>
      </x:c>
      <x:c r="L304" t="str">
        <x:v>API / not stated</x:v>
      </x:c>
      <x:c r="M304" t="n">
        <x:v>125</x:v>
      </x:c>
      <x:c r="N304" t="str"/>
      <x:c r="O304" t="str"/>
      <x:c r="P304" t="str"/>
      <x:c r="Q304" t="str">
        <x:v>A · standard carbon</x:v>
      </x:c>
      <x:c r="R304"/>
      <x:c r="S304"/>
      <x:c r="T304" t="str">
        <x:v>RFQ required · no public supplier-specific quote</x:v>
      </x:c>
      <x:c r="U304"/>
      <x:c r="V304" t="str">
        <x:v>https://www.voestalpine.com/tubulars/en/products/Proprietary-Grades/</x:v>
      </x:c>
      <x:c r="W304" t="str">
        <x:v>Manufacturer-listed</x:v>
      </x:c>
      <x:c r="X304" t="str">
        <x:v>2025 API 5CT nomenclature applies; see voestalpine notice</x:v>
      </x:c>
      <x:c r="Y304" t="str">
        <x:v>2026-10-10</x:v>
      </x:c>
    </x:row>
    <x:row r="305" ht="22" customHeight="1">
      <x:c r="A305" t="str">
        <x:v>OCTG-0304</x:v>
      </x:c>
      <x:c r="B305" t="str">
        <x:v>voestalpine Tubulars</x:v>
      </x:c>
      <x:c r="C305" t="str">
        <x:v>Austria</x:v>
      </x:c>
      <x:c r="D305" t="str">
        <x:v>VA-D-125-HC</x:v>
      </x:c>
      <x:c r="E305" t="str">
        <x:v>Proprietary grade</x:v>
      </x:c>
      <x:c r="F305" t="str">
        <x:v>API 5CT-based / manufacturer specification</x:v>
      </x:c>
      <x:c r="G305" t="str">
        <x:v>Carbon / low alloy</x:v>
      </x:c>
      <x:c r="H305" t="str">
        <x:v>Deep wells</x:v>
      </x:c>
      <x:c r="I305" t="str">
        <x:v>Casing and tubing (verify sizes)</x:v>
      </x:c>
      <x:c r="J305" t="str">
        <x:v>Not established by grade name</x:v>
      </x:c>
      <x:c r="K305" t="str">
        <x:v>Corrosion control may be needed</x:v>
      </x:c>
      <x:c r="L305" t="str">
        <x:v>API / not stated</x:v>
      </x:c>
      <x:c r="M305" t="n">
        <x:v>125</x:v>
      </x:c>
      <x:c r="N305" t="str"/>
      <x:c r="O305" t="str"/>
      <x:c r="P305" t="str"/>
      <x:c r="Q305" t="str">
        <x:v>A · standard carbon</x:v>
      </x:c>
      <x:c r="R305"/>
      <x:c r="S305"/>
      <x:c r="T305" t="str">
        <x:v>RFQ required · no public supplier-specific quote</x:v>
      </x:c>
      <x:c r="U305"/>
      <x:c r="V305" t="str">
        <x:v>https://www.voestalpine.com/tubulars/en/products/Proprietary-Grades/</x:v>
      </x:c>
      <x:c r="W305" t="str">
        <x:v>Manufacturer-listed</x:v>
      </x:c>
      <x:c r="X305" t="str">
        <x:v>2025 API 5CT nomenclature applies; see voestalpine notice</x:v>
      </x:c>
      <x:c r="Y305" t="str">
        <x:v>2026-10-10</x:v>
      </x:c>
    </x:row>
    <x:row r="306" ht="22" customHeight="1">
      <x:c r="A306" t="str">
        <x:v>OCTG-0305</x:v>
      </x:c>
      <x:c r="B306" t="str">
        <x:v>voestalpine Tubulars</x:v>
      </x:c>
      <x:c r="C306" t="str">
        <x:v>Austria</x:v>
      </x:c>
      <x:c r="D306" t="str">
        <x:v>VA-D-140</x:v>
      </x:c>
      <x:c r="E306" t="str">
        <x:v>Proprietary grade</x:v>
      </x:c>
      <x:c r="F306" t="str">
        <x:v>API 5CT-based / manufacturer specification</x:v>
      </x:c>
      <x:c r="G306" t="str">
        <x:v>Carbon / low alloy</x:v>
      </x:c>
      <x:c r="H306" t="str">
        <x:v>Deep wells</x:v>
      </x:c>
      <x:c r="I306" t="str">
        <x:v>Casing and tubing (verify sizes)</x:v>
      </x:c>
      <x:c r="J306" t="str">
        <x:v>Not established by grade name</x:v>
      </x:c>
      <x:c r="K306" t="str">
        <x:v>Corrosion control may be needed</x:v>
      </x:c>
      <x:c r="L306" t="str">
        <x:v>API / not stated</x:v>
      </x:c>
      <x:c r="M306" t="n">
        <x:v>140</x:v>
      </x:c>
      <x:c r="N306" t="str"/>
      <x:c r="O306" t="str"/>
      <x:c r="P306" t="str"/>
      <x:c r="Q306" t="str">
        <x:v>A · standard carbon</x:v>
      </x:c>
      <x:c r="R306"/>
      <x:c r="S306"/>
      <x:c r="T306" t="str">
        <x:v>RFQ required · no public supplier-specific quote</x:v>
      </x:c>
      <x:c r="U306"/>
      <x:c r="V306" t="str">
        <x:v>https://www.voestalpine.com/tubulars/en/products/Proprietary-Grades/</x:v>
      </x:c>
      <x:c r="W306" t="str">
        <x:v>Manufacturer-listed</x:v>
      </x:c>
      <x:c r="X306" t="str">
        <x:v>2025 API 5CT nomenclature applies; see voestalpine notice</x:v>
      </x:c>
      <x:c r="Y306" t="str">
        <x:v>2026-10-10</x:v>
      </x:c>
    </x:row>
    <x:row r="307" ht="22" customHeight="1">
      <x:c r="A307" t="str">
        <x:v>OCTG-0306</x:v>
      </x:c>
      <x:c r="B307" t="str">
        <x:v>voestalpine Tubulars</x:v>
      </x:c>
      <x:c r="C307" t="str">
        <x:v>Austria</x:v>
      </x:c>
      <x:c r="D307" t="str">
        <x:v>VA-D-140-HC</x:v>
      </x:c>
      <x:c r="E307" t="str">
        <x:v>Proprietary grade</x:v>
      </x:c>
      <x:c r="F307" t="str">
        <x:v>API 5CT-based / manufacturer specification</x:v>
      </x:c>
      <x:c r="G307" t="str">
        <x:v>Carbon / low alloy</x:v>
      </x:c>
      <x:c r="H307" t="str">
        <x:v>Deep wells</x:v>
      </x:c>
      <x:c r="I307" t="str">
        <x:v>Casing and tubing (verify sizes)</x:v>
      </x:c>
      <x:c r="J307" t="str">
        <x:v>Not established by grade name</x:v>
      </x:c>
      <x:c r="K307" t="str">
        <x:v>Corrosion control may be needed</x:v>
      </x:c>
      <x:c r="L307" t="str">
        <x:v>API / not stated</x:v>
      </x:c>
      <x:c r="M307" t="n">
        <x:v>140</x:v>
      </x:c>
      <x:c r="N307" t="str"/>
      <x:c r="O307" t="str"/>
      <x:c r="P307" t="str"/>
      <x:c r="Q307" t="str">
        <x:v>A · standard carbon</x:v>
      </x:c>
      <x:c r="R307"/>
      <x:c r="S307"/>
      <x:c r="T307" t="str">
        <x:v>RFQ required · no public supplier-specific quote</x:v>
      </x:c>
      <x:c r="U307"/>
      <x:c r="V307" t="str">
        <x:v>https://www.voestalpine.com/tubulars/en/products/Proprietary-Grades/</x:v>
      </x:c>
      <x:c r="W307" t="str">
        <x:v>Manufacturer-listed</x:v>
      </x:c>
      <x:c r="X307" t="str">
        <x:v>2025 API 5CT nomenclature applies; see voestalpine notice</x:v>
      </x:c>
      <x:c r="Y307" t="str">
        <x:v>2026-10-10</x:v>
      </x:c>
    </x:row>
    <x:row r="308" ht="22" customHeight="1">
      <x:c r="A308" t="str">
        <x:v>OCTG-0307</x:v>
      </x:c>
      <x:c r="B308" t="str">
        <x:v>voestalpine Tubulars</x:v>
      </x:c>
      <x:c r="C308" t="str">
        <x:v>Austria</x:v>
      </x:c>
      <x:c r="D308" t="str">
        <x:v>VA-D-150</x:v>
      </x:c>
      <x:c r="E308" t="str">
        <x:v>Proprietary grade</x:v>
      </x:c>
      <x:c r="F308" t="str">
        <x:v>API 5CT-based / manufacturer specification</x:v>
      </x:c>
      <x:c r="G308" t="str">
        <x:v>Carbon / low alloy</x:v>
      </x:c>
      <x:c r="H308" t="str">
        <x:v>Deep wells</x:v>
      </x:c>
      <x:c r="I308" t="str">
        <x:v>Casing and tubing (verify sizes)</x:v>
      </x:c>
      <x:c r="J308" t="str">
        <x:v>Not established by grade name</x:v>
      </x:c>
      <x:c r="K308" t="str">
        <x:v>Corrosion control may be needed</x:v>
      </x:c>
      <x:c r="L308" t="str">
        <x:v>API / not stated</x:v>
      </x:c>
      <x:c r="M308" t="n">
        <x:v>150</x:v>
      </x:c>
      <x:c r="N308" t="str"/>
      <x:c r="O308" t="str"/>
      <x:c r="P308" t="str"/>
      <x:c r="Q308" t="str">
        <x:v>A · standard carbon</x:v>
      </x:c>
      <x:c r="R308"/>
      <x:c r="S308"/>
      <x:c r="T308" t="str">
        <x:v>RFQ required · no public supplier-specific quote</x:v>
      </x:c>
      <x:c r="U308"/>
      <x:c r="V308" t="str">
        <x:v>https://www.voestalpine.com/tubulars/en/products/Proprietary-Grades/</x:v>
      </x:c>
      <x:c r="W308" t="str">
        <x:v>Manufacturer-listed</x:v>
      </x:c>
      <x:c r="X308" t="str">
        <x:v>2025 API 5CT nomenclature applies; see voestalpine notice</x:v>
      </x:c>
      <x:c r="Y308" t="str">
        <x:v>2026-10-10</x:v>
      </x:c>
    </x:row>
    <x:row r="309" ht="22" customHeight="1">
      <x:c r="A309" t="str">
        <x:v>OCTG-0308</x:v>
      </x:c>
      <x:c r="B309" t="str">
        <x:v>voestalpine Tubulars</x:v>
      </x:c>
      <x:c r="C309" t="str">
        <x:v>Austria</x:v>
      </x:c>
      <x:c r="D309" t="str">
        <x:v>VA-D-150-HC</x:v>
      </x:c>
      <x:c r="E309" t="str">
        <x:v>Proprietary grade</x:v>
      </x:c>
      <x:c r="F309" t="str">
        <x:v>API 5CT-based / manufacturer specification</x:v>
      </x:c>
      <x:c r="G309" t="str">
        <x:v>Carbon / low alloy</x:v>
      </x:c>
      <x:c r="H309" t="str">
        <x:v>Deep wells</x:v>
      </x:c>
      <x:c r="I309" t="str">
        <x:v>Casing and tubing (verify sizes)</x:v>
      </x:c>
      <x:c r="J309" t="str">
        <x:v>Not established by grade name</x:v>
      </x:c>
      <x:c r="K309" t="str">
        <x:v>Corrosion control may be needed</x:v>
      </x:c>
      <x:c r="L309" t="str">
        <x:v>API / not stated</x:v>
      </x:c>
      <x:c r="M309" t="n">
        <x:v>150</x:v>
      </x:c>
      <x:c r="N309" t="str"/>
      <x:c r="O309" t="str"/>
      <x:c r="P309" t="str"/>
      <x:c r="Q309" t="str">
        <x:v>A · standard carbon</x:v>
      </x:c>
      <x:c r="R309"/>
      <x:c r="S309"/>
      <x:c r="T309" t="str">
        <x:v>RFQ required · no public supplier-specific quote</x:v>
      </x:c>
      <x:c r="U309"/>
      <x:c r="V309" t="str">
        <x:v>https://www.voestalpine.com/tubulars/en/products/Proprietary-Grades/</x:v>
      </x:c>
      <x:c r="W309" t="str">
        <x:v>Manufacturer-listed</x:v>
      </x:c>
      <x:c r="X309" t="str">
        <x:v>2025 API 5CT nomenclature applies; see voestalpine notice</x:v>
      </x:c>
      <x:c r="Y309" t="str">
        <x:v>2026-10-10</x:v>
      </x:c>
    </x:row>
    <x:row r="310" ht="22" customHeight="1">
      <x:c r="A310" t="str">
        <x:v>OCTG-0309</x:v>
      </x:c>
      <x:c r="B310" t="str">
        <x:v>voestalpine Tubulars</x:v>
      </x:c>
      <x:c r="C310" t="str">
        <x:v>Austria</x:v>
      </x:c>
      <x:c r="D310" t="str">
        <x:v>VA-EP-C110</x:v>
      </x:c>
      <x:c r="E310" t="str">
        <x:v>Proprietary grade</x:v>
      </x:c>
      <x:c r="F310" t="str">
        <x:v>API 5CT-based / manufacturer specification</x:v>
      </x:c>
      <x:c r="G310" t="str">
        <x:v>Carbon / low alloy</x:v>
      </x:c>
      <x:c r="H310" t="str">
        <x:v>Enhanced properties</x:v>
      </x:c>
      <x:c r="I310" t="str">
        <x:v>Casing and tubing (verify sizes)</x:v>
      </x:c>
      <x:c r="J310" t="str">
        <x:v>Not established by grade name</x:v>
      </x:c>
      <x:c r="K310" t="str">
        <x:v>Corrosion control may be needed</x:v>
      </x:c>
      <x:c r="L310" t="str">
        <x:v>API / not stated</x:v>
      </x:c>
      <x:c r="M310" t="n">
        <x:v>110</x:v>
      </x:c>
      <x:c r="N310" t="str"/>
      <x:c r="O310" t="str"/>
      <x:c r="P310" t="str"/>
      <x:c r="Q310" t="str">
        <x:v>A · standard carbon</x:v>
      </x:c>
      <x:c r="R310"/>
      <x:c r="S310"/>
      <x:c r="T310" t="str">
        <x:v>RFQ required · no public supplier-specific quote</x:v>
      </x:c>
      <x:c r="U310"/>
      <x:c r="V310" t="str">
        <x:v>https://www.voestalpine.com/tubulars/en/products/Proprietary-Grades/</x:v>
      </x:c>
      <x:c r="W310" t="str">
        <x:v>Manufacturer-listed</x:v>
      </x:c>
      <x:c r="X310" t="str">
        <x:v>2025 API 5CT nomenclature applies; see voestalpine notice</x:v>
      </x:c>
      <x:c r="Y310" t="str">
        <x:v>2026-10-10</x:v>
      </x:c>
    </x:row>
    <x:row r="311" ht="22" customHeight="1">
      <x:c r="A311" t="str">
        <x:v>OCTG-0310</x:v>
      </x:c>
      <x:c r="B311" t="str">
        <x:v>voestalpine Tubulars</x:v>
      </x:c>
      <x:c r="C311" t="str">
        <x:v>Austria</x:v>
      </x:c>
      <x:c r="D311" t="str">
        <x:v>VA-EP-C90</x:v>
      </x:c>
      <x:c r="E311" t="str">
        <x:v>Proprietary grade</x:v>
      </x:c>
      <x:c r="F311" t="str">
        <x:v>API 5CT-based / manufacturer specification</x:v>
      </x:c>
      <x:c r="G311" t="str">
        <x:v>Carbon / low alloy</x:v>
      </x:c>
      <x:c r="H311" t="str">
        <x:v>Enhanced properties</x:v>
      </x:c>
      <x:c r="I311" t="str">
        <x:v>Casing and tubing (verify sizes)</x:v>
      </x:c>
      <x:c r="J311" t="str">
        <x:v>Not established by grade name</x:v>
      </x:c>
      <x:c r="K311" t="str">
        <x:v>Corrosion control may be needed</x:v>
      </x:c>
      <x:c r="L311" t="str">
        <x:v>API / not stated</x:v>
      </x:c>
      <x:c r="M311" t="n">
        <x:v>90</x:v>
      </x:c>
      <x:c r="N311" t="str"/>
      <x:c r="O311" t="str"/>
      <x:c r="P311" t="str"/>
      <x:c r="Q311" t="str">
        <x:v>A · standard carbon</x:v>
      </x:c>
      <x:c r="R311"/>
      <x:c r="S311"/>
      <x:c r="T311" t="str">
        <x:v>RFQ required · no public supplier-specific quote</x:v>
      </x:c>
      <x:c r="U311"/>
      <x:c r="V311" t="str">
        <x:v>https://www.voestalpine.com/tubulars/en/products/Proprietary-Grades/</x:v>
      </x:c>
      <x:c r="W311" t="str">
        <x:v>Manufacturer-listed</x:v>
      </x:c>
      <x:c r="X311" t="str">
        <x:v>2025 API 5CT nomenclature applies; see voestalpine notice</x:v>
      </x:c>
      <x:c r="Y311" t="str">
        <x:v>2026-10-10</x:v>
      </x:c>
    </x:row>
    <x:row r="312" ht="22" customHeight="1">
      <x:c r="A312" t="str">
        <x:v>OCTG-0311</x:v>
      </x:c>
      <x:c r="B312" t="str">
        <x:v>voestalpine Tubulars</x:v>
      </x:c>
      <x:c r="C312" t="str">
        <x:v>Austria</x:v>
      </x:c>
      <x:c r="D312" t="str">
        <x:v>VA-EP-L80-1</x:v>
      </x:c>
      <x:c r="E312" t="str">
        <x:v>Proprietary grade</x:v>
      </x:c>
      <x:c r="F312" t="str">
        <x:v>API 5CT-based / manufacturer specification</x:v>
      </x:c>
      <x:c r="G312" t="str">
        <x:v>Carbon / low alloy</x:v>
      </x:c>
      <x:c r="H312" t="str">
        <x:v>Enhanced properties</x:v>
      </x:c>
      <x:c r="I312" t="str">
        <x:v>Casing and tubing (verify sizes)</x:v>
      </x:c>
      <x:c r="J312" t="str">
        <x:v>Not established by grade name</x:v>
      </x:c>
      <x:c r="K312" t="str">
        <x:v>Corrosion control may be needed</x:v>
      </x:c>
      <x:c r="L312" t="str">
        <x:v>API / not stated</x:v>
      </x:c>
      <x:c r="M312" t="n">
        <x:v>80</x:v>
      </x:c>
      <x:c r="N312" t="str"/>
      <x:c r="O312" t="str"/>
      <x:c r="P312" t="str"/>
      <x:c r="Q312" t="str">
        <x:v>A · standard carbon</x:v>
      </x:c>
      <x:c r="R312"/>
      <x:c r="S312"/>
      <x:c r="T312" t="str">
        <x:v>RFQ required · no public supplier-specific quote</x:v>
      </x:c>
      <x:c r="U312"/>
      <x:c r="V312" t="str">
        <x:v>https://www.voestalpine.com/tubulars/en/products/Proprietary-Grades/</x:v>
      </x:c>
      <x:c r="W312" t="str">
        <x:v>Manufacturer-listed</x:v>
      </x:c>
      <x:c r="X312" t="str">
        <x:v>2025 API 5CT nomenclature applies; see voestalpine notice</x:v>
      </x:c>
      <x:c r="Y312" t="str">
        <x:v>2026-10-10</x:v>
      </x:c>
    </x:row>
    <x:row r="313" ht="22" customHeight="1">
      <x:c r="A313" t="str">
        <x:v>OCTG-0312</x:v>
      </x:c>
      <x:c r="B313" t="str">
        <x:v>voestalpine Tubulars</x:v>
      </x:c>
      <x:c r="C313" t="str">
        <x:v>Austria</x:v>
      </x:c>
      <x:c r="D313" t="str">
        <x:v>VA-EP-N80-Q</x:v>
      </x:c>
      <x:c r="E313" t="str">
        <x:v>Proprietary grade</x:v>
      </x:c>
      <x:c r="F313" t="str">
        <x:v>API 5CT-based / manufacturer specification</x:v>
      </x:c>
      <x:c r="G313" t="str">
        <x:v>Carbon / low alloy</x:v>
      </x:c>
      <x:c r="H313" t="str">
        <x:v>Enhanced properties</x:v>
      </x:c>
      <x:c r="I313" t="str">
        <x:v>Casing and tubing (verify sizes)</x:v>
      </x:c>
      <x:c r="J313" t="str">
        <x:v>Not established by grade name</x:v>
      </x:c>
      <x:c r="K313" t="str">
        <x:v>Corrosion control may be needed</x:v>
      </x:c>
      <x:c r="L313" t="str">
        <x:v>API / not stated</x:v>
      </x:c>
      <x:c r="M313" t="n">
        <x:v>80</x:v>
      </x:c>
      <x:c r="N313" t="str"/>
      <x:c r="O313" t="str"/>
      <x:c r="P313" t="str"/>
      <x:c r="Q313" t="str">
        <x:v>A · standard carbon</x:v>
      </x:c>
      <x:c r="R313"/>
      <x:c r="S313"/>
      <x:c r="T313" t="str">
        <x:v>RFQ required · no public supplier-specific quote</x:v>
      </x:c>
      <x:c r="U313"/>
      <x:c r="V313" t="str">
        <x:v>https://www.voestalpine.com/tubulars/en/products/Proprietary-Grades/</x:v>
      </x:c>
      <x:c r="W313" t="str">
        <x:v>Manufacturer-listed</x:v>
      </x:c>
      <x:c r="X313" t="str">
        <x:v>2025 API 5CT nomenclature applies; see voestalpine notice</x:v>
      </x:c>
      <x:c r="Y313" t="str">
        <x:v>2026-10-10</x:v>
      </x:c>
    </x:row>
    <x:row r="314" ht="22" customHeight="1">
      <x:c r="A314" t="str">
        <x:v>OCTG-0313</x:v>
      </x:c>
      <x:c r="B314" t="str">
        <x:v>voestalpine Tubulars</x:v>
      </x:c>
      <x:c r="C314" t="str">
        <x:v>Austria</x:v>
      </x:c>
      <x:c r="D314" t="str">
        <x:v>VA-EP-P110</x:v>
      </x:c>
      <x:c r="E314" t="str">
        <x:v>Proprietary grade</x:v>
      </x:c>
      <x:c r="F314" t="str">
        <x:v>API 5CT-based / manufacturer specification</x:v>
      </x:c>
      <x:c r="G314" t="str">
        <x:v>Carbon / low alloy</x:v>
      </x:c>
      <x:c r="H314" t="str">
        <x:v>Enhanced properties</x:v>
      </x:c>
      <x:c r="I314" t="str">
        <x:v>Casing and tubing (verify sizes)</x:v>
      </x:c>
      <x:c r="J314" t="str">
        <x:v>Not established by grade name</x:v>
      </x:c>
      <x:c r="K314" t="str">
        <x:v>Corrosion control may be needed</x:v>
      </x:c>
      <x:c r="L314" t="str">
        <x:v>API / not stated</x:v>
      </x:c>
      <x:c r="M314" t="n">
        <x:v>110</x:v>
      </x:c>
      <x:c r="N314" t="str"/>
      <x:c r="O314" t="str"/>
      <x:c r="P314" t="str"/>
      <x:c r="Q314" t="str">
        <x:v>A · standard carbon</x:v>
      </x:c>
      <x:c r="R314"/>
      <x:c r="S314"/>
      <x:c r="T314" t="str">
        <x:v>RFQ required · no public supplier-specific quote</x:v>
      </x:c>
      <x:c r="U314"/>
      <x:c r="V314" t="str">
        <x:v>https://www.voestalpine.com/tubulars/en/products/Proprietary-Grades/</x:v>
      </x:c>
      <x:c r="W314" t="str">
        <x:v>Manufacturer-listed</x:v>
      </x:c>
      <x:c r="X314" t="str">
        <x:v>2025 API 5CT nomenclature applies; see voestalpine notice</x:v>
      </x:c>
      <x:c r="Y314" t="str">
        <x:v>2026-10-10</x:v>
      </x:c>
    </x:row>
    <x:row r="315" ht="22" customHeight="1">
      <x:c r="A315" t="str">
        <x:v>OCTG-0314</x:v>
      </x:c>
      <x:c r="B315" t="str">
        <x:v>voestalpine Tubulars</x:v>
      </x:c>
      <x:c r="C315" t="str">
        <x:v>Austria</x:v>
      </x:c>
      <x:c r="D315" t="str">
        <x:v>VA-EP-Q125</x:v>
      </x:c>
      <x:c r="E315" t="str">
        <x:v>Proprietary grade</x:v>
      </x:c>
      <x:c r="F315" t="str">
        <x:v>API 5CT-based / manufacturer specification</x:v>
      </x:c>
      <x:c r="G315" t="str">
        <x:v>Carbon / low alloy</x:v>
      </x:c>
      <x:c r="H315" t="str">
        <x:v>Enhanced properties</x:v>
      </x:c>
      <x:c r="I315" t="str">
        <x:v>Casing and tubing (verify sizes)</x:v>
      </x:c>
      <x:c r="J315" t="str">
        <x:v>Not established by grade name</x:v>
      </x:c>
      <x:c r="K315" t="str">
        <x:v>Corrosion control may be needed</x:v>
      </x:c>
      <x:c r="L315" t="str">
        <x:v>API / not stated</x:v>
      </x:c>
      <x:c r="M315" t="n">
        <x:v>125</x:v>
      </x:c>
      <x:c r="N315" t="str"/>
      <x:c r="O315" t="str"/>
      <x:c r="P315" t="str"/>
      <x:c r="Q315" t="str">
        <x:v>A · standard carbon</x:v>
      </x:c>
      <x:c r="R315"/>
      <x:c r="S315"/>
      <x:c r="T315" t="str">
        <x:v>RFQ required · no public supplier-specific quote</x:v>
      </x:c>
      <x:c r="U315"/>
      <x:c r="V315" t="str">
        <x:v>https://www.voestalpine.com/tubulars/en/products/Proprietary-Grades/</x:v>
      </x:c>
      <x:c r="W315" t="str">
        <x:v>Manufacturer-listed</x:v>
      </x:c>
      <x:c r="X315" t="str">
        <x:v>2025 API 5CT nomenclature applies; see voestalpine notice</x:v>
      </x:c>
      <x:c r="Y315" t="str">
        <x:v>2026-10-10</x:v>
      </x:c>
    </x:row>
    <x:row r="316" ht="22" customHeight="1">
      <x:c r="A316" t="str">
        <x:v>OCTG-0315</x:v>
      </x:c>
      <x:c r="B316" t="str">
        <x:v>voestalpine Tubulars</x:v>
      </x:c>
      <x:c r="C316" t="str">
        <x:v>Austria</x:v>
      </x:c>
      <x:c r="D316" t="str">
        <x:v>VA-EP-R95</x:v>
      </x:c>
      <x:c r="E316" t="str">
        <x:v>Proprietary grade</x:v>
      </x:c>
      <x:c r="F316" t="str">
        <x:v>API 5CT-based / manufacturer specification</x:v>
      </x:c>
      <x:c r="G316" t="str">
        <x:v>Carbon / low alloy</x:v>
      </x:c>
      <x:c r="H316" t="str">
        <x:v>Enhanced properties</x:v>
      </x:c>
      <x:c r="I316" t="str">
        <x:v>Casing and tubing (verify sizes)</x:v>
      </x:c>
      <x:c r="J316" t="str">
        <x:v>Not established by grade name</x:v>
      </x:c>
      <x:c r="K316" t="str">
        <x:v>Corrosion control may be needed</x:v>
      </x:c>
      <x:c r="L316" t="str">
        <x:v>API / not stated</x:v>
      </x:c>
      <x:c r="M316" t="n">
        <x:v>95</x:v>
      </x:c>
      <x:c r="N316" t="str"/>
      <x:c r="O316" t="str"/>
      <x:c r="P316" t="str"/>
      <x:c r="Q316" t="str">
        <x:v>A · standard carbon</x:v>
      </x:c>
      <x:c r="R316"/>
      <x:c r="S316"/>
      <x:c r="T316" t="str">
        <x:v>RFQ required · no public supplier-specific quote</x:v>
      </x:c>
      <x:c r="U316"/>
      <x:c r="V316" t="str">
        <x:v>https://www.voestalpine.com/tubulars/en/products/Proprietary-Grades/</x:v>
      </x:c>
      <x:c r="W316" t="str">
        <x:v>Manufacturer-listed</x:v>
      </x:c>
      <x:c r="X316" t="str">
        <x:v>2025 API 5CT nomenclature applies; see voestalpine notice</x:v>
      </x:c>
      <x:c r="Y316" t="str">
        <x:v>2026-10-10</x:v>
      </x:c>
    </x:row>
    <x:row r="317" ht="22" customHeight="1">
      <x:c r="A317" t="str">
        <x:v>OCTG-0316</x:v>
      </x:c>
      <x:c r="B317" t="str">
        <x:v>voestalpine Tubulars</x:v>
      </x:c>
      <x:c r="C317" t="str">
        <x:v>Austria</x:v>
      </x:c>
      <x:c r="D317" t="str">
        <x:v>VA-EP-T95</x:v>
      </x:c>
      <x:c r="E317" t="str">
        <x:v>Proprietary grade</x:v>
      </x:c>
      <x:c r="F317" t="str">
        <x:v>API 5CT-based / manufacturer specification</x:v>
      </x:c>
      <x:c r="G317" t="str">
        <x:v>Carbon / low alloy</x:v>
      </x:c>
      <x:c r="H317" t="str">
        <x:v>Enhanced properties</x:v>
      </x:c>
      <x:c r="I317" t="str">
        <x:v>Casing and tubing (verify sizes)</x:v>
      </x:c>
      <x:c r="J317" t="str">
        <x:v>Not established by grade name</x:v>
      </x:c>
      <x:c r="K317" t="str">
        <x:v>Corrosion control may be needed</x:v>
      </x:c>
      <x:c r="L317" t="str">
        <x:v>API / not stated</x:v>
      </x:c>
      <x:c r="M317" t="n">
        <x:v>95</x:v>
      </x:c>
      <x:c r="N317" t="str"/>
      <x:c r="O317" t="str"/>
      <x:c r="P317" t="str"/>
      <x:c r="Q317" t="str">
        <x:v>A · standard carbon</x:v>
      </x:c>
      <x:c r="R317"/>
      <x:c r="S317"/>
      <x:c r="T317" t="str">
        <x:v>RFQ required · no public supplier-specific quote</x:v>
      </x:c>
      <x:c r="U317"/>
      <x:c r="V317" t="str">
        <x:v>https://www.voestalpine.com/tubulars/en/products/Proprietary-Grades/</x:v>
      </x:c>
      <x:c r="W317" t="str">
        <x:v>Manufacturer-listed</x:v>
      </x:c>
      <x:c r="X317" t="str">
        <x:v>2025 API 5CT nomenclature applies; see voestalpine notice</x:v>
      </x:c>
      <x:c r="Y317" t="str">
        <x:v>2026-10-10</x:v>
      </x:c>
    </x:row>
    <x:row r="318" ht="22" customHeight="1">
      <x:c r="A318" t="str">
        <x:v>OCTG-0317</x:v>
      </x:c>
      <x:c r="B318" t="str">
        <x:v>voestalpine Tubulars</x:v>
      </x:c>
      <x:c r="C318" t="str">
        <x:v>Austria</x:v>
      </x:c>
      <x:c r="D318" t="str">
        <x:v>VA-HC-C110</x:v>
      </x:c>
      <x:c r="E318" t="str">
        <x:v>Proprietary grade</x:v>
      </x:c>
      <x:c r="F318" t="str">
        <x:v>API 5CT-based / manufacturer specification</x:v>
      </x:c>
      <x:c r="G318" t="str">
        <x:v>Carbon / low alloy</x:v>
      </x:c>
      <x:c r="H318" t="str">
        <x:v>High collapse</x:v>
      </x:c>
      <x:c r="I318" t="str">
        <x:v>Casing and tubing (verify sizes)</x:v>
      </x:c>
      <x:c r="J318" t="str">
        <x:v>Not established by grade name</x:v>
      </x:c>
      <x:c r="K318" t="str">
        <x:v>Corrosion control may be needed</x:v>
      </x:c>
      <x:c r="L318" t="str">
        <x:v>Enhanced</x:v>
      </x:c>
      <x:c r="M318" t="n">
        <x:v>110</x:v>
      </x:c>
      <x:c r="N318" t="str"/>
      <x:c r="O318" t="str"/>
      <x:c r="P318" t="str"/>
      <x:c r="Q318" t="str">
        <x:v>A · standard carbon</x:v>
      </x:c>
      <x:c r="R318"/>
      <x:c r="S318"/>
      <x:c r="T318" t="str">
        <x:v>RFQ required · no public supplier-specific quote</x:v>
      </x:c>
      <x:c r="U318"/>
      <x:c r="V318" t="str">
        <x:v>https://www.voestalpine.com/tubulars/en/products/Proprietary-Grades/</x:v>
      </x:c>
      <x:c r="W318" t="str">
        <x:v>Manufacturer-listed</x:v>
      </x:c>
      <x:c r="X318" t="str">
        <x:v>2025 API 5CT nomenclature applies; see voestalpine notice</x:v>
      </x:c>
      <x:c r="Y318" t="str">
        <x:v>2026-10-10</x:v>
      </x:c>
    </x:row>
    <x:row r="319" ht="22" customHeight="1">
      <x:c r="A319" t="str">
        <x:v>OCTG-0318</x:v>
      </x:c>
      <x:c r="B319" t="str">
        <x:v>voestalpine Tubulars</x:v>
      </x:c>
      <x:c r="C319" t="str">
        <x:v>Austria</x:v>
      </x:c>
      <x:c r="D319" t="str">
        <x:v>VA-HC-C90</x:v>
      </x:c>
      <x:c r="E319" t="str">
        <x:v>Proprietary grade</x:v>
      </x:c>
      <x:c r="F319" t="str">
        <x:v>API 5CT-based / manufacturer specification</x:v>
      </x:c>
      <x:c r="G319" t="str">
        <x:v>Carbon / low alloy</x:v>
      </x:c>
      <x:c r="H319" t="str">
        <x:v>High collapse</x:v>
      </x:c>
      <x:c r="I319" t="str">
        <x:v>Casing and tubing (verify sizes)</x:v>
      </x:c>
      <x:c r="J319" t="str">
        <x:v>Not established by grade name</x:v>
      </x:c>
      <x:c r="K319" t="str">
        <x:v>Corrosion control may be needed</x:v>
      </x:c>
      <x:c r="L319" t="str">
        <x:v>Enhanced</x:v>
      </x:c>
      <x:c r="M319" t="n">
        <x:v>90</x:v>
      </x:c>
      <x:c r="N319" t="str"/>
      <x:c r="O319" t="str"/>
      <x:c r="P319" t="str"/>
      <x:c r="Q319" t="str">
        <x:v>A · standard carbon</x:v>
      </x:c>
      <x:c r="R319"/>
      <x:c r="S319"/>
      <x:c r="T319" t="str">
        <x:v>RFQ required · no public supplier-specific quote</x:v>
      </x:c>
      <x:c r="U319"/>
      <x:c r="V319" t="str">
        <x:v>https://www.voestalpine.com/tubulars/en/products/Proprietary-Grades/</x:v>
      </x:c>
      <x:c r="W319" t="str">
        <x:v>Manufacturer-listed</x:v>
      </x:c>
      <x:c r="X319" t="str">
        <x:v>2025 API 5CT nomenclature applies; see voestalpine notice</x:v>
      </x:c>
      <x:c r="Y319" t="str">
        <x:v>2026-10-10</x:v>
      </x:c>
    </x:row>
    <x:row r="320" ht="22" customHeight="1">
      <x:c r="A320" t="str">
        <x:v>OCTG-0319</x:v>
      </x:c>
      <x:c r="B320" t="str">
        <x:v>voestalpine Tubulars</x:v>
      </x:c>
      <x:c r="C320" t="str">
        <x:v>Austria</x:v>
      </x:c>
      <x:c r="D320" t="str">
        <x:v>VA-HC-L80-1</x:v>
      </x:c>
      <x:c r="E320" t="str">
        <x:v>Proprietary grade</x:v>
      </x:c>
      <x:c r="F320" t="str">
        <x:v>API 5CT-based / manufacturer specification</x:v>
      </x:c>
      <x:c r="G320" t="str">
        <x:v>Carbon / low alloy</x:v>
      </x:c>
      <x:c r="H320" t="str">
        <x:v>High collapse</x:v>
      </x:c>
      <x:c r="I320" t="str">
        <x:v>Casing and tubing (verify sizes)</x:v>
      </x:c>
      <x:c r="J320" t="str">
        <x:v>Not established by grade name</x:v>
      </x:c>
      <x:c r="K320" t="str">
        <x:v>Corrosion control may be needed</x:v>
      </x:c>
      <x:c r="L320" t="str">
        <x:v>Enhanced</x:v>
      </x:c>
      <x:c r="M320" t="n">
        <x:v>80</x:v>
      </x:c>
      <x:c r="N320" t="str"/>
      <x:c r="O320" t="str"/>
      <x:c r="P320" t="str"/>
      <x:c r="Q320" t="str">
        <x:v>A · standard carbon</x:v>
      </x:c>
      <x:c r="R320"/>
      <x:c r="S320"/>
      <x:c r="T320" t="str">
        <x:v>RFQ required · no public supplier-specific quote</x:v>
      </x:c>
      <x:c r="U320"/>
      <x:c r="V320" t="str">
        <x:v>https://www.voestalpine.com/tubulars/en/products/Proprietary-Grades/</x:v>
      </x:c>
      <x:c r="W320" t="str">
        <x:v>Manufacturer-listed</x:v>
      </x:c>
      <x:c r="X320" t="str">
        <x:v>2025 API 5CT nomenclature applies; see voestalpine notice</x:v>
      </x:c>
      <x:c r="Y320" t="str">
        <x:v>2026-10-10</x:v>
      </x:c>
    </x:row>
    <x:row r="321" ht="22" customHeight="1">
      <x:c r="A321" t="str">
        <x:v>OCTG-0320</x:v>
      </x:c>
      <x:c r="B321" t="str">
        <x:v>voestalpine Tubulars</x:v>
      </x:c>
      <x:c r="C321" t="str">
        <x:v>Austria</x:v>
      </x:c>
      <x:c r="D321" t="str">
        <x:v>VA-HC-N80-Q</x:v>
      </x:c>
      <x:c r="E321" t="str">
        <x:v>Proprietary grade</x:v>
      </x:c>
      <x:c r="F321" t="str">
        <x:v>API 5CT-based / manufacturer specification</x:v>
      </x:c>
      <x:c r="G321" t="str">
        <x:v>Carbon / low alloy</x:v>
      </x:c>
      <x:c r="H321" t="str">
        <x:v>High collapse</x:v>
      </x:c>
      <x:c r="I321" t="str">
        <x:v>Casing and tubing (verify sizes)</x:v>
      </x:c>
      <x:c r="J321" t="str">
        <x:v>Not established by grade name</x:v>
      </x:c>
      <x:c r="K321" t="str">
        <x:v>Corrosion control may be needed</x:v>
      </x:c>
      <x:c r="L321" t="str">
        <x:v>Enhanced</x:v>
      </x:c>
      <x:c r="M321" t="n">
        <x:v>80</x:v>
      </x:c>
      <x:c r="N321" t="str"/>
      <x:c r="O321" t="str"/>
      <x:c r="P321" t="str"/>
      <x:c r="Q321" t="str">
        <x:v>A · standard carbon</x:v>
      </x:c>
      <x:c r="R321"/>
      <x:c r="S321"/>
      <x:c r="T321" t="str">
        <x:v>RFQ required · no public supplier-specific quote</x:v>
      </x:c>
      <x:c r="U321"/>
      <x:c r="V321" t="str">
        <x:v>https://www.voestalpine.com/tubulars/en/products/Proprietary-Grades/</x:v>
      </x:c>
      <x:c r="W321" t="str">
        <x:v>Manufacturer-listed</x:v>
      </x:c>
      <x:c r="X321" t="str">
        <x:v>2025 API 5CT nomenclature applies; see voestalpine notice</x:v>
      </x:c>
      <x:c r="Y321" t="str">
        <x:v>2026-10-10</x:v>
      </x:c>
    </x:row>
    <x:row r="322" ht="22" customHeight="1">
      <x:c r="A322" t="str">
        <x:v>OCTG-0321</x:v>
      </x:c>
      <x:c r="B322" t="str">
        <x:v>voestalpine Tubulars</x:v>
      </x:c>
      <x:c r="C322" t="str">
        <x:v>Austria</x:v>
      </x:c>
      <x:c r="D322" t="str">
        <x:v>VA-HC-P110</x:v>
      </x:c>
      <x:c r="E322" t="str">
        <x:v>Proprietary grade</x:v>
      </x:c>
      <x:c r="F322" t="str">
        <x:v>API 5CT-based / manufacturer specification</x:v>
      </x:c>
      <x:c r="G322" t="str">
        <x:v>Carbon / low alloy</x:v>
      </x:c>
      <x:c r="H322" t="str">
        <x:v>High collapse</x:v>
      </x:c>
      <x:c r="I322" t="str">
        <x:v>Casing and tubing (verify sizes)</x:v>
      </x:c>
      <x:c r="J322" t="str">
        <x:v>Not established by grade name</x:v>
      </x:c>
      <x:c r="K322" t="str">
        <x:v>Corrosion control may be needed</x:v>
      </x:c>
      <x:c r="L322" t="str">
        <x:v>Enhanced</x:v>
      </x:c>
      <x:c r="M322" t="n">
        <x:v>110</x:v>
      </x:c>
      <x:c r="N322" t="str"/>
      <x:c r="O322" t="str"/>
      <x:c r="P322" t="str"/>
      <x:c r="Q322" t="str">
        <x:v>A · standard carbon</x:v>
      </x:c>
      <x:c r="R322"/>
      <x:c r="S322"/>
      <x:c r="T322" t="str">
        <x:v>RFQ required · no public supplier-specific quote</x:v>
      </x:c>
      <x:c r="U322"/>
      <x:c r="V322" t="str">
        <x:v>https://www.voestalpine.com/tubulars/en/products/Proprietary-Grades/</x:v>
      </x:c>
      <x:c r="W322" t="str">
        <x:v>Manufacturer-listed</x:v>
      </x:c>
      <x:c r="X322" t="str">
        <x:v>2025 API 5CT nomenclature applies; see voestalpine notice</x:v>
      </x:c>
      <x:c r="Y322" t="str">
        <x:v>2026-10-10</x:v>
      </x:c>
    </x:row>
    <x:row r="323" ht="22" customHeight="1">
      <x:c r="A323" t="str">
        <x:v>OCTG-0322</x:v>
      </x:c>
      <x:c r="B323" t="str">
        <x:v>voestalpine Tubulars</x:v>
      </x:c>
      <x:c r="C323" t="str">
        <x:v>Austria</x:v>
      </x:c>
      <x:c r="D323" t="str">
        <x:v>VA-HC-Q125</x:v>
      </x:c>
      <x:c r="E323" t="str">
        <x:v>Proprietary grade</x:v>
      </x:c>
      <x:c r="F323" t="str">
        <x:v>API 5CT-based / manufacturer specification</x:v>
      </x:c>
      <x:c r="G323" t="str">
        <x:v>Carbon / low alloy</x:v>
      </x:c>
      <x:c r="H323" t="str">
        <x:v>High collapse</x:v>
      </x:c>
      <x:c r="I323" t="str">
        <x:v>Casing and tubing (verify sizes)</x:v>
      </x:c>
      <x:c r="J323" t="str">
        <x:v>Not established by grade name</x:v>
      </x:c>
      <x:c r="K323" t="str">
        <x:v>Corrosion control may be needed</x:v>
      </x:c>
      <x:c r="L323" t="str">
        <x:v>Enhanced</x:v>
      </x:c>
      <x:c r="M323" t="n">
        <x:v>125</x:v>
      </x:c>
      <x:c r="N323" t="str"/>
      <x:c r="O323" t="str"/>
      <x:c r="P323" t="str"/>
      <x:c r="Q323" t="str">
        <x:v>A · standard carbon</x:v>
      </x:c>
      <x:c r="R323"/>
      <x:c r="S323"/>
      <x:c r="T323" t="str">
        <x:v>RFQ required · no public supplier-specific quote</x:v>
      </x:c>
      <x:c r="U323"/>
      <x:c r="V323" t="str">
        <x:v>https://www.voestalpine.com/tubulars/en/products/Proprietary-Grades/</x:v>
      </x:c>
      <x:c r="W323" t="str">
        <x:v>Manufacturer-listed</x:v>
      </x:c>
      <x:c r="X323" t="str">
        <x:v>2025 API 5CT nomenclature applies; see voestalpine notice</x:v>
      </x:c>
      <x:c r="Y323" t="str">
        <x:v>2026-10-10</x:v>
      </x:c>
    </x:row>
    <x:row r="324" ht="22" customHeight="1">
      <x:c r="A324" t="str">
        <x:v>OCTG-0323</x:v>
      </x:c>
      <x:c r="B324" t="str">
        <x:v>voestalpine Tubulars</x:v>
      </x:c>
      <x:c r="C324" t="str">
        <x:v>Austria</x:v>
      </x:c>
      <x:c r="D324" t="str">
        <x:v>VA-HC-R95</x:v>
      </x:c>
      <x:c r="E324" t="str">
        <x:v>Proprietary grade</x:v>
      </x:c>
      <x:c r="F324" t="str">
        <x:v>API 5CT-based / manufacturer specification</x:v>
      </x:c>
      <x:c r="G324" t="str">
        <x:v>Carbon / low alloy</x:v>
      </x:c>
      <x:c r="H324" t="str">
        <x:v>High collapse</x:v>
      </x:c>
      <x:c r="I324" t="str">
        <x:v>Casing and tubing (verify sizes)</x:v>
      </x:c>
      <x:c r="J324" t="str">
        <x:v>Not established by grade name</x:v>
      </x:c>
      <x:c r="K324" t="str">
        <x:v>Corrosion control may be needed</x:v>
      </x:c>
      <x:c r="L324" t="str">
        <x:v>Enhanced</x:v>
      </x:c>
      <x:c r="M324" t="n">
        <x:v>95</x:v>
      </x:c>
      <x:c r="N324" t="str"/>
      <x:c r="O324" t="str"/>
      <x:c r="P324" t="str"/>
      <x:c r="Q324" t="str">
        <x:v>A · standard carbon</x:v>
      </x:c>
      <x:c r="R324"/>
      <x:c r="S324"/>
      <x:c r="T324" t="str">
        <x:v>RFQ required · no public supplier-specific quote</x:v>
      </x:c>
      <x:c r="U324"/>
      <x:c r="V324" t="str">
        <x:v>https://www.voestalpine.com/tubulars/en/products/Proprietary-Grades/</x:v>
      </x:c>
      <x:c r="W324" t="str">
        <x:v>Manufacturer-listed</x:v>
      </x:c>
      <x:c r="X324" t="str">
        <x:v>2025 API 5CT nomenclature applies; see voestalpine notice</x:v>
      </x:c>
      <x:c r="Y324" t="str">
        <x:v>2026-10-10</x:v>
      </x:c>
    </x:row>
    <x:row r="325" ht="22" customHeight="1">
      <x:c r="A325" t="str">
        <x:v>OCTG-0324</x:v>
      </x:c>
      <x:c r="B325" t="str">
        <x:v>voestalpine Tubulars</x:v>
      </x:c>
      <x:c r="C325" t="str">
        <x:v>Austria</x:v>
      </x:c>
      <x:c r="D325" t="str">
        <x:v>VA-HC-T95</x:v>
      </x:c>
      <x:c r="E325" t="str">
        <x:v>Proprietary grade</x:v>
      </x:c>
      <x:c r="F325" t="str">
        <x:v>API 5CT-based / manufacturer specification</x:v>
      </x:c>
      <x:c r="G325" t="str">
        <x:v>Carbon / low alloy</x:v>
      </x:c>
      <x:c r="H325" t="str">
        <x:v>High collapse</x:v>
      </x:c>
      <x:c r="I325" t="str">
        <x:v>Casing and tubing (verify sizes)</x:v>
      </x:c>
      <x:c r="J325" t="str">
        <x:v>Not established by grade name</x:v>
      </x:c>
      <x:c r="K325" t="str">
        <x:v>Corrosion control may be needed</x:v>
      </x:c>
      <x:c r="L325" t="str">
        <x:v>Enhanced</x:v>
      </x:c>
      <x:c r="M325" t="n">
        <x:v>95</x:v>
      </x:c>
      <x:c r="N325" t="str"/>
      <x:c r="O325" t="str"/>
      <x:c r="P325" t="str"/>
      <x:c r="Q325" t="str">
        <x:v>A · standard carbon</x:v>
      </x:c>
      <x:c r="R325"/>
      <x:c r="S325"/>
      <x:c r="T325" t="str">
        <x:v>RFQ required · no public supplier-specific quote</x:v>
      </x:c>
      <x:c r="U325"/>
      <x:c r="V325" t="str">
        <x:v>https://www.voestalpine.com/tubulars/en/products/Proprietary-Grades/</x:v>
      </x:c>
      <x:c r="W325" t="str">
        <x:v>Manufacturer-listed</x:v>
      </x:c>
      <x:c r="X325" t="str">
        <x:v>2025 API 5CT nomenclature applies; see voestalpine notice</x:v>
      </x:c>
      <x:c r="Y325" t="str">
        <x:v>2026-10-10</x:v>
      </x:c>
    </x:row>
    <x:row r="326" ht="22" customHeight="1">
      <x:c r="A326" t="str">
        <x:v>OCTG-0325</x:v>
      </x:c>
      <x:c r="B326" t="str">
        <x:v>voestalpine Tubulars</x:v>
      </x:c>
      <x:c r="C326" t="str">
        <x:v>Austria</x:v>
      </x:c>
      <x:c r="D326" t="str">
        <x:v>VA-LT-C110</x:v>
      </x:c>
      <x:c r="E326" t="str">
        <x:v>Proprietary grade</x:v>
      </x:c>
      <x:c r="F326" t="str">
        <x:v>API 5CT-based / manufacturer specification</x:v>
      </x:c>
      <x:c r="G326" t="str">
        <x:v>Carbon / low alloy</x:v>
      </x:c>
      <x:c r="H326" t="str">
        <x:v>Low temperature</x:v>
      </x:c>
      <x:c r="I326" t="str">
        <x:v>Casing and tubing (verify sizes)</x:v>
      </x:c>
      <x:c r="J326" t="str">
        <x:v>Not established by grade name</x:v>
      </x:c>
      <x:c r="K326" t="str">
        <x:v>Corrosion control may be needed</x:v>
      </x:c>
      <x:c r="L326" t="str">
        <x:v>API / not stated</x:v>
      </x:c>
      <x:c r="M326" t="n">
        <x:v>110</x:v>
      </x:c>
      <x:c r="N326" t="str"/>
      <x:c r="O326" t="str"/>
      <x:c r="P326" t="str"/>
      <x:c r="Q326" t="str">
        <x:v>A · standard carbon</x:v>
      </x:c>
      <x:c r="R326"/>
      <x:c r="S326"/>
      <x:c r="T326" t="str">
        <x:v>RFQ required · no public supplier-specific quote</x:v>
      </x:c>
      <x:c r="U326"/>
      <x:c r="V326" t="str">
        <x:v>https://www.voestalpine.com/tubulars/en/products/Proprietary-Grades/</x:v>
      </x:c>
      <x:c r="W326" t="str">
        <x:v>Manufacturer-listed</x:v>
      </x:c>
      <x:c r="X326" t="str">
        <x:v>2025 API 5CT nomenclature applies; see voestalpine notice</x:v>
      </x:c>
      <x:c r="Y326" t="str">
        <x:v>2026-10-10</x:v>
      </x:c>
    </x:row>
    <x:row r="327" ht="22" customHeight="1">
      <x:c r="A327" t="str">
        <x:v>OCTG-0326</x:v>
      </x:c>
      <x:c r="B327" t="str">
        <x:v>voestalpine Tubulars</x:v>
      </x:c>
      <x:c r="C327" t="str">
        <x:v>Austria</x:v>
      </x:c>
      <x:c r="D327" t="str">
        <x:v>VA-LT-C90</x:v>
      </x:c>
      <x:c r="E327" t="str">
        <x:v>Proprietary grade</x:v>
      </x:c>
      <x:c r="F327" t="str">
        <x:v>API 5CT-based / manufacturer specification</x:v>
      </x:c>
      <x:c r="G327" t="str">
        <x:v>Carbon / low alloy</x:v>
      </x:c>
      <x:c r="H327" t="str">
        <x:v>Low temperature</x:v>
      </x:c>
      <x:c r="I327" t="str">
        <x:v>Casing and tubing (verify sizes)</x:v>
      </x:c>
      <x:c r="J327" t="str">
        <x:v>Not established by grade name</x:v>
      </x:c>
      <x:c r="K327" t="str">
        <x:v>Corrosion control may be needed</x:v>
      </x:c>
      <x:c r="L327" t="str">
        <x:v>API / not stated</x:v>
      </x:c>
      <x:c r="M327" t="n">
        <x:v>90</x:v>
      </x:c>
      <x:c r="N327" t="str"/>
      <x:c r="O327" t="str"/>
      <x:c r="P327" t="str"/>
      <x:c r="Q327" t="str">
        <x:v>A · standard carbon</x:v>
      </x:c>
      <x:c r="R327"/>
      <x:c r="S327"/>
      <x:c r="T327" t="str">
        <x:v>RFQ required · no public supplier-specific quote</x:v>
      </x:c>
      <x:c r="U327"/>
      <x:c r="V327" t="str">
        <x:v>https://www.voestalpine.com/tubulars/en/products/Proprietary-Grades/</x:v>
      </x:c>
      <x:c r="W327" t="str">
        <x:v>Manufacturer-listed</x:v>
      </x:c>
      <x:c r="X327" t="str">
        <x:v>2025 API 5CT nomenclature applies; see voestalpine notice</x:v>
      </x:c>
      <x:c r="Y327" t="str">
        <x:v>2026-10-10</x:v>
      </x:c>
    </x:row>
    <x:row r="328" ht="22" customHeight="1">
      <x:c r="A328" t="str">
        <x:v>OCTG-0327</x:v>
      </x:c>
      <x:c r="B328" t="str">
        <x:v>voestalpine Tubulars</x:v>
      </x:c>
      <x:c r="C328" t="str">
        <x:v>Austria</x:v>
      </x:c>
      <x:c r="D328" t="str">
        <x:v>VA-LT-J55</x:v>
      </x:c>
      <x:c r="E328" t="str">
        <x:v>Proprietary grade</x:v>
      </x:c>
      <x:c r="F328" t="str">
        <x:v>API 5CT-based / manufacturer specification</x:v>
      </x:c>
      <x:c r="G328" t="str">
        <x:v>Carbon / low alloy</x:v>
      </x:c>
      <x:c r="H328" t="str">
        <x:v>Low temperature</x:v>
      </x:c>
      <x:c r="I328" t="str">
        <x:v>Casing and tubing (verify sizes)</x:v>
      </x:c>
      <x:c r="J328" t="str">
        <x:v>Not established by grade name</x:v>
      </x:c>
      <x:c r="K328" t="str">
        <x:v>Corrosion control may be needed</x:v>
      </x:c>
      <x:c r="L328" t="str">
        <x:v>API / not stated</x:v>
      </x:c>
      <x:c r="M328" t="n">
        <x:v>55</x:v>
      </x:c>
      <x:c r="N328" t="str"/>
      <x:c r="O328" t="str"/>
      <x:c r="P328" t="str"/>
      <x:c r="Q328" t="str">
        <x:v>A · standard carbon</x:v>
      </x:c>
      <x:c r="R328"/>
      <x:c r="S328"/>
      <x:c r="T328" t="str">
        <x:v>RFQ required · no public supplier-specific quote</x:v>
      </x:c>
      <x:c r="U328"/>
      <x:c r="V328" t="str">
        <x:v>https://www.voestalpine.com/tubulars/en/products/Proprietary-Grades/</x:v>
      </x:c>
      <x:c r="W328" t="str">
        <x:v>Manufacturer-listed</x:v>
      </x:c>
      <x:c r="X328" t="str">
        <x:v>2025 API 5CT nomenclature applies; see voestalpine notice</x:v>
      </x:c>
      <x:c r="Y328" t="str">
        <x:v>2026-10-10</x:v>
      </x:c>
    </x:row>
    <x:row r="329" ht="22" customHeight="1">
      <x:c r="A329" t="str">
        <x:v>OCTG-0328</x:v>
      </x:c>
      <x:c r="B329" t="str">
        <x:v>voestalpine Tubulars</x:v>
      </x:c>
      <x:c r="C329" t="str">
        <x:v>Austria</x:v>
      </x:c>
      <x:c r="D329" t="str">
        <x:v>VA-LT-K55</x:v>
      </x:c>
      <x:c r="E329" t="str">
        <x:v>Proprietary grade</x:v>
      </x:c>
      <x:c r="F329" t="str">
        <x:v>API 5CT-based / manufacturer specification</x:v>
      </x:c>
      <x:c r="G329" t="str">
        <x:v>Carbon / low alloy</x:v>
      </x:c>
      <x:c r="H329" t="str">
        <x:v>Low temperature</x:v>
      </x:c>
      <x:c r="I329" t="str">
        <x:v>Casing and tubing (verify sizes)</x:v>
      </x:c>
      <x:c r="J329" t="str">
        <x:v>Not established by grade name</x:v>
      </x:c>
      <x:c r="K329" t="str">
        <x:v>Corrosion control may be needed</x:v>
      </x:c>
      <x:c r="L329" t="str">
        <x:v>API / not stated</x:v>
      </x:c>
      <x:c r="M329" t="n">
        <x:v>55</x:v>
      </x:c>
      <x:c r="N329" t="str"/>
      <x:c r="O329" t="str"/>
      <x:c r="P329" t="str"/>
      <x:c r="Q329" t="str">
        <x:v>A · standard carbon</x:v>
      </x:c>
      <x:c r="R329"/>
      <x:c r="S329"/>
      <x:c r="T329" t="str">
        <x:v>RFQ required · no public supplier-specific quote</x:v>
      </x:c>
      <x:c r="U329"/>
      <x:c r="V329" t="str">
        <x:v>https://www.voestalpine.com/tubulars/en/products/Proprietary-Grades/</x:v>
      </x:c>
      <x:c r="W329" t="str">
        <x:v>Manufacturer-listed</x:v>
      </x:c>
      <x:c r="X329" t="str">
        <x:v>2025 API 5CT nomenclature applies; see voestalpine notice</x:v>
      </x:c>
      <x:c r="Y329" t="str">
        <x:v>2026-10-10</x:v>
      </x:c>
    </x:row>
    <x:row r="330" ht="22" customHeight="1">
      <x:c r="A330" t="str">
        <x:v>OCTG-0329</x:v>
      </x:c>
      <x:c r="B330" t="str">
        <x:v>voestalpine Tubulars</x:v>
      </x:c>
      <x:c r="C330" t="str">
        <x:v>Austria</x:v>
      </x:c>
      <x:c r="D330" t="str">
        <x:v>VA-LT-L80-1</x:v>
      </x:c>
      <x:c r="E330" t="str">
        <x:v>Proprietary grade</x:v>
      </x:c>
      <x:c r="F330" t="str">
        <x:v>API 5CT-based / manufacturer specification</x:v>
      </x:c>
      <x:c r="G330" t="str">
        <x:v>Carbon / low alloy</x:v>
      </x:c>
      <x:c r="H330" t="str">
        <x:v>Low temperature</x:v>
      </x:c>
      <x:c r="I330" t="str">
        <x:v>Casing and tubing (verify sizes)</x:v>
      </x:c>
      <x:c r="J330" t="str">
        <x:v>Not established by grade name</x:v>
      </x:c>
      <x:c r="K330" t="str">
        <x:v>Corrosion control may be needed</x:v>
      </x:c>
      <x:c r="L330" t="str">
        <x:v>API / not stated</x:v>
      </x:c>
      <x:c r="M330" t="n">
        <x:v>80</x:v>
      </x:c>
      <x:c r="N330" t="str"/>
      <x:c r="O330" t="str"/>
      <x:c r="P330" t="str"/>
      <x:c r="Q330" t="str">
        <x:v>A · standard carbon</x:v>
      </x:c>
      <x:c r="R330"/>
      <x:c r="S330"/>
      <x:c r="T330" t="str">
        <x:v>RFQ required · no public supplier-specific quote</x:v>
      </x:c>
      <x:c r="U330"/>
      <x:c r="V330" t="str">
        <x:v>https://www.voestalpine.com/tubulars/en/products/Proprietary-Grades/</x:v>
      </x:c>
      <x:c r="W330" t="str">
        <x:v>Manufacturer-listed</x:v>
      </x:c>
      <x:c r="X330" t="str">
        <x:v>2025 API 5CT nomenclature applies; see voestalpine notice</x:v>
      </x:c>
      <x:c r="Y330" t="str">
        <x:v>2026-10-10</x:v>
      </x:c>
    </x:row>
    <x:row r="331" ht="22" customHeight="1">
      <x:c r="A331" t="str">
        <x:v>OCTG-0330</x:v>
      </x:c>
      <x:c r="B331" t="str">
        <x:v>voestalpine Tubulars</x:v>
      </x:c>
      <x:c r="C331" t="str">
        <x:v>Austria</x:v>
      </x:c>
      <x:c r="D331" t="str">
        <x:v>VA-LT-N80-Q</x:v>
      </x:c>
      <x:c r="E331" t="str">
        <x:v>Proprietary grade</x:v>
      </x:c>
      <x:c r="F331" t="str">
        <x:v>API 5CT-based / manufacturer specification</x:v>
      </x:c>
      <x:c r="G331" t="str">
        <x:v>Carbon / low alloy</x:v>
      </x:c>
      <x:c r="H331" t="str">
        <x:v>Low temperature</x:v>
      </x:c>
      <x:c r="I331" t="str">
        <x:v>Casing and tubing (verify sizes)</x:v>
      </x:c>
      <x:c r="J331" t="str">
        <x:v>Not established by grade name</x:v>
      </x:c>
      <x:c r="K331" t="str">
        <x:v>Corrosion control may be needed</x:v>
      </x:c>
      <x:c r="L331" t="str">
        <x:v>API / not stated</x:v>
      </x:c>
      <x:c r="M331" t="n">
        <x:v>80</x:v>
      </x:c>
      <x:c r="N331" t="str"/>
      <x:c r="O331" t="str"/>
      <x:c r="P331" t="str"/>
      <x:c r="Q331" t="str">
        <x:v>A · standard carbon</x:v>
      </x:c>
      <x:c r="R331"/>
      <x:c r="S331"/>
      <x:c r="T331" t="str">
        <x:v>RFQ required · no public supplier-specific quote</x:v>
      </x:c>
      <x:c r="U331"/>
      <x:c r="V331" t="str">
        <x:v>https://www.voestalpine.com/tubulars/en/products/Proprietary-Grades/</x:v>
      </x:c>
      <x:c r="W331" t="str">
        <x:v>Manufacturer-listed</x:v>
      </x:c>
      <x:c r="X331" t="str">
        <x:v>2025 API 5CT nomenclature applies; see voestalpine notice</x:v>
      </x:c>
      <x:c r="Y331" t="str">
        <x:v>2026-10-10</x:v>
      </x:c>
    </x:row>
    <x:row r="332" ht="22" customHeight="1">
      <x:c r="A332" t="str">
        <x:v>OCTG-0331</x:v>
      </x:c>
      <x:c r="B332" t="str">
        <x:v>voestalpine Tubulars</x:v>
      </x:c>
      <x:c r="C332" t="str">
        <x:v>Austria</x:v>
      </x:c>
      <x:c r="D332" t="str">
        <x:v>VA-LT-P110</x:v>
      </x:c>
      <x:c r="E332" t="str">
        <x:v>Proprietary grade</x:v>
      </x:c>
      <x:c r="F332" t="str">
        <x:v>API 5CT-based / manufacturer specification</x:v>
      </x:c>
      <x:c r="G332" t="str">
        <x:v>Carbon / low alloy</x:v>
      </x:c>
      <x:c r="H332" t="str">
        <x:v>Low temperature</x:v>
      </x:c>
      <x:c r="I332" t="str">
        <x:v>Casing and tubing (verify sizes)</x:v>
      </x:c>
      <x:c r="J332" t="str">
        <x:v>Not established by grade name</x:v>
      </x:c>
      <x:c r="K332" t="str">
        <x:v>Corrosion control may be needed</x:v>
      </x:c>
      <x:c r="L332" t="str">
        <x:v>API / not stated</x:v>
      </x:c>
      <x:c r="M332" t="n">
        <x:v>110</x:v>
      </x:c>
      <x:c r="N332" t="str"/>
      <x:c r="O332" t="str"/>
      <x:c r="P332" t="str"/>
      <x:c r="Q332" t="str">
        <x:v>A · standard carbon</x:v>
      </x:c>
      <x:c r="R332"/>
      <x:c r="S332"/>
      <x:c r="T332" t="str">
        <x:v>RFQ required · no public supplier-specific quote</x:v>
      </x:c>
      <x:c r="U332"/>
      <x:c r="V332" t="str">
        <x:v>https://www.voestalpine.com/tubulars/en/products/Proprietary-Grades/</x:v>
      </x:c>
      <x:c r="W332" t="str">
        <x:v>Manufacturer-listed</x:v>
      </x:c>
      <x:c r="X332" t="str">
        <x:v>2025 API 5CT nomenclature applies; see voestalpine notice</x:v>
      </x:c>
      <x:c r="Y332" t="str">
        <x:v>2026-10-10</x:v>
      </x:c>
    </x:row>
    <x:row r="333" ht="22" customHeight="1">
      <x:c r="A333" t="str">
        <x:v>OCTG-0332</x:v>
      </x:c>
      <x:c r="B333" t="str">
        <x:v>voestalpine Tubulars</x:v>
      </x:c>
      <x:c r="C333" t="str">
        <x:v>Austria</x:v>
      </x:c>
      <x:c r="D333" t="str">
        <x:v>VA-LT-Q125</x:v>
      </x:c>
      <x:c r="E333" t="str">
        <x:v>Proprietary grade</x:v>
      </x:c>
      <x:c r="F333" t="str">
        <x:v>API 5CT-based / manufacturer specification</x:v>
      </x:c>
      <x:c r="G333" t="str">
        <x:v>Carbon / low alloy</x:v>
      </x:c>
      <x:c r="H333" t="str">
        <x:v>Low temperature</x:v>
      </x:c>
      <x:c r="I333" t="str">
        <x:v>Casing and tubing (verify sizes)</x:v>
      </x:c>
      <x:c r="J333" t="str">
        <x:v>Not established by grade name</x:v>
      </x:c>
      <x:c r="K333" t="str">
        <x:v>Corrosion control may be needed</x:v>
      </x:c>
      <x:c r="L333" t="str">
        <x:v>API / not stated</x:v>
      </x:c>
      <x:c r="M333" t="n">
        <x:v>125</x:v>
      </x:c>
      <x:c r="N333" t="str"/>
      <x:c r="O333" t="str"/>
      <x:c r="P333" t="str"/>
      <x:c r="Q333" t="str">
        <x:v>A · standard carbon</x:v>
      </x:c>
      <x:c r="R333"/>
      <x:c r="S333"/>
      <x:c r="T333" t="str">
        <x:v>RFQ required · no public supplier-specific quote</x:v>
      </x:c>
      <x:c r="U333"/>
      <x:c r="V333" t="str">
        <x:v>https://www.voestalpine.com/tubulars/en/products/Proprietary-Grades/</x:v>
      </x:c>
      <x:c r="W333" t="str">
        <x:v>Manufacturer-listed</x:v>
      </x:c>
      <x:c r="X333" t="str">
        <x:v>2025 API 5CT nomenclature applies; see voestalpine notice</x:v>
      </x:c>
      <x:c r="Y333" t="str">
        <x:v>2026-10-10</x:v>
      </x:c>
    </x:row>
    <x:row r="334" ht="22" customHeight="1">
      <x:c r="A334" t="str">
        <x:v>OCTG-0333</x:v>
      </x:c>
      <x:c r="B334" t="str">
        <x:v>voestalpine Tubulars</x:v>
      </x:c>
      <x:c r="C334" t="str">
        <x:v>Austria</x:v>
      </x:c>
      <x:c r="D334" t="str">
        <x:v>VA-LT-R95</x:v>
      </x:c>
      <x:c r="E334" t="str">
        <x:v>Proprietary grade</x:v>
      </x:c>
      <x:c r="F334" t="str">
        <x:v>API 5CT-based / manufacturer specification</x:v>
      </x:c>
      <x:c r="G334" t="str">
        <x:v>Carbon / low alloy</x:v>
      </x:c>
      <x:c r="H334" t="str">
        <x:v>Low temperature</x:v>
      </x:c>
      <x:c r="I334" t="str">
        <x:v>Casing and tubing (verify sizes)</x:v>
      </x:c>
      <x:c r="J334" t="str">
        <x:v>Not established by grade name</x:v>
      </x:c>
      <x:c r="K334" t="str">
        <x:v>Corrosion control may be needed</x:v>
      </x:c>
      <x:c r="L334" t="str">
        <x:v>API / not stated</x:v>
      </x:c>
      <x:c r="M334" t="n">
        <x:v>95</x:v>
      </x:c>
      <x:c r="N334" t="str"/>
      <x:c r="O334" t="str"/>
      <x:c r="P334" t="str"/>
      <x:c r="Q334" t="str">
        <x:v>A · standard carbon</x:v>
      </x:c>
      <x:c r="R334"/>
      <x:c r="S334"/>
      <x:c r="T334" t="str">
        <x:v>RFQ required · no public supplier-specific quote</x:v>
      </x:c>
      <x:c r="U334"/>
      <x:c r="V334" t="str">
        <x:v>https://www.voestalpine.com/tubulars/en/products/Proprietary-Grades/</x:v>
      </x:c>
      <x:c r="W334" t="str">
        <x:v>Manufacturer-listed</x:v>
      </x:c>
      <x:c r="X334" t="str">
        <x:v>2025 API 5CT nomenclature applies; see voestalpine notice</x:v>
      </x:c>
      <x:c r="Y334" t="str">
        <x:v>2026-10-10</x:v>
      </x:c>
    </x:row>
    <x:row r="335" ht="22" customHeight="1">
      <x:c r="A335" t="str">
        <x:v>OCTG-0334</x:v>
      </x:c>
      <x:c r="B335" t="str">
        <x:v>voestalpine Tubulars</x:v>
      </x:c>
      <x:c r="C335" t="str">
        <x:v>Austria</x:v>
      </x:c>
      <x:c r="D335" t="str">
        <x:v>VA-LT-T95</x:v>
      </x:c>
      <x:c r="E335" t="str">
        <x:v>Proprietary grade</x:v>
      </x:c>
      <x:c r="F335" t="str">
        <x:v>API 5CT-based / manufacturer specification</x:v>
      </x:c>
      <x:c r="G335" t="str">
        <x:v>Carbon / low alloy</x:v>
      </x:c>
      <x:c r="H335" t="str">
        <x:v>Low temperature</x:v>
      </x:c>
      <x:c r="I335" t="str">
        <x:v>Casing and tubing (verify sizes)</x:v>
      </x:c>
      <x:c r="J335" t="str">
        <x:v>Not established by grade name</x:v>
      </x:c>
      <x:c r="K335" t="str">
        <x:v>Corrosion control may be needed</x:v>
      </x:c>
      <x:c r="L335" t="str">
        <x:v>API / not stated</x:v>
      </x:c>
      <x:c r="M335" t="n">
        <x:v>95</x:v>
      </x:c>
      <x:c r="N335" t="str"/>
      <x:c r="O335" t="str"/>
      <x:c r="P335" t="str"/>
      <x:c r="Q335" t="str">
        <x:v>A · standard carbon</x:v>
      </x:c>
      <x:c r="R335"/>
      <x:c r="S335"/>
      <x:c r="T335" t="str">
        <x:v>RFQ required · no public supplier-specific quote</x:v>
      </x:c>
      <x:c r="U335"/>
      <x:c r="V335" t="str">
        <x:v>https://www.voestalpine.com/tubulars/en/products/Proprietary-Grades/</x:v>
      </x:c>
      <x:c r="W335" t="str">
        <x:v>Manufacturer-listed</x:v>
      </x:c>
      <x:c r="X335" t="str">
        <x:v>2025 API 5CT nomenclature applies; see voestalpine notice</x:v>
      </x:c>
      <x:c r="Y335" t="str">
        <x:v>2026-10-10</x:v>
      </x:c>
    </x:row>
    <x:row r="336" ht="22" customHeight="1">
      <x:c r="A336" t="str">
        <x:v>OCTG-0335</x:v>
      </x:c>
      <x:c r="B336" t="str">
        <x:v>voestalpine Tubulars</x:v>
      </x:c>
      <x:c r="C336" t="str">
        <x:v>Austria</x:v>
      </x:c>
      <x:c r="D336" t="str">
        <x:v>VA-S-110</x:v>
      </x:c>
      <x:c r="E336" t="str">
        <x:v>Proprietary grade</x:v>
      </x:c>
      <x:c r="F336" t="str">
        <x:v>API 5CT-based / manufacturer specification</x:v>
      </x:c>
      <x:c r="G336" t="str">
        <x:v>Carbon / low alloy</x:v>
      </x:c>
      <x:c r="H336" t="str">
        <x:v>Sour service</x:v>
      </x:c>
      <x:c r="I336" t="str">
        <x:v>Casing and tubing (verify sizes)</x:v>
      </x:c>
      <x:c r="J336" t="str">
        <x:v>Sour service: manufacturer-defined limits</x:v>
      </x:c>
      <x:c r="K336" t="str">
        <x:v>Corrosion control may be needed</x:v>
      </x:c>
      <x:c r="L336" t="str">
        <x:v>API / not stated</x:v>
      </x:c>
      <x:c r="M336" t="n">
        <x:v>110</x:v>
      </x:c>
      <x:c r="N336" t="str"/>
      <x:c r="O336" t="str"/>
      <x:c r="P336" t="str"/>
      <x:c r="Q336" t="str">
        <x:v>A · standard carbon</x:v>
      </x:c>
      <x:c r="R336"/>
      <x:c r="S336"/>
      <x:c r="T336" t="str">
        <x:v>RFQ required · no public supplier-specific quote</x:v>
      </x:c>
      <x:c r="U336"/>
      <x:c r="V336" t="str">
        <x:v>https://www.voestalpine.com/tubulars/en/products/Proprietary-Grades/</x:v>
      </x:c>
      <x:c r="W336" t="str">
        <x:v>Manufacturer-listed</x:v>
      </x:c>
      <x:c r="X336" t="str">
        <x:v>2025 API 5CT nomenclature applies; see voestalpine notice</x:v>
      </x:c>
      <x:c r="Y336" t="str">
        <x:v>2026-10-10</x:v>
      </x:c>
    </x:row>
    <x:row r="337" ht="22" customHeight="1">
      <x:c r="A337" t="str">
        <x:v>OCTG-0336</x:v>
      </x:c>
      <x:c r="B337" t="str">
        <x:v>voestalpine Tubulars</x:v>
      </x:c>
      <x:c r="C337" t="str">
        <x:v>Austria</x:v>
      </x:c>
      <x:c r="D337" t="str">
        <x:v>VA-S-110-EP</x:v>
      </x:c>
      <x:c r="E337" t="str">
        <x:v>Proprietary grade</x:v>
      </x:c>
      <x:c r="F337" t="str">
        <x:v>API 5CT-based / manufacturer specification</x:v>
      </x:c>
      <x:c r="G337" t="str">
        <x:v>Carbon / low alloy</x:v>
      </x:c>
      <x:c r="H337" t="str">
        <x:v>Sour + enhanced</x:v>
      </x:c>
      <x:c r="I337" t="str">
        <x:v>Casing and tubing (verify sizes)</x:v>
      </x:c>
      <x:c r="J337" t="str">
        <x:v>Sour service: manufacturer-defined limits</x:v>
      </x:c>
      <x:c r="K337" t="str">
        <x:v>Corrosion control may be needed</x:v>
      </x:c>
      <x:c r="L337" t="str">
        <x:v>API / not stated</x:v>
      </x:c>
      <x:c r="M337" t="n">
        <x:v>110</x:v>
      </x:c>
      <x:c r="N337" t="str"/>
      <x:c r="O337" t="str"/>
      <x:c r="P337" t="str"/>
      <x:c r="Q337" t="str">
        <x:v>A · standard carbon</x:v>
      </x:c>
      <x:c r="R337"/>
      <x:c r="S337"/>
      <x:c r="T337" t="str">
        <x:v>RFQ required · no public supplier-specific quote</x:v>
      </x:c>
      <x:c r="U337"/>
      <x:c r="V337" t="str">
        <x:v>https://www.voestalpine.com/tubulars/en/products/Proprietary-Grades/</x:v>
      </x:c>
      <x:c r="W337" t="str">
        <x:v>Manufacturer-listed</x:v>
      </x:c>
      <x:c r="X337" t="str">
        <x:v>2025 API 5CT nomenclature applies; see voestalpine notice</x:v>
      </x:c>
      <x:c r="Y337" t="str">
        <x:v>2026-10-10</x:v>
      </x:c>
    </x:row>
    <x:row r="338" ht="22" customHeight="1">
      <x:c r="A338" t="str">
        <x:v>OCTG-0337</x:v>
      </x:c>
      <x:c r="B338" t="str">
        <x:v>voestalpine Tubulars</x:v>
      </x:c>
      <x:c r="C338" t="str">
        <x:v>Austria</x:v>
      </x:c>
      <x:c r="D338" t="str">
        <x:v>VA-S-110-HC</x:v>
      </x:c>
      <x:c r="E338" t="str">
        <x:v>Proprietary grade</x:v>
      </x:c>
      <x:c r="F338" t="str">
        <x:v>API 5CT-based / manufacturer specification</x:v>
      </x:c>
      <x:c r="G338" t="str">
        <x:v>Carbon / low alloy</x:v>
      </x:c>
      <x:c r="H338" t="str">
        <x:v>Sour + high collapse</x:v>
      </x:c>
      <x:c r="I338" t="str">
        <x:v>Casing and tubing (verify sizes)</x:v>
      </x:c>
      <x:c r="J338" t="str">
        <x:v>Sour service: manufacturer-defined limits</x:v>
      </x:c>
      <x:c r="K338" t="str">
        <x:v>Corrosion control may be needed</x:v>
      </x:c>
      <x:c r="L338" t="str">
        <x:v>Enhanced</x:v>
      </x:c>
      <x:c r="M338" t="n">
        <x:v>110</x:v>
      </x:c>
      <x:c r="N338" t="str"/>
      <x:c r="O338" t="str"/>
      <x:c r="P338" t="str"/>
      <x:c r="Q338" t="str">
        <x:v>A · standard carbon</x:v>
      </x:c>
      <x:c r="R338"/>
      <x:c r="S338"/>
      <x:c r="T338" t="str">
        <x:v>RFQ required · no public supplier-specific quote</x:v>
      </x:c>
      <x:c r="U338"/>
      <x:c r="V338" t="str">
        <x:v>https://www.voestalpine.com/tubulars/en/products/Proprietary-Grades/</x:v>
      </x:c>
      <x:c r="W338" t="str">
        <x:v>Manufacturer-listed</x:v>
      </x:c>
      <x:c r="X338" t="str">
        <x:v>2025 API 5CT nomenclature applies; see voestalpine notice</x:v>
      </x:c>
      <x:c r="Y338" t="str">
        <x:v>2026-10-10</x:v>
      </x:c>
    </x:row>
    <x:row r="339" ht="22" customHeight="1">
      <x:c r="A339" t="str">
        <x:v>OCTG-0338</x:v>
      </x:c>
      <x:c r="B339" t="str">
        <x:v>voestalpine Tubulars</x:v>
      </x:c>
      <x:c r="C339" t="str">
        <x:v>Austria</x:v>
      </x:c>
      <x:c r="D339" t="str">
        <x:v>VA-S-125</x:v>
      </x:c>
      <x:c r="E339" t="str">
        <x:v>Proprietary grade</x:v>
      </x:c>
      <x:c r="F339" t="str">
        <x:v>API 5CT-based / manufacturer specification</x:v>
      </x:c>
      <x:c r="G339" t="str">
        <x:v>Carbon / low alloy</x:v>
      </x:c>
      <x:c r="H339" t="str">
        <x:v>Sour service</x:v>
      </x:c>
      <x:c r="I339" t="str">
        <x:v>Casing and tubing (verify sizes)</x:v>
      </x:c>
      <x:c r="J339" t="str">
        <x:v>Sour service: manufacturer-defined limits</x:v>
      </x:c>
      <x:c r="K339" t="str">
        <x:v>Corrosion control may be needed</x:v>
      </x:c>
      <x:c r="L339" t="str">
        <x:v>API / not stated</x:v>
      </x:c>
      <x:c r="M339" t="n">
        <x:v>125</x:v>
      </x:c>
      <x:c r="N339" t="str"/>
      <x:c r="O339" t="str"/>
      <x:c r="P339" t="str"/>
      <x:c r="Q339" t="str">
        <x:v>A · standard carbon</x:v>
      </x:c>
      <x:c r="R339"/>
      <x:c r="S339"/>
      <x:c r="T339" t="str">
        <x:v>RFQ required · no public supplier-specific quote</x:v>
      </x:c>
      <x:c r="U339"/>
      <x:c r="V339" t="str">
        <x:v>https://www.voestalpine.com/tubulars/en/products/Proprietary-Grades/</x:v>
      </x:c>
      <x:c r="W339" t="str">
        <x:v>Manufacturer-listed</x:v>
      </x:c>
      <x:c r="X339" t="str">
        <x:v>2025 API 5CT nomenclature applies; see voestalpine notice</x:v>
      </x:c>
      <x:c r="Y339" t="str">
        <x:v>2026-10-10</x:v>
      </x:c>
    </x:row>
    <x:row r="340" ht="22" customHeight="1">
      <x:c r="A340" t="str">
        <x:v>OCTG-0339</x:v>
      </x:c>
      <x:c r="B340" t="str">
        <x:v>voestalpine Tubulars</x:v>
      </x:c>
      <x:c r="C340" t="str">
        <x:v>Austria</x:v>
      </x:c>
      <x:c r="D340" t="str">
        <x:v>VA-S-125-EP</x:v>
      </x:c>
      <x:c r="E340" t="str">
        <x:v>Proprietary grade</x:v>
      </x:c>
      <x:c r="F340" t="str">
        <x:v>API 5CT-based / manufacturer specification</x:v>
      </x:c>
      <x:c r="G340" t="str">
        <x:v>Carbon / low alloy</x:v>
      </x:c>
      <x:c r="H340" t="str">
        <x:v>Sour + enhanced</x:v>
      </x:c>
      <x:c r="I340" t="str">
        <x:v>Casing and tubing (verify sizes)</x:v>
      </x:c>
      <x:c r="J340" t="str">
        <x:v>Sour service: manufacturer-defined limits</x:v>
      </x:c>
      <x:c r="K340" t="str">
        <x:v>Corrosion control may be needed</x:v>
      </x:c>
      <x:c r="L340" t="str">
        <x:v>API / not stated</x:v>
      </x:c>
      <x:c r="M340" t="n">
        <x:v>125</x:v>
      </x:c>
      <x:c r="N340" t="str"/>
      <x:c r="O340" t="str"/>
      <x:c r="P340" t="str"/>
      <x:c r="Q340" t="str">
        <x:v>A · standard carbon</x:v>
      </x:c>
      <x:c r="R340"/>
      <x:c r="S340"/>
      <x:c r="T340" t="str">
        <x:v>RFQ required · no public supplier-specific quote</x:v>
      </x:c>
      <x:c r="U340"/>
      <x:c r="V340" t="str">
        <x:v>https://www.voestalpine.com/tubulars/en/products/Proprietary-Grades/</x:v>
      </x:c>
      <x:c r="W340" t="str">
        <x:v>Manufacturer-listed</x:v>
      </x:c>
      <x:c r="X340" t="str">
        <x:v>2025 API 5CT nomenclature applies; see voestalpine notice</x:v>
      </x:c>
      <x:c r="Y340" t="str">
        <x:v>2026-10-10</x:v>
      </x:c>
    </x:row>
    <x:row r="341" ht="22" customHeight="1">
      <x:c r="A341" t="str">
        <x:v>OCTG-0340</x:v>
      </x:c>
      <x:c r="B341" t="str">
        <x:v>voestalpine Tubulars</x:v>
      </x:c>
      <x:c r="C341" t="str">
        <x:v>Austria</x:v>
      </x:c>
      <x:c r="D341" t="str">
        <x:v>VA-S-125-HC</x:v>
      </x:c>
      <x:c r="E341" t="str">
        <x:v>Proprietary grade</x:v>
      </x:c>
      <x:c r="F341" t="str">
        <x:v>API 5CT-based / manufacturer specification</x:v>
      </x:c>
      <x:c r="G341" t="str">
        <x:v>Carbon / low alloy</x:v>
      </x:c>
      <x:c r="H341" t="str">
        <x:v>Sour + high collapse</x:v>
      </x:c>
      <x:c r="I341" t="str">
        <x:v>Casing and tubing (verify sizes)</x:v>
      </x:c>
      <x:c r="J341" t="str">
        <x:v>Sour service: manufacturer-defined limits</x:v>
      </x:c>
      <x:c r="K341" t="str">
        <x:v>Corrosion control may be needed</x:v>
      </x:c>
      <x:c r="L341" t="str">
        <x:v>Enhanced</x:v>
      </x:c>
      <x:c r="M341" t="n">
        <x:v>125</x:v>
      </x:c>
      <x:c r="N341" t="str"/>
      <x:c r="O341" t="str"/>
      <x:c r="P341" t="str"/>
      <x:c r="Q341" t="str">
        <x:v>A · standard carbon</x:v>
      </x:c>
      <x:c r="R341"/>
      <x:c r="S341"/>
      <x:c r="T341" t="str">
        <x:v>RFQ required · no public supplier-specific quote</x:v>
      </x:c>
      <x:c r="U341"/>
      <x:c r="V341" t="str">
        <x:v>https://www.voestalpine.com/tubulars/en/products/Proprietary-Grades/</x:v>
      </x:c>
      <x:c r="W341" t="str">
        <x:v>Manufacturer-listed</x:v>
      </x:c>
      <x:c r="X341" t="str">
        <x:v>2025 API 5CT nomenclature applies; see voestalpine notice</x:v>
      </x:c>
      <x:c r="Y341" t="str">
        <x:v>2026-10-10</x:v>
      </x:c>
    </x:row>
    <x:row r="342" ht="22" customHeight="1">
      <x:c r="A342" t="str">
        <x:v>OCTG-0341</x:v>
      </x:c>
      <x:c r="B342" t="str">
        <x:v>voestalpine Tubulars</x:v>
      </x:c>
      <x:c r="C342" t="str">
        <x:v>Austria</x:v>
      </x:c>
      <x:c r="D342" t="str">
        <x:v>VA-SS-110</x:v>
      </x:c>
      <x:c r="E342" t="str">
        <x:v>Proprietary grade</x:v>
      </x:c>
      <x:c r="F342" t="str">
        <x:v>API 5CT-based / manufacturer specification</x:v>
      </x:c>
      <x:c r="G342" t="str">
        <x:v>Carbon / low alloy</x:v>
      </x:c>
      <x:c r="H342" t="str">
        <x:v>Sour service</x:v>
      </x:c>
      <x:c r="I342" t="str">
        <x:v>Casing and tubing (verify sizes)</x:v>
      </x:c>
      <x:c r="J342" t="str">
        <x:v>Sour service: manufacturer-defined limits</x:v>
      </x:c>
      <x:c r="K342" t="str">
        <x:v>Corrosion control may be needed</x:v>
      </x:c>
      <x:c r="L342" t="str">
        <x:v>API / not stated</x:v>
      </x:c>
      <x:c r="M342" t="n">
        <x:v>110</x:v>
      </x:c>
      <x:c r="N342" t="str"/>
      <x:c r="O342" t="str"/>
      <x:c r="P342" t="str"/>
      <x:c r="Q342" t="str">
        <x:v>A · standard carbon</x:v>
      </x:c>
      <x:c r="R342"/>
      <x:c r="S342"/>
      <x:c r="T342" t="str">
        <x:v>RFQ required · no public supplier-specific quote</x:v>
      </x:c>
      <x:c r="U342"/>
      <x:c r="V342" t="str">
        <x:v>https://www.voestalpine.com/tubulars/en/products/Proprietary-Grades/</x:v>
      </x:c>
      <x:c r="W342" t="str">
        <x:v>Manufacturer-listed</x:v>
      </x:c>
      <x:c r="X342" t="str">
        <x:v>2025 API 5CT nomenclature applies; see voestalpine notice</x:v>
      </x:c>
      <x:c r="Y342" t="str">
        <x:v>2026-10-10</x:v>
      </x:c>
    </x:row>
    <x:row r="343" ht="22" customHeight="1">
      <x:c r="A343" t="str">
        <x:v>OCTG-0342</x:v>
      </x:c>
      <x:c r="B343" t="str">
        <x:v>voestalpine Tubulars</x:v>
      </x:c>
      <x:c r="C343" t="str">
        <x:v>Austria</x:v>
      </x:c>
      <x:c r="D343" t="str">
        <x:v>VA-SS-110-EP</x:v>
      </x:c>
      <x:c r="E343" t="str">
        <x:v>Proprietary grade</x:v>
      </x:c>
      <x:c r="F343" t="str">
        <x:v>API 5CT-based / manufacturer specification</x:v>
      </x:c>
      <x:c r="G343" t="str">
        <x:v>Carbon / low alloy</x:v>
      </x:c>
      <x:c r="H343" t="str">
        <x:v>Sour + enhanced</x:v>
      </x:c>
      <x:c r="I343" t="str">
        <x:v>Casing and tubing (verify sizes)</x:v>
      </x:c>
      <x:c r="J343" t="str">
        <x:v>Sour service: manufacturer-defined limits</x:v>
      </x:c>
      <x:c r="K343" t="str">
        <x:v>Corrosion control may be needed</x:v>
      </x:c>
      <x:c r="L343" t="str">
        <x:v>API / not stated</x:v>
      </x:c>
      <x:c r="M343" t="n">
        <x:v>110</x:v>
      </x:c>
      <x:c r="N343" t="str"/>
      <x:c r="O343" t="str"/>
      <x:c r="P343" t="str"/>
      <x:c r="Q343" t="str">
        <x:v>A · standard carbon</x:v>
      </x:c>
      <x:c r="R343"/>
      <x:c r="S343"/>
      <x:c r="T343" t="str">
        <x:v>RFQ required · no public supplier-specific quote</x:v>
      </x:c>
      <x:c r="U343"/>
      <x:c r="V343" t="str">
        <x:v>https://www.voestalpine.com/tubulars/en/products/Proprietary-Grades/</x:v>
      </x:c>
      <x:c r="W343" t="str">
        <x:v>Manufacturer-listed</x:v>
      </x:c>
      <x:c r="X343" t="str">
        <x:v>2025 API 5CT nomenclature applies; see voestalpine notice</x:v>
      </x:c>
      <x:c r="Y343" t="str">
        <x:v>2026-10-10</x:v>
      </x:c>
    </x:row>
    <x:row r="344" ht="22" customHeight="1">
      <x:c r="A344" t="str">
        <x:v>OCTG-0343</x:v>
      </x:c>
      <x:c r="B344" t="str">
        <x:v>voestalpine Tubulars</x:v>
      </x:c>
      <x:c r="C344" t="str">
        <x:v>Austria</x:v>
      </x:c>
      <x:c r="D344" t="str">
        <x:v>VA-SS-110-HC</x:v>
      </x:c>
      <x:c r="E344" t="str">
        <x:v>Proprietary grade</x:v>
      </x:c>
      <x:c r="F344" t="str">
        <x:v>API 5CT-based / manufacturer specification</x:v>
      </x:c>
      <x:c r="G344" t="str">
        <x:v>Carbon / low alloy</x:v>
      </x:c>
      <x:c r="H344" t="str">
        <x:v>Sour + high collapse</x:v>
      </x:c>
      <x:c r="I344" t="str">
        <x:v>Casing and tubing (verify sizes)</x:v>
      </x:c>
      <x:c r="J344" t="str">
        <x:v>Sour service: manufacturer-defined limits</x:v>
      </x:c>
      <x:c r="K344" t="str">
        <x:v>Corrosion control may be needed</x:v>
      </x:c>
      <x:c r="L344" t="str">
        <x:v>Enhanced</x:v>
      </x:c>
      <x:c r="M344" t="n">
        <x:v>110</x:v>
      </x:c>
      <x:c r="N344" t="str"/>
      <x:c r="O344" t="str"/>
      <x:c r="P344" t="str"/>
      <x:c r="Q344" t="str">
        <x:v>A · standard carbon</x:v>
      </x:c>
      <x:c r="R344"/>
      <x:c r="S344"/>
      <x:c r="T344" t="str">
        <x:v>RFQ required · no public supplier-specific quote</x:v>
      </x:c>
      <x:c r="U344"/>
      <x:c r="V344" t="str">
        <x:v>https://www.voestalpine.com/tubulars/en/products/Proprietary-Grades/</x:v>
      </x:c>
      <x:c r="W344" t="str">
        <x:v>Manufacturer-listed</x:v>
      </x:c>
      <x:c r="X344" t="str">
        <x:v>2025 API 5CT nomenclature applies; see voestalpine notice</x:v>
      </x:c>
      <x:c r="Y344" t="str">
        <x:v>2026-10-10</x:v>
      </x:c>
    </x:row>
    <x:row r="345" ht="22" customHeight="1">
      <x:c r="A345" t="str">
        <x:v>OCTG-0344</x:v>
      </x:c>
      <x:c r="B345" t="str">
        <x:v>voestalpine Tubulars</x:v>
      </x:c>
      <x:c r="C345" t="str">
        <x:v>Austria</x:v>
      </x:c>
      <x:c r="D345" t="str">
        <x:v>VA-SS-80</x:v>
      </x:c>
      <x:c r="E345" t="str">
        <x:v>Proprietary grade</x:v>
      </x:c>
      <x:c r="F345" t="str">
        <x:v>API 5CT-based / manufacturer specification</x:v>
      </x:c>
      <x:c r="G345" t="str">
        <x:v>Carbon / low alloy</x:v>
      </x:c>
      <x:c r="H345" t="str">
        <x:v>Sour service</x:v>
      </x:c>
      <x:c r="I345" t="str">
        <x:v>Casing and tubing (verify sizes)</x:v>
      </x:c>
      <x:c r="J345" t="str">
        <x:v>Sour service: manufacturer-defined limits</x:v>
      </x:c>
      <x:c r="K345" t="str">
        <x:v>Corrosion control may be needed</x:v>
      </x:c>
      <x:c r="L345" t="str">
        <x:v>API / not stated</x:v>
      </x:c>
      <x:c r="M345" t="n">
        <x:v>80</x:v>
      </x:c>
      <x:c r="N345" t="str"/>
      <x:c r="O345" t="str"/>
      <x:c r="P345" t="str"/>
      <x:c r="Q345" t="str">
        <x:v>A · standard carbon</x:v>
      </x:c>
      <x:c r="R345"/>
      <x:c r="S345"/>
      <x:c r="T345" t="str">
        <x:v>RFQ required · no public supplier-specific quote</x:v>
      </x:c>
      <x:c r="U345"/>
      <x:c r="V345" t="str">
        <x:v>https://www.voestalpine.com/tubulars/en/products/Proprietary-Grades/</x:v>
      </x:c>
      <x:c r="W345" t="str">
        <x:v>Manufacturer-listed</x:v>
      </x:c>
      <x:c r="X345" t="str">
        <x:v>2025 API 5CT nomenclature applies; see voestalpine notice</x:v>
      </x:c>
      <x:c r="Y345" t="str">
        <x:v>2026-10-10</x:v>
      </x:c>
    </x:row>
    <x:row r="346" ht="22" customHeight="1">
      <x:c r="A346" t="str">
        <x:v>OCTG-0345</x:v>
      </x:c>
      <x:c r="B346" t="str">
        <x:v>voestalpine Tubulars</x:v>
      </x:c>
      <x:c r="C346" t="str">
        <x:v>Austria</x:v>
      </x:c>
      <x:c r="D346" t="str">
        <x:v>VA-SS-80-EP</x:v>
      </x:c>
      <x:c r="E346" t="str">
        <x:v>Proprietary grade</x:v>
      </x:c>
      <x:c r="F346" t="str">
        <x:v>API 5CT-based / manufacturer specification</x:v>
      </x:c>
      <x:c r="G346" t="str">
        <x:v>Carbon / low alloy</x:v>
      </x:c>
      <x:c r="H346" t="str">
        <x:v>Sour + enhanced</x:v>
      </x:c>
      <x:c r="I346" t="str">
        <x:v>Casing and tubing (verify sizes)</x:v>
      </x:c>
      <x:c r="J346" t="str">
        <x:v>Sour service: manufacturer-defined limits</x:v>
      </x:c>
      <x:c r="K346" t="str">
        <x:v>Corrosion control may be needed</x:v>
      </x:c>
      <x:c r="L346" t="str">
        <x:v>API / not stated</x:v>
      </x:c>
      <x:c r="M346" t="n">
        <x:v>80</x:v>
      </x:c>
      <x:c r="N346" t="str"/>
      <x:c r="O346" t="str"/>
      <x:c r="P346" t="str"/>
      <x:c r="Q346" t="str">
        <x:v>A · standard carbon</x:v>
      </x:c>
      <x:c r="R346"/>
      <x:c r="S346"/>
      <x:c r="T346" t="str">
        <x:v>RFQ required · no public supplier-specific quote</x:v>
      </x:c>
      <x:c r="U346"/>
      <x:c r="V346" t="str">
        <x:v>https://www.voestalpine.com/tubulars/en/products/Proprietary-Grades/</x:v>
      </x:c>
      <x:c r="W346" t="str">
        <x:v>Manufacturer-listed</x:v>
      </x:c>
      <x:c r="X346" t="str">
        <x:v>2025 API 5CT nomenclature applies; see voestalpine notice</x:v>
      </x:c>
      <x:c r="Y346" t="str">
        <x:v>2026-10-10</x:v>
      </x:c>
    </x:row>
    <x:row r="347" ht="22" customHeight="1">
      <x:c r="A347" t="str">
        <x:v>OCTG-0346</x:v>
      </x:c>
      <x:c r="B347" t="str">
        <x:v>voestalpine Tubulars</x:v>
      </x:c>
      <x:c r="C347" t="str">
        <x:v>Austria</x:v>
      </x:c>
      <x:c r="D347" t="str">
        <x:v>VA-SS-80-HC</x:v>
      </x:c>
      <x:c r="E347" t="str">
        <x:v>Proprietary grade</x:v>
      </x:c>
      <x:c r="F347" t="str">
        <x:v>API 5CT-based / manufacturer specification</x:v>
      </x:c>
      <x:c r="G347" t="str">
        <x:v>Carbon / low alloy</x:v>
      </x:c>
      <x:c r="H347" t="str">
        <x:v>Sour + high collapse</x:v>
      </x:c>
      <x:c r="I347" t="str">
        <x:v>Casing and tubing (verify sizes)</x:v>
      </x:c>
      <x:c r="J347" t="str">
        <x:v>Sour service: manufacturer-defined limits</x:v>
      </x:c>
      <x:c r="K347" t="str">
        <x:v>Corrosion control may be needed</x:v>
      </x:c>
      <x:c r="L347" t="str">
        <x:v>Enhanced</x:v>
      </x:c>
      <x:c r="M347" t="n">
        <x:v>80</x:v>
      </x:c>
      <x:c r="N347" t="str"/>
      <x:c r="O347" t="str"/>
      <x:c r="P347" t="str"/>
      <x:c r="Q347" t="str">
        <x:v>A · standard carbon</x:v>
      </x:c>
      <x:c r="R347"/>
      <x:c r="S347"/>
      <x:c r="T347" t="str">
        <x:v>RFQ required · no public supplier-specific quote</x:v>
      </x:c>
      <x:c r="U347"/>
      <x:c r="V347" t="str">
        <x:v>https://www.voestalpine.com/tubulars/en/products/Proprietary-Grades/</x:v>
      </x:c>
      <x:c r="W347" t="str">
        <x:v>Manufacturer-listed</x:v>
      </x:c>
      <x:c r="X347" t="str">
        <x:v>2025 API 5CT nomenclature applies; see voestalpine notice</x:v>
      </x:c>
      <x:c r="Y347" t="str">
        <x:v>2026-10-10</x:v>
      </x:c>
    </x:row>
    <x:row r="348" ht="22" customHeight="1">
      <x:c r="A348" t="str">
        <x:v>OCTG-0347</x:v>
      </x:c>
      <x:c r="B348" t="str">
        <x:v>voestalpine Tubulars</x:v>
      </x:c>
      <x:c r="C348" t="str">
        <x:v>Austria</x:v>
      </x:c>
      <x:c r="D348" t="str">
        <x:v>VA-SS-90</x:v>
      </x:c>
      <x:c r="E348" t="str">
        <x:v>Proprietary grade</x:v>
      </x:c>
      <x:c r="F348" t="str">
        <x:v>API 5CT-based / manufacturer specification</x:v>
      </x:c>
      <x:c r="G348" t="str">
        <x:v>Carbon / low alloy</x:v>
      </x:c>
      <x:c r="H348" t="str">
        <x:v>Sour service</x:v>
      </x:c>
      <x:c r="I348" t="str">
        <x:v>Casing and tubing (verify sizes)</x:v>
      </x:c>
      <x:c r="J348" t="str">
        <x:v>Sour service: manufacturer-defined limits</x:v>
      </x:c>
      <x:c r="K348" t="str">
        <x:v>Corrosion control may be needed</x:v>
      </x:c>
      <x:c r="L348" t="str">
        <x:v>API / not stated</x:v>
      </x:c>
      <x:c r="M348" t="n">
        <x:v>90</x:v>
      </x:c>
      <x:c r="N348" t="str"/>
      <x:c r="O348" t="str"/>
      <x:c r="P348" t="str"/>
      <x:c r="Q348" t="str">
        <x:v>A · standard carbon</x:v>
      </x:c>
      <x:c r="R348"/>
      <x:c r="S348"/>
      <x:c r="T348" t="str">
        <x:v>RFQ required · no public supplier-specific quote</x:v>
      </x:c>
      <x:c r="U348"/>
      <x:c r="V348" t="str">
        <x:v>https://www.voestalpine.com/tubulars/en/products/Proprietary-Grades/</x:v>
      </x:c>
      <x:c r="W348" t="str">
        <x:v>Manufacturer-listed</x:v>
      </x:c>
      <x:c r="X348" t="str">
        <x:v>2025 API 5CT nomenclature applies; see voestalpine notice</x:v>
      </x:c>
      <x:c r="Y348" t="str">
        <x:v>2026-10-10</x:v>
      </x:c>
    </x:row>
    <x:row r="349" ht="22" customHeight="1">
      <x:c r="A349" t="str">
        <x:v>OCTG-0348</x:v>
      </x:c>
      <x:c r="B349" t="str">
        <x:v>voestalpine Tubulars</x:v>
      </x:c>
      <x:c r="C349" t="str">
        <x:v>Austria</x:v>
      </x:c>
      <x:c r="D349" t="str">
        <x:v>VA-SS-90-EP</x:v>
      </x:c>
      <x:c r="E349" t="str">
        <x:v>Proprietary grade</x:v>
      </x:c>
      <x:c r="F349" t="str">
        <x:v>API 5CT-based / manufacturer specification</x:v>
      </x:c>
      <x:c r="G349" t="str">
        <x:v>Carbon / low alloy</x:v>
      </x:c>
      <x:c r="H349" t="str">
        <x:v>Sour + enhanced</x:v>
      </x:c>
      <x:c r="I349" t="str">
        <x:v>Casing and tubing (verify sizes)</x:v>
      </x:c>
      <x:c r="J349" t="str">
        <x:v>Sour service: manufacturer-defined limits</x:v>
      </x:c>
      <x:c r="K349" t="str">
        <x:v>Corrosion control may be needed</x:v>
      </x:c>
      <x:c r="L349" t="str">
        <x:v>API / not stated</x:v>
      </x:c>
      <x:c r="M349" t="n">
        <x:v>90</x:v>
      </x:c>
      <x:c r="N349" t="str"/>
      <x:c r="O349" t="str"/>
      <x:c r="P349" t="str"/>
      <x:c r="Q349" t="str">
        <x:v>A · standard carbon</x:v>
      </x:c>
      <x:c r="R349"/>
      <x:c r="S349"/>
      <x:c r="T349" t="str">
        <x:v>RFQ required · no public supplier-specific quote</x:v>
      </x:c>
      <x:c r="U349"/>
      <x:c r="V349" t="str">
        <x:v>https://www.voestalpine.com/tubulars/en/products/Proprietary-Grades/</x:v>
      </x:c>
      <x:c r="W349" t="str">
        <x:v>Manufacturer-listed</x:v>
      </x:c>
      <x:c r="X349" t="str">
        <x:v>2025 API 5CT nomenclature applies; see voestalpine notice</x:v>
      </x:c>
      <x:c r="Y349" t="str">
        <x:v>2026-10-10</x:v>
      </x:c>
    </x:row>
    <x:row r="350" ht="22" customHeight="1">
      <x:c r="A350" t="str">
        <x:v>OCTG-0349</x:v>
      </x:c>
      <x:c r="B350" t="str">
        <x:v>voestalpine Tubulars</x:v>
      </x:c>
      <x:c r="C350" t="str">
        <x:v>Austria</x:v>
      </x:c>
      <x:c r="D350" t="str">
        <x:v>VA-SS-90-HC</x:v>
      </x:c>
      <x:c r="E350" t="str">
        <x:v>Proprietary grade</x:v>
      </x:c>
      <x:c r="F350" t="str">
        <x:v>API 5CT-based / manufacturer specification</x:v>
      </x:c>
      <x:c r="G350" t="str">
        <x:v>Carbon / low alloy</x:v>
      </x:c>
      <x:c r="H350" t="str">
        <x:v>Sour + high collapse</x:v>
      </x:c>
      <x:c r="I350" t="str">
        <x:v>Casing and tubing (verify sizes)</x:v>
      </x:c>
      <x:c r="J350" t="str">
        <x:v>Sour service: manufacturer-defined limits</x:v>
      </x:c>
      <x:c r="K350" t="str">
        <x:v>Corrosion control may be needed</x:v>
      </x:c>
      <x:c r="L350" t="str">
        <x:v>Enhanced</x:v>
      </x:c>
      <x:c r="M350" t="n">
        <x:v>90</x:v>
      </x:c>
      <x:c r="N350" t="str"/>
      <x:c r="O350" t="str"/>
      <x:c r="P350" t="str"/>
      <x:c r="Q350" t="str">
        <x:v>A · standard carbon</x:v>
      </x:c>
      <x:c r="R350"/>
      <x:c r="S350"/>
      <x:c r="T350" t="str">
        <x:v>RFQ required · no public supplier-specific quote</x:v>
      </x:c>
      <x:c r="U350"/>
      <x:c r="V350" t="str">
        <x:v>https://www.voestalpine.com/tubulars/en/products/Proprietary-Grades/</x:v>
      </x:c>
      <x:c r="W350" t="str">
        <x:v>Manufacturer-listed</x:v>
      </x:c>
      <x:c r="X350" t="str">
        <x:v>2025 API 5CT nomenclature applies; see voestalpine notice</x:v>
      </x:c>
      <x:c r="Y350" t="str">
        <x:v>2026-10-10</x:v>
      </x:c>
    </x:row>
    <x:row r="351" ht="22" customHeight="1">
      <x:c r="A351" t="str">
        <x:v>OCTG-0350</x:v>
      </x:c>
      <x:c r="B351" t="str">
        <x:v>voestalpine Tubulars</x:v>
      </x:c>
      <x:c r="C351" t="str">
        <x:v>Austria</x:v>
      </x:c>
      <x:c r="D351" t="str">
        <x:v>VA-SS-95</x:v>
      </x:c>
      <x:c r="E351" t="str">
        <x:v>Proprietary grade</x:v>
      </x:c>
      <x:c r="F351" t="str">
        <x:v>API 5CT-based / manufacturer specification</x:v>
      </x:c>
      <x:c r="G351" t="str">
        <x:v>Carbon / low alloy</x:v>
      </x:c>
      <x:c r="H351" t="str">
        <x:v>Sour service</x:v>
      </x:c>
      <x:c r="I351" t="str">
        <x:v>Casing and tubing (verify sizes)</x:v>
      </x:c>
      <x:c r="J351" t="str">
        <x:v>Sour service: manufacturer-defined limits</x:v>
      </x:c>
      <x:c r="K351" t="str">
        <x:v>Corrosion control may be needed</x:v>
      </x:c>
      <x:c r="L351" t="str">
        <x:v>API / not stated</x:v>
      </x:c>
      <x:c r="M351" t="n">
        <x:v>95</x:v>
      </x:c>
      <x:c r="N351" t="str"/>
      <x:c r="O351" t="str"/>
      <x:c r="P351" t="str"/>
      <x:c r="Q351" t="str">
        <x:v>A · standard carbon</x:v>
      </x:c>
      <x:c r="R351"/>
      <x:c r="S351"/>
      <x:c r="T351" t="str">
        <x:v>RFQ required · no public supplier-specific quote</x:v>
      </x:c>
      <x:c r="U351"/>
      <x:c r="V351" t="str">
        <x:v>https://www.voestalpine.com/tubulars/en/products/Proprietary-Grades/</x:v>
      </x:c>
      <x:c r="W351" t="str">
        <x:v>Manufacturer-listed</x:v>
      </x:c>
      <x:c r="X351" t="str">
        <x:v>2025 API 5CT nomenclature applies; see voestalpine notice</x:v>
      </x:c>
      <x:c r="Y351" t="str">
        <x:v>2026-10-10</x:v>
      </x:c>
    </x:row>
    <x:row r="352" ht="22" customHeight="1">
      <x:c r="A352" t="str">
        <x:v>OCTG-0351</x:v>
      </x:c>
      <x:c r="B352" t="str">
        <x:v>voestalpine Tubulars</x:v>
      </x:c>
      <x:c r="C352" t="str">
        <x:v>Austria</x:v>
      </x:c>
      <x:c r="D352" t="str">
        <x:v>VA-SS-95-EP</x:v>
      </x:c>
      <x:c r="E352" t="str">
        <x:v>Proprietary grade</x:v>
      </x:c>
      <x:c r="F352" t="str">
        <x:v>API 5CT-based / manufacturer specification</x:v>
      </x:c>
      <x:c r="G352" t="str">
        <x:v>Carbon / low alloy</x:v>
      </x:c>
      <x:c r="H352" t="str">
        <x:v>Sour + enhanced</x:v>
      </x:c>
      <x:c r="I352" t="str">
        <x:v>Casing and tubing (verify sizes)</x:v>
      </x:c>
      <x:c r="J352" t="str">
        <x:v>Sour service: manufacturer-defined limits</x:v>
      </x:c>
      <x:c r="K352" t="str">
        <x:v>Corrosion control may be needed</x:v>
      </x:c>
      <x:c r="L352" t="str">
        <x:v>API / not stated</x:v>
      </x:c>
      <x:c r="M352" t="n">
        <x:v>95</x:v>
      </x:c>
      <x:c r="N352" t="str"/>
      <x:c r="O352" t="str"/>
      <x:c r="P352" t="str"/>
      <x:c r="Q352" t="str">
        <x:v>A · standard carbon</x:v>
      </x:c>
      <x:c r="R352"/>
      <x:c r="S352"/>
      <x:c r="T352" t="str">
        <x:v>RFQ required · no public supplier-specific quote</x:v>
      </x:c>
      <x:c r="U352"/>
      <x:c r="V352" t="str">
        <x:v>https://www.voestalpine.com/tubulars/en/products/Proprietary-Grades/</x:v>
      </x:c>
      <x:c r="W352" t="str">
        <x:v>Manufacturer-listed</x:v>
      </x:c>
      <x:c r="X352" t="str">
        <x:v>2025 API 5CT nomenclature applies; see voestalpine notice</x:v>
      </x:c>
      <x:c r="Y352" t="str">
        <x:v>2026-10-10</x:v>
      </x:c>
    </x:row>
    <x:row r="353" ht="22" customHeight="1">
      <x:c r="A353" t="str">
        <x:v>OCTG-0352</x:v>
      </x:c>
      <x:c r="B353" t="str">
        <x:v>voestalpine Tubulars</x:v>
      </x:c>
      <x:c r="C353" t="str">
        <x:v>Austria</x:v>
      </x:c>
      <x:c r="D353" t="str">
        <x:v>VA-SS-95-HC</x:v>
      </x:c>
      <x:c r="E353" t="str">
        <x:v>Proprietary grade</x:v>
      </x:c>
      <x:c r="F353" t="str">
        <x:v>API 5CT-based / manufacturer specification</x:v>
      </x:c>
      <x:c r="G353" t="str">
        <x:v>Carbon / low alloy</x:v>
      </x:c>
      <x:c r="H353" t="str">
        <x:v>Sour + high collapse</x:v>
      </x:c>
      <x:c r="I353" t="str">
        <x:v>Casing and tubing (verify sizes)</x:v>
      </x:c>
      <x:c r="J353" t="str">
        <x:v>Sour service: manufacturer-defined limits</x:v>
      </x:c>
      <x:c r="K353" t="str">
        <x:v>Corrosion control may be needed</x:v>
      </x:c>
      <x:c r="L353" t="str">
        <x:v>Enhanced</x:v>
      </x:c>
      <x:c r="M353" t="n">
        <x:v>95</x:v>
      </x:c>
      <x:c r="N353" t="str"/>
      <x:c r="O353" t="str"/>
      <x:c r="P353" t="str"/>
      <x:c r="Q353" t="str">
        <x:v>A · standard carbon</x:v>
      </x:c>
      <x:c r="R353"/>
      <x:c r="S353"/>
      <x:c r="T353" t="str">
        <x:v>RFQ required · no public supplier-specific quote</x:v>
      </x:c>
      <x:c r="U353"/>
      <x:c r="V353" t="str">
        <x:v>https://www.voestalpine.com/tubulars/en/products/Proprietary-Grades/</x:v>
      </x:c>
      <x:c r="W353" t="str">
        <x:v>Manufacturer-listed</x:v>
      </x:c>
      <x:c r="X353" t="str">
        <x:v>2025 API 5CT nomenclature applies; see voestalpine notice</x:v>
      </x:c>
      <x:c r="Y353" t="str">
        <x:v>2026-10-10</x:v>
      </x:c>
    </x:row>
    <x:row r="354" ht="22" customHeight="1">
      <x:c r="A354" t="str">
        <x:v>OCTG-0353</x:v>
      </x:c>
      <x:c r="B354" t="str">
        <x:v>voestalpine Tubulars</x:v>
      </x:c>
      <x:c r="C354" t="str">
        <x:v>Austria</x:v>
      </x:c>
      <x:c r="D354" t="str">
        <x:v>VA-XP-C90</x:v>
      </x:c>
      <x:c r="E354" t="str">
        <x:v>Proprietary grade</x:v>
      </x:c>
      <x:c r="F354" t="str">
        <x:v>API 5CT-based / manufacturer specification</x:v>
      </x:c>
      <x:c r="G354" t="str">
        <x:v>Carbon / low alloy</x:v>
      </x:c>
      <x:c r="H354" t="str">
        <x:v>Extreme performance</x:v>
      </x:c>
      <x:c r="I354" t="str">
        <x:v>Casing and tubing (verify sizes)</x:v>
      </x:c>
      <x:c r="J354" t="str">
        <x:v>Not established by grade name</x:v>
      </x:c>
      <x:c r="K354" t="str">
        <x:v>Corrosion control may be needed</x:v>
      </x:c>
      <x:c r="L354" t="str">
        <x:v>API / not stated</x:v>
      </x:c>
      <x:c r="M354" t="n">
        <x:v>90</x:v>
      </x:c>
      <x:c r="N354" t="str"/>
      <x:c r="O354" t="str"/>
      <x:c r="P354" t="str"/>
      <x:c r="Q354" t="str">
        <x:v>A · standard carbon</x:v>
      </x:c>
      <x:c r="R354"/>
      <x:c r="S354"/>
      <x:c r="T354" t="str">
        <x:v>RFQ required · no public supplier-specific quote</x:v>
      </x:c>
      <x:c r="U354"/>
      <x:c r="V354" t="str">
        <x:v>https://www.voestalpine.com/tubulars/en/products/Proprietary-Grades/</x:v>
      </x:c>
      <x:c r="W354" t="str">
        <x:v>Manufacturer-listed</x:v>
      </x:c>
      <x:c r="X354" t="str">
        <x:v>2025 API 5CT nomenclature applies; see voestalpine notice</x:v>
      </x:c>
      <x:c r="Y354" t="str">
        <x:v>2026-10-10</x:v>
      </x:c>
    </x:row>
    <x:row r="355" ht="22" customHeight="1">
      <x:c r="A355" t="str">
        <x:v>OCTG-0354</x:v>
      </x:c>
      <x:c r="B355" t="str">
        <x:v>voestalpine Tubulars</x:v>
      </x:c>
      <x:c r="C355" t="str">
        <x:v>Austria</x:v>
      </x:c>
      <x:c r="D355" t="str">
        <x:v>VA-XP-L80-1</x:v>
      </x:c>
      <x:c r="E355" t="str">
        <x:v>Proprietary grade</x:v>
      </x:c>
      <x:c r="F355" t="str">
        <x:v>API 5CT-based / manufacturer specification</x:v>
      </x:c>
      <x:c r="G355" t="str">
        <x:v>Carbon / low alloy</x:v>
      </x:c>
      <x:c r="H355" t="str">
        <x:v>Extreme performance</x:v>
      </x:c>
      <x:c r="I355" t="str">
        <x:v>Casing and tubing (verify sizes)</x:v>
      </x:c>
      <x:c r="J355" t="str">
        <x:v>Not established by grade name</x:v>
      </x:c>
      <x:c r="K355" t="str">
        <x:v>Corrosion control may be needed</x:v>
      </x:c>
      <x:c r="L355" t="str">
        <x:v>API / not stated</x:v>
      </x:c>
      <x:c r="M355" t="n">
        <x:v>80</x:v>
      </x:c>
      <x:c r="N355" t="str"/>
      <x:c r="O355" t="str"/>
      <x:c r="P355" t="str"/>
      <x:c r="Q355" t="str">
        <x:v>A · standard carbon</x:v>
      </x:c>
      <x:c r="R355"/>
      <x:c r="S355"/>
      <x:c r="T355" t="str">
        <x:v>RFQ required · no public supplier-specific quote</x:v>
      </x:c>
      <x:c r="U355"/>
      <x:c r="V355" t="str">
        <x:v>https://www.voestalpine.com/tubulars/en/products/Proprietary-Grades/</x:v>
      </x:c>
      <x:c r="W355" t="str">
        <x:v>Manufacturer-listed</x:v>
      </x:c>
      <x:c r="X355" t="str">
        <x:v>2025 API 5CT nomenclature applies; see voestalpine notice</x:v>
      </x:c>
      <x:c r="Y355" t="str">
        <x:v>2026-10-10</x:v>
      </x:c>
    </x:row>
    <x:row r="356" ht="22" customHeight="1">
      <x:c r="A356" t="str">
        <x:v>OCTG-0355</x:v>
      </x:c>
      <x:c r="B356" t="str">
        <x:v>voestalpine Tubulars</x:v>
      </x:c>
      <x:c r="C356" t="str">
        <x:v>Austria</x:v>
      </x:c>
      <x:c r="D356" t="str">
        <x:v>VA-XP-N80-Q</x:v>
      </x:c>
      <x:c r="E356" t="str">
        <x:v>Proprietary grade</x:v>
      </x:c>
      <x:c r="F356" t="str">
        <x:v>API 5CT-based / manufacturer specification</x:v>
      </x:c>
      <x:c r="G356" t="str">
        <x:v>Carbon / low alloy</x:v>
      </x:c>
      <x:c r="H356" t="str">
        <x:v>Extreme performance</x:v>
      </x:c>
      <x:c r="I356" t="str">
        <x:v>Casing and tubing (verify sizes)</x:v>
      </x:c>
      <x:c r="J356" t="str">
        <x:v>Not established by grade name</x:v>
      </x:c>
      <x:c r="K356" t="str">
        <x:v>Corrosion control may be needed</x:v>
      </x:c>
      <x:c r="L356" t="str">
        <x:v>API / not stated</x:v>
      </x:c>
      <x:c r="M356" t="n">
        <x:v>80</x:v>
      </x:c>
      <x:c r="N356" t="str"/>
      <x:c r="O356" t="str"/>
      <x:c r="P356" t="str"/>
      <x:c r="Q356" t="str">
        <x:v>A · standard carbon</x:v>
      </x:c>
      <x:c r="R356"/>
      <x:c r="S356"/>
      <x:c r="T356" t="str">
        <x:v>RFQ required · no public supplier-specific quote</x:v>
      </x:c>
      <x:c r="U356"/>
      <x:c r="V356" t="str">
        <x:v>https://www.voestalpine.com/tubulars/en/products/Proprietary-Grades/</x:v>
      </x:c>
      <x:c r="W356" t="str">
        <x:v>Manufacturer-listed</x:v>
      </x:c>
      <x:c r="X356" t="str">
        <x:v>2025 API 5CT nomenclature applies; see voestalpine notice</x:v>
      </x:c>
      <x:c r="Y356" t="str">
        <x:v>2026-10-10</x:v>
      </x:c>
    </x:row>
    <x:row r="357" ht="22" customHeight="1">
      <x:c r="A357" t="str">
        <x:v>OCTG-0356</x:v>
      </x:c>
      <x:c r="B357" t="str">
        <x:v>voestalpine Tubulars</x:v>
      </x:c>
      <x:c r="C357" t="str">
        <x:v>Austria</x:v>
      </x:c>
      <x:c r="D357" t="str">
        <x:v>VA-XP-P110</x:v>
      </x:c>
      <x:c r="E357" t="str">
        <x:v>Proprietary grade</x:v>
      </x:c>
      <x:c r="F357" t="str">
        <x:v>API 5CT-based / manufacturer specification</x:v>
      </x:c>
      <x:c r="G357" t="str">
        <x:v>Carbon / low alloy</x:v>
      </x:c>
      <x:c r="H357" t="str">
        <x:v>Extreme performance</x:v>
      </x:c>
      <x:c r="I357" t="str">
        <x:v>Casing and tubing (verify sizes)</x:v>
      </x:c>
      <x:c r="J357" t="str">
        <x:v>Not established by grade name</x:v>
      </x:c>
      <x:c r="K357" t="str">
        <x:v>Corrosion control may be needed</x:v>
      </x:c>
      <x:c r="L357" t="str">
        <x:v>API / not stated</x:v>
      </x:c>
      <x:c r="M357" t="n">
        <x:v>110</x:v>
      </x:c>
      <x:c r="N357" t="str"/>
      <x:c r="O357" t="str"/>
      <x:c r="P357" t="str"/>
      <x:c r="Q357" t="str">
        <x:v>A · standard carbon</x:v>
      </x:c>
      <x:c r="R357"/>
      <x:c r="S357"/>
      <x:c r="T357" t="str">
        <x:v>RFQ required · no public supplier-specific quote</x:v>
      </x:c>
      <x:c r="U357"/>
      <x:c r="V357" t="str">
        <x:v>https://www.voestalpine.com/tubulars/en/products/Proprietary-Grades/</x:v>
      </x:c>
      <x:c r="W357" t="str">
        <x:v>Manufacturer-listed</x:v>
      </x:c>
      <x:c r="X357" t="str">
        <x:v>2025 API 5CT nomenclature applies; see voestalpine notice</x:v>
      </x:c>
      <x:c r="Y357" t="str">
        <x:v>2026-10-10</x:v>
      </x:c>
    </x:row>
    <x:row r="358" ht="22" customHeight="1">
      <x:c r="A358" t="str">
        <x:v>OCTG-0357</x:v>
      </x:c>
      <x:c r="B358" t="str">
        <x:v>voestalpine Tubulars</x:v>
      </x:c>
      <x:c r="C358" t="str">
        <x:v>Austria</x:v>
      </x:c>
      <x:c r="D358" t="str">
        <x:v>VA-XP-Q125</x:v>
      </x:c>
      <x:c r="E358" t="str">
        <x:v>Proprietary grade</x:v>
      </x:c>
      <x:c r="F358" t="str">
        <x:v>API 5CT-based / manufacturer specification</x:v>
      </x:c>
      <x:c r="G358" t="str">
        <x:v>Carbon / low alloy</x:v>
      </x:c>
      <x:c r="H358" t="str">
        <x:v>Extreme performance</x:v>
      </x:c>
      <x:c r="I358" t="str">
        <x:v>Casing and tubing (verify sizes)</x:v>
      </x:c>
      <x:c r="J358" t="str">
        <x:v>Not established by grade name</x:v>
      </x:c>
      <x:c r="K358" t="str">
        <x:v>Corrosion control may be needed</x:v>
      </x:c>
      <x:c r="L358" t="str">
        <x:v>API / not stated</x:v>
      </x:c>
      <x:c r="M358" t="n">
        <x:v>125</x:v>
      </x:c>
      <x:c r="N358" t="str"/>
      <x:c r="O358" t="str"/>
      <x:c r="P358" t="str"/>
      <x:c r="Q358" t="str">
        <x:v>A · standard carbon</x:v>
      </x:c>
      <x:c r="R358"/>
      <x:c r="S358"/>
      <x:c r="T358" t="str">
        <x:v>RFQ required · no public supplier-specific quote</x:v>
      </x:c>
      <x:c r="U358"/>
      <x:c r="V358" t="str">
        <x:v>https://www.voestalpine.com/tubulars/en/products/Proprietary-Grades/</x:v>
      </x:c>
      <x:c r="W358" t="str">
        <x:v>Manufacturer-listed</x:v>
      </x:c>
      <x:c r="X358" t="str">
        <x:v>2025 API 5CT nomenclature applies; see voestalpine notice</x:v>
      </x:c>
      <x:c r="Y358" t="str">
        <x:v>2026-10-10</x:v>
      </x:c>
    </x:row>
    <x:row r="359" ht="22" customHeight="1">
      <x:c r="A359" t="str">
        <x:v>OCTG-0358</x:v>
      </x:c>
      <x:c r="B359" t="str">
        <x:v>voestalpine Tubulars</x:v>
      </x:c>
      <x:c r="C359" t="str">
        <x:v>Austria</x:v>
      </x:c>
      <x:c r="D359" t="str">
        <x:v>VA-XP-R95</x:v>
      </x:c>
      <x:c r="E359" t="str">
        <x:v>Proprietary grade</x:v>
      </x:c>
      <x:c r="F359" t="str">
        <x:v>API 5CT-based / manufacturer specification</x:v>
      </x:c>
      <x:c r="G359" t="str">
        <x:v>Carbon / low alloy</x:v>
      </x:c>
      <x:c r="H359" t="str">
        <x:v>Extreme performance</x:v>
      </x:c>
      <x:c r="I359" t="str">
        <x:v>Casing and tubing (verify sizes)</x:v>
      </x:c>
      <x:c r="J359" t="str">
        <x:v>Not established by grade name</x:v>
      </x:c>
      <x:c r="K359" t="str">
        <x:v>Corrosion control may be needed</x:v>
      </x:c>
      <x:c r="L359" t="str">
        <x:v>API / not stated</x:v>
      </x:c>
      <x:c r="M359" t="n">
        <x:v>95</x:v>
      </x:c>
      <x:c r="N359" t="str"/>
      <x:c r="O359" t="str"/>
      <x:c r="P359" t="str"/>
      <x:c r="Q359" t="str">
        <x:v>A · standard carbon</x:v>
      </x:c>
      <x:c r="R359"/>
      <x:c r="S359"/>
      <x:c r="T359" t="str">
        <x:v>RFQ required · no public supplier-specific quote</x:v>
      </x:c>
      <x:c r="U359"/>
      <x:c r="V359" t="str">
        <x:v>https://www.voestalpine.com/tubulars/en/products/Proprietary-Grades/</x:v>
      </x:c>
      <x:c r="W359" t="str">
        <x:v>Manufacturer-listed</x:v>
      </x:c>
      <x:c r="X359" t="str">
        <x:v>2025 API 5CT nomenclature applies; see voestalpine notice</x:v>
      </x:c>
      <x:c r="Y359" t="str">
        <x:v>2026-10-10</x:v>
      </x:c>
    </x:row>
    <x:row r="360" ht="22" customHeight="1">
      <x:c r="A360" t="str">
        <x:v>OCTG-0359</x:v>
      </x:c>
      <x:c r="B360" t="str">
        <x:v>voestalpine Tubulars</x:v>
      </x:c>
      <x:c r="C360" t="str">
        <x:v>Austria</x:v>
      </x:c>
      <x:c r="D360" t="str">
        <x:v>VA-XP-T95</x:v>
      </x:c>
      <x:c r="E360" t="str">
        <x:v>Proprietary grade</x:v>
      </x:c>
      <x:c r="F360" t="str">
        <x:v>API 5CT-based / manufacturer specification</x:v>
      </x:c>
      <x:c r="G360" t="str">
        <x:v>Carbon / low alloy</x:v>
      </x:c>
      <x:c r="H360" t="str">
        <x:v>Extreme performance</x:v>
      </x:c>
      <x:c r="I360" t="str">
        <x:v>Casing and tubing (verify sizes)</x:v>
      </x:c>
      <x:c r="J360" t="str">
        <x:v>Not established by grade name</x:v>
      </x:c>
      <x:c r="K360" t="str">
        <x:v>Corrosion control may be needed</x:v>
      </x:c>
      <x:c r="L360" t="str">
        <x:v>API / not stated</x:v>
      </x:c>
      <x:c r="M360" t="n">
        <x:v>95</x:v>
      </x:c>
      <x:c r="N360" t="str"/>
      <x:c r="O360" t="str"/>
      <x:c r="P360" t="str"/>
      <x:c r="Q360" t="str">
        <x:v>A · standard carbon</x:v>
      </x:c>
      <x:c r="R360"/>
      <x:c r="S360"/>
      <x:c r="T360" t="str">
        <x:v>RFQ required · no public supplier-specific quote</x:v>
      </x:c>
      <x:c r="U360"/>
      <x:c r="V360" t="str">
        <x:v>https://www.voestalpine.com/tubulars/en/products/Proprietary-Grades/</x:v>
      </x:c>
      <x:c r="W360" t="str">
        <x:v>Manufacturer-listed</x:v>
      </x:c>
      <x:c r="X360" t="str">
        <x:v>2025 API 5CT nomenclature applies; see voestalpine notice</x:v>
      </x:c>
      <x:c r="Y360" t="str">
        <x:v>2026-10-10</x:v>
      </x:c>
    </x:row>
    <x:row r="361" ht="22" customHeight="1">
      <x:c r="A361" t="str">
        <x:v>OCTG-0360</x:v>
      </x:c>
      <x:c r="B361" t="str">
        <x:v>voestalpine Tubulars</x:v>
      </x:c>
      <x:c r="C361" t="str">
        <x:v>Austria</x:v>
      </x:c>
      <x:c r="D361" t="str">
        <x:v>VA-FP-55-1CR</x:v>
      </x:c>
      <x:c r="E361" t="str">
        <x:v>Proprietary grade</x:v>
      </x:c>
      <x:c r="F361" t="str">
        <x:v>API 5CT-based / manufacturer specification</x:v>
      </x:c>
      <x:c r="G361" t="str">
        <x:v>Low-Cr alloy steel</x:v>
      </x:c>
      <x:c r="H361" t="str">
        <x:v>Mild wet CO2 / sweet service</x:v>
      </x:c>
      <x:c r="I361" t="str">
        <x:v>Casing and tubing (verify sizes)</x:v>
      </x:c>
      <x:c r="J361" t="str">
        <x:v>Not established by grade name</x:v>
      </x:c>
      <x:c r="K361" t="str">
        <x:v>Corrosion control may be needed</x:v>
      </x:c>
      <x:c r="L361" t="str">
        <x:v>API / not stated</x:v>
      </x:c>
      <x:c r="M361" t="n">
        <x:v>55</x:v>
      </x:c>
      <x:c r="N361" t="str"/>
      <x:c r="O361" t="str"/>
      <x:c r="P361" t="str"/>
      <x:c r="Q361" t="str">
        <x:v>B · low-Cr alloy</x:v>
      </x:c>
      <x:c r="R361"/>
      <x:c r="S361"/>
      <x:c r="T361" t="str">
        <x:v>RFQ required · no public supplier-specific quote</x:v>
      </x:c>
      <x:c r="U361"/>
      <x:c r="V361" t="str">
        <x:v>https://www.voestalpine.com/tubulars/en/products/Proprietary-Grades/</x:v>
      </x:c>
      <x:c r="W361" t="str">
        <x:v>Manufacturer-listed</x:v>
      </x:c>
      <x:c r="X361" t="str"/>
      <x:c r="Y361" t="str">
        <x:v>2026-10-10</x:v>
      </x:c>
    </x:row>
    <x:row r="362" ht="22" customHeight="1">
      <x:c r="A362" t="str">
        <x:v>OCTG-0361</x:v>
      </x:c>
      <x:c r="B362" t="str">
        <x:v>voestalpine Tubulars</x:v>
      </x:c>
      <x:c r="C362" t="str">
        <x:v>Austria</x:v>
      </x:c>
      <x:c r="D362" t="str">
        <x:v>VA-FP-75-1CR</x:v>
      </x:c>
      <x:c r="E362" t="str">
        <x:v>Proprietary grade</x:v>
      </x:c>
      <x:c r="F362" t="str">
        <x:v>API 5CT-based / manufacturer specification</x:v>
      </x:c>
      <x:c r="G362" t="str">
        <x:v>Low-Cr alloy steel</x:v>
      </x:c>
      <x:c r="H362" t="str">
        <x:v>Mild wet CO2 / sweet service</x:v>
      </x:c>
      <x:c r="I362" t="str">
        <x:v>Casing and tubing (verify sizes)</x:v>
      </x:c>
      <x:c r="J362" t="str">
        <x:v>Not established by grade name</x:v>
      </x:c>
      <x:c r="K362" t="str">
        <x:v>Corrosion control may be needed</x:v>
      </x:c>
      <x:c r="L362" t="str">
        <x:v>API / not stated</x:v>
      </x:c>
      <x:c r="M362" t="n">
        <x:v>75</x:v>
      </x:c>
      <x:c r="N362" t="str"/>
      <x:c r="O362" t="str"/>
      <x:c r="P362" t="str"/>
      <x:c r="Q362" t="str">
        <x:v>B · low-Cr alloy</x:v>
      </x:c>
      <x:c r="R362"/>
      <x:c r="S362"/>
      <x:c r="T362" t="str">
        <x:v>RFQ required · no public supplier-specific quote</x:v>
      </x:c>
      <x:c r="U362"/>
      <x:c r="V362" t="str">
        <x:v>https://www.voestalpine.com/tubulars/en/products/Proprietary-Grades/</x:v>
      </x:c>
      <x:c r="W362" t="str">
        <x:v>Manufacturer-listed</x:v>
      </x:c>
      <x:c r="X362" t="str"/>
      <x:c r="Y362" t="str">
        <x:v>2026-10-10</x:v>
      </x:c>
    </x:row>
    <x:row r="363" ht="22" customHeight="1">
      <x:c r="A363" t="str">
        <x:v>OCTG-0362</x:v>
      </x:c>
      <x:c r="B363" t="str">
        <x:v>voestalpine Tubulars</x:v>
      </x:c>
      <x:c r="C363" t="str">
        <x:v>Austria</x:v>
      </x:c>
      <x:c r="D363" t="str">
        <x:v>VA-FP-80-1CR</x:v>
      </x:c>
      <x:c r="E363" t="str">
        <x:v>Proprietary grade</x:v>
      </x:c>
      <x:c r="F363" t="str">
        <x:v>API 5CT-based / manufacturer specification</x:v>
      </x:c>
      <x:c r="G363" t="str">
        <x:v>Low-Cr alloy steel</x:v>
      </x:c>
      <x:c r="H363" t="str">
        <x:v>Mild wet CO2 / sweet service</x:v>
      </x:c>
      <x:c r="I363" t="str">
        <x:v>Casing and tubing (verify sizes)</x:v>
      </x:c>
      <x:c r="J363" t="str">
        <x:v>Not established by grade name</x:v>
      </x:c>
      <x:c r="K363" t="str">
        <x:v>Corrosion control may be needed</x:v>
      </x:c>
      <x:c r="L363" t="str">
        <x:v>API / not stated</x:v>
      </x:c>
      <x:c r="M363" t="n">
        <x:v>80</x:v>
      </x:c>
      <x:c r="N363" t="str"/>
      <x:c r="O363" t="str"/>
      <x:c r="P363" t="str"/>
      <x:c r="Q363" t="str">
        <x:v>B · low-Cr alloy</x:v>
      </x:c>
      <x:c r="R363"/>
      <x:c r="S363"/>
      <x:c r="T363" t="str">
        <x:v>RFQ required · no public supplier-specific quote</x:v>
      </x:c>
      <x:c r="U363"/>
      <x:c r="V363" t="str">
        <x:v>https://www.voestalpine.com/tubulars/en/products/Proprietary-Grades/</x:v>
      </x:c>
      <x:c r="W363" t="str">
        <x:v>Manufacturer-listed</x:v>
      </x:c>
      <x:c r="X363" t="str"/>
      <x:c r="Y363" t="str">
        <x:v>2026-10-10</x:v>
      </x:c>
    </x:row>
    <x:row r="364" ht="22" customHeight="1">
      <x:c r="A364" t="str">
        <x:v>OCTG-0363</x:v>
      </x:c>
      <x:c r="B364" t="str">
        <x:v>voestalpine Tubulars</x:v>
      </x:c>
      <x:c r="C364" t="str">
        <x:v>Austria</x:v>
      </x:c>
      <x:c r="D364" t="str">
        <x:v>VA-L80-1-1CR</x:v>
      </x:c>
      <x:c r="E364" t="str">
        <x:v>Proprietary grade</x:v>
      </x:c>
      <x:c r="F364" t="str">
        <x:v>API 5CT-based / manufacturer specification</x:v>
      </x:c>
      <x:c r="G364" t="str">
        <x:v>Low-Cr alloy steel</x:v>
      </x:c>
      <x:c r="H364" t="str">
        <x:v>Mild wet CO2 / sweet service</x:v>
      </x:c>
      <x:c r="I364" t="str">
        <x:v>Casing and tubing (verify sizes)</x:v>
      </x:c>
      <x:c r="J364" t="str">
        <x:v>Not established by grade name</x:v>
      </x:c>
      <x:c r="K364" t="str">
        <x:v>Corrosion control may be needed</x:v>
      </x:c>
      <x:c r="L364" t="str">
        <x:v>API / not stated</x:v>
      </x:c>
      <x:c r="M364" t="n">
        <x:v>80</x:v>
      </x:c>
      <x:c r="N364" t="str"/>
      <x:c r="O364" t="str"/>
      <x:c r="P364" t="str"/>
      <x:c r="Q364" t="str">
        <x:v>B · low-Cr alloy</x:v>
      </x:c>
      <x:c r="R364"/>
      <x:c r="S364"/>
      <x:c r="T364" t="str">
        <x:v>RFQ required · no public supplier-specific quote</x:v>
      </x:c>
      <x:c r="U364"/>
      <x:c r="V364" t="str">
        <x:v>https://www.voestalpine.com/tubulars/en/products/Proprietary-Grades/</x:v>
      </x:c>
      <x:c r="W364" t="str">
        <x:v>Manufacturer-listed</x:v>
      </x:c>
      <x:c r="X364" t="str"/>
      <x:c r="Y364" t="str">
        <x:v>2026-10-10</x:v>
      </x:c>
    </x:row>
    <x:row r="365" ht="22" customHeight="1">
      <x:c r="A365" t="str">
        <x:v>OCTG-0364</x:v>
      </x:c>
      <x:c r="B365" t="str">
        <x:v>voestalpine Tubulars</x:v>
      </x:c>
      <x:c r="C365" t="str">
        <x:v>Austria</x:v>
      </x:c>
      <x:c r="D365" t="str">
        <x:v>VA-N80-Q-1CR</x:v>
      </x:c>
      <x:c r="E365" t="str">
        <x:v>Proprietary grade</x:v>
      </x:c>
      <x:c r="F365" t="str">
        <x:v>API 5CT-based / manufacturer specification</x:v>
      </x:c>
      <x:c r="G365" t="str">
        <x:v>Low-Cr alloy steel</x:v>
      </x:c>
      <x:c r="H365" t="str">
        <x:v>Mild wet CO2 / sweet service</x:v>
      </x:c>
      <x:c r="I365" t="str">
        <x:v>Casing and tubing (verify sizes)</x:v>
      </x:c>
      <x:c r="J365" t="str">
        <x:v>Not established by grade name</x:v>
      </x:c>
      <x:c r="K365" t="str">
        <x:v>Corrosion control may be needed</x:v>
      </x:c>
      <x:c r="L365" t="str">
        <x:v>API / not stated</x:v>
      </x:c>
      <x:c r="M365" t="n">
        <x:v>80</x:v>
      </x:c>
      <x:c r="N365" t="str"/>
      <x:c r="O365" t="str"/>
      <x:c r="P365" t="str"/>
      <x:c r="Q365" t="str">
        <x:v>B · low-Cr alloy</x:v>
      </x:c>
      <x:c r="R365"/>
      <x:c r="S365"/>
      <x:c r="T365" t="str">
        <x:v>RFQ required · no public supplier-specific quote</x:v>
      </x:c>
      <x:c r="U365"/>
      <x:c r="V365" t="str">
        <x:v>https://www.voestalpine.com/tubulars/en/products/Proprietary-Grades/</x:v>
      </x:c>
      <x:c r="W365" t="str">
        <x:v>Manufacturer-listed</x:v>
      </x:c>
      <x:c r="X365" t="str"/>
      <x:c r="Y365" t="str">
        <x:v>2026-10-10</x:v>
      </x:c>
    </x:row>
    <x:row r="366" ht="22" customHeight="1">
      <x:c r="A366" t="str">
        <x:v>OCTG-0365</x:v>
      </x:c>
      <x:c r="B366" t="str">
        <x:v>voestalpine Tubulars</x:v>
      </x:c>
      <x:c r="C366" t="str">
        <x:v>Austria</x:v>
      </x:c>
      <x:c r="D366" t="str">
        <x:v>VA-N80-Q-3CR</x:v>
      </x:c>
      <x:c r="E366" t="str">
        <x:v>Proprietary grade</x:v>
      </x:c>
      <x:c r="F366" t="str">
        <x:v>API 5CT-based / manufacturer specification</x:v>
      </x:c>
      <x:c r="G366" t="str">
        <x:v>Low-Cr alloy steel</x:v>
      </x:c>
      <x:c r="H366" t="str">
        <x:v>Mild wet CO2 / sweet service</x:v>
      </x:c>
      <x:c r="I366" t="str">
        <x:v>Casing and tubing (verify sizes)</x:v>
      </x:c>
      <x:c r="J366" t="str">
        <x:v>Not established by grade name</x:v>
      </x:c>
      <x:c r="K366" t="str">
        <x:v>Corrosion control may be needed</x:v>
      </x:c>
      <x:c r="L366" t="str">
        <x:v>API / not stated</x:v>
      </x:c>
      <x:c r="M366" t="n">
        <x:v>80</x:v>
      </x:c>
      <x:c r="N366" t="str"/>
      <x:c r="O366" t="str"/>
      <x:c r="P366" t="str"/>
      <x:c r="Q366" t="str">
        <x:v>B · low-Cr alloy</x:v>
      </x:c>
      <x:c r="R366"/>
      <x:c r="S366"/>
      <x:c r="T366" t="str">
        <x:v>RFQ required · no public supplier-specific quote</x:v>
      </x:c>
      <x:c r="U366"/>
      <x:c r="V366" t="str">
        <x:v>https://www.voestalpine.com/tubulars/en/products/Proprietary-Grades/</x:v>
      </x:c>
      <x:c r="W366" t="str">
        <x:v>Manufacturer-listed</x:v>
      </x:c>
      <x:c r="X366" t="str"/>
      <x:c r="Y366" t="str">
        <x:v>2026-10-10</x:v>
      </x:c>
    </x:row>
    <x:row r="367" ht="22" customHeight="1">
      <x:c r="A367" t="str">
        <x:v>OCTG-0366</x:v>
      </x:c>
      <x:c r="B367" t="str">
        <x:v>voestalpine Tubulars</x:v>
      </x:c>
      <x:c r="C367" t="str">
        <x:v>Austria</x:v>
      </x:c>
      <x:c r="D367" t="str">
        <x:v>VA-P110-1CR</x:v>
      </x:c>
      <x:c r="E367" t="str">
        <x:v>Proprietary grade</x:v>
      </x:c>
      <x:c r="F367" t="str">
        <x:v>API 5CT-based / manufacturer specification</x:v>
      </x:c>
      <x:c r="G367" t="str">
        <x:v>Low-Cr alloy steel</x:v>
      </x:c>
      <x:c r="H367" t="str">
        <x:v>Mild wet CO2 / sweet service</x:v>
      </x:c>
      <x:c r="I367" t="str">
        <x:v>Casing and tubing (verify sizes)</x:v>
      </x:c>
      <x:c r="J367" t="str">
        <x:v>Not established by grade name</x:v>
      </x:c>
      <x:c r="K367" t="str">
        <x:v>Corrosion control may be needed</x:v>
      </x:c>
      <x:c r="L367" t="str">
        <x:v>API / not stated</x:v>
      </x:c>
      <x:c r="M367" t="n">
        <x:v>110</x:v>
      </x:c>
      <x:c r="N367" t="str"/>
      <x:c r="O367" t="str"/>
      <x:c r="P367" t="str"/>
      <x:c r="Q367" t="str">
        <x:v>B · low-Cr alloy</x:v>
      </x:c>
      <x:c r="R367"/>
      <x:c r="S367"/>
      <x:c r="T367" t="str">
        <x:v>RFQ required · no public supplier-specific quote</x:v>
      </x:c>
      <x:c r="U367"/>
      <x:c r="V367" t="str">
        <x:v>https://www.voestalpine.com/tubulars/en/products/Proprietary-Grades/</x:v>
      </x:c>
      <x:c r="W367" t="str">
        <x:v>Manufacturer-listed</x:v>
      </x:c>
      <x:c r="X367" t="str"/>
      <x:c r="Y367" t="str">
        <x:v>2026-10-10</x:v>
      </x:c>
    </x:row>
    <x:row r="368" ht="22" customHeight="1">
      <x:c r="A368" t="str">
        <x:v>OCTG-0367</x:v>
      </x:c>
      <x:c r="B368" t="str">
        <x:v>voestalpine Tubulars</x:v>
      </x:c>
      <x:c r="C368" t="str">
        <x:v>Austria</x:v>
      </x:c>
      <x:c r="D368" t="str">
        <x:v>VA-P110-3CR</x:v>
      </x:c>
      <x:c r="E368" t="str">
        <x:v>Proprietary grade</x:v>
      </x:c>
      <x:c r="F368" t="str">
        <x:v>API 5CT-based / manufacturer specification</x:v>
      </x:c>
      <x:c r="G368" t="str">
        <x:v>Low-Cr alloy steel</x:v>
      </x:c>
      <x:c r="H368" t="str">
        <x:v>Mild wet CO2 / sweet service</x:v>
      </x:c>
      <x:c r="I368" t="str">
        <x:v>Casing and tubing (verify sizes)</x:v>
      </x:c>
      <x:c r="J368" t="str">
        <x:v>Not established by grade name</x:v>
      </x:c>
      <x:c r="K368" t="str">
        <x:v>Corrosion control may be needed</x:v>
      </x:c>
      <x:c r="L368" t="str">
        <x:v>API / not stated</x:v>
      </x:c>
      <x:c r="M368" t="n">
        <x:v>110</x:v>
      </x:c>
      <x:c r="N368" t="str"/>
      <x:c r="O368" t="str"/>
      <x:c r="P368" t="str"/>
      <x:c r="Q368" t="str">
        <x:v>B · low-Cr alloy</x:v>
      </x:c>
      <x:c r="R368"/>
      <x:c r="S368"/>
      <x:c r="T368" t="str">
        <x:v>RFQ required · no public supplier-specific quote</x:v>
      </x:c>
      <x:c r="U368"/>
      <x:c r="V368" t="str">
        <x:v>https://www.voestalpine.com/tubulars/en/products/Proprietary-Grades/</x:v>
      </x:c>
      <x:c r="W368" t="str">
        <x:v>Manufacturer-listed</x:v>
      </x:c>
      <x:c r="X368" t="str"/>
      <x:c r="Y368" t="str">
        <x:v>2026-10-10</x:v>
      </x:c>
    </x:row>
    <x:row r="369" ht="22" customHeight="1">
      <x:c r="A369" t="str">
        <x:v>OCTG-0368</x:v>
      </x:c>
      <x:c r="B369" t="str">
        <x:v>voestalpine Tubulars</x:v>
      </x:c>
      <x:c r="C369" t="str">
        <x:v>Austria</x:v>
      </x:c>
      <x:c r="D369" t="str">
        <x:v>VA-R95-1CR</x:v>
      </x:c>
      <x:c r="E369" t="str">
        <x:v>Proprietary grade</x:v>
      </x:c>
      <x:c r="F369" t="str">
        <x:v>API 5CT-based / manufacturer specification</x:v>
      </x:c>
      <x:c r="G369" t="str">
        <x:v>Low-Cr alloy steel</x:v>
      </x:c>
      <x:c r="H369" t="str">
        <x:v>Mild wet CO2 / sweet service</x:v>
      </x:c>
      <x:c r="I369" t="str">
        <x:v>Casing and tubing (verify sizes)</x:v>
      </x:c>
      <x:c r="J369" t="str">
        <x:v>Not established by grade name</x:v>
      </x:c>
      <x:c r="K369" t="str">
        <x:v>Corrosion control may be needed</x:v>
      </x:c>
      <x:c r="L369" t="str">
        <x:v>API / not stated</x:v>
      </x:c>
      <x:c r="M369" t="n">
        <x:v>95</x:v>
      </x:c>
      <x:c r="N369" t="str"/>
      <x:c r="O369" t="str"/>
      <x:c r="P369" t="str"/>
      <x:c r="Q369" t="str">
        <x:v>B · low-Cr alloy</x:v>
      </x:c>
      <x:c r="R369"/>
      <x:c r="S369"/>
      <x:c r="T369" t="str">
        <x:v>RFQ required · no public supplier-specific quote</x:v>
      </x:c>
      <x:c r="U369"/>
      <x:c r="V369" t="str">
        <x:v>https://www.voestalpine.com/tubulars/en/products/Proprietary-Grades/</x:v>
      </x:c>
      <x:c r="W369" t="str">
        <x:v>Manufacturer-listed</x:v>
      </x:c>
      <x:c r="X369" t="str"/>
      <x:c r="Y369" t="str">
        <x:v>2026-10-10</x:v>
      </x:c>
    </x:row>
    <x:row r="370" ht="22" customHeight="1">
      <x:c r="A370" t="str">
        <x:v>OCTG-0369</x:v>
      </x:c>
      <x:c r="B370" t="str">
        <x:v>voestalpine Tubulars</x:v>
      </x:c>
      <x:c r="C370" t="str">
        <x:v>Austria</x:v>
      </x:c>
      <x:c r="D370" t="str">
        <x:v>VA-R95-3CR</x:v>
      </x:c>
      <x:c r="E370" t="str">
        <x:v>Proprietary grade</x:v>
      </x:c>
      <x:c r="F370" t="str">
        <x:v>API 5CT-based / manufacturer specification</x:v>
      </x:c>
      <x:c r="G370" t="str">
        <x:v>Low-Cr alloy steel</x:v>
      </x:c>
      <x:c r="H370" t="str">
        <x:v>Mild wet CO2 / sweet service</x:v>
      </x:c>
      <x:c r="I370" t="str">
        <x:v>Casing and tubing (verify sizes)</x:v>
      </x:c>
      <x:c r="J370" t="str">
        <x:v>Not established by grade name</x:v>
      </x:c>
      <x:c r="K370" t="str">
        <x:v>Corrosion control may be needed</x:v>
      </x:c>
      <x:c r="L370" t="str">
        <x:v>API / not stated</x:v>
      </x:c>
      <x:c r="M370" t="n">
        <x:v>95</x:v>
      </x:c>
      <x:c r="N370" t="str"/>
      <x:c r="O370" t="str"/>
      <x:c r="P370" t="str"/>
      <x:c r="Q370" t="str">
        <x:v>B · low-Cr alloy</x:v>
      </x:c>
      <x:c r="R370"/>
      <x:c r="S370"/>
      <x:c r="T370" t="str">
        <x:v>RFQ required · no public supplier-specific quote</x:v>
      </x:c>
      <x:c r="U370"/>
      <x:c r="V370" t="str">
        <x:v>https://www.voestalpine.com/tubulars/en/products/Proprietary-Grades/</x:v>
      </x:c>
      <x:c r="W370" t="str">
        <x:v>Manufacturer-listed</x:v>
      </x:c>
      <x:c r="X370" t="str"/>
      <x:c r="Y370" t="str">
        <x:v>2026-10-10</x:v>
      </x:c>
    </x:row>
    <x:row r="371" ht="22" customHeight="1">
      <x:c r="A371" t="str">
        <x:v>OCTG-0370</x:v>
      </x:c>
      <x:c r="B371" t="str">
        <x:v>voestalpine Tubulars</x:v>
      </x:c>
      <x:c r="C371" t="str">
        <x:v>Austria</x:v>
      </x:c>
      <x:c r="D371" t="str">
        <x:v>VA-110-13CR</x:v>
      </x:c>
      <x:c r="E371" t="str">
        <x:v>Proprietary grade</x:v>
      </x:c>
      <x:c r="F371" t="str">
        <x:v>API 5CT-based / manufacturer specification</x:v>
      </x:c>
      <x:c r="G371" t="str">
        <x:v>Martensitic 13Cr</x:v>
      </x:c>
      <x:c r="H371" t="str">
        <x:v>Sweet wet CO2</x:v>
      </x:c>
      <x:c r="I371" t="str">
        <x:v>Casing and tubing (verify sizes)</x:v>
      </x:c>
      <x:c r="J371" t="str">
        <x:v>Not established by grade name</x:v>
      </x:c>
      <x:c r="K371" t="str">
        <x:v>Improved (verify temperature / chloride limits)</x:v>
      </x:c>
      <x:c r="L371" t="str">
        <x:v>API / not stated</x:v>
      </x:c>
      <x:c r="M371" t="n">
        <x:v>110</x:v>
      </x:c>
      <x:c r="N371" t="str"/>
      <x:c r="O371" t="str"/>
      <x:c r="P371" t="str"/>
      <x:c r="Q371" t="str">
        <x:v>D · 13Cr stainless</x:v>
      </x:c>
      <x:c r="R371"/>
      <x:c r="S371"/>
      <x:c r="T371" t="str">
        <x:v>RFQ required · no public supplier-specific quote</x:v>
      </x:c>
      <x:c r="U371"/>
      <x:c r="V371" t="str">
        <x:v>https://www.voestalpine.com/tubulars/en/products/Proprietary-Grades/</x:v>
      </x:c>
      <x:c r="W371" t="str">
        <x:v>Manufacturer-listed</x:v>
      </x:c>
      <x:c r="X371" t="str"/>
      <x:c r="Y371" t="str">
        <x:v>2026-10-10</x:v>
      </x:c>
    </x:row>
    <x:row r="372" ht="22" customHeight="1">
      <x:c r="A372" t="str">
        <x:v>OCTG-0371</x:v>
      </x:c>
      <x:c r="B372" t="str">
        <x:v>voestalpine Tubulars</x:v>
      </x:c>
      <x:c r="C372" t="str">
        <x:v>Austria</x:v>
      </x:c>
      <x:c r="D372" t="str">
        <x:v>VA-95-13CR</x:v>
      </x:c>
      <x:c r="E372" t="str">
        <x:v>Proprietary grade</x:v>
      </x:c>
      <x:c r="F372" t="str">
        <x:v>API 5CT-based / manufacturer specification</x:v>
      </x:c>
      <x:c r="G372" t="str">
        <x:v>Martensitic 13Cr</x:v>
      </x:c>
      <x:c r="H372" t="str">
        <x:v>Sweet wet CO2</x:v>
      </x:c>
      <x:c r="I372" t="str">
        <x:v>Casing and tubing (verify sizes)</x:v>
      </x:c>
      <x:c r="J372" t="str">
        <x:v>Not established by grade name</x:v>
      </x:c>
      <x:c r="K372" t="str">
        <x:v>Improved (verify temperature / chloride limits)</x:v>
      </x:c>
      <x:c r="L372" t="str">
        <x:v>API / not stated</x:v>
      </x:c>
      <x:c r="M372" t="n">
        <x:v>95</x:v>
      </x:c>
      <x:c r="N372" t="str"/>
      <x:c r="O372" t="str"/>
      <x:c r="P372" t="str"/>
      <x:c r="Q372" t="str">
        <x:v>D · 13Cr stainless</x:v>
      </x:c>
      <x:c r="R372"/>
      <x:c r="S372"/>
      <x:c r="T372" t="str">
        <x:v>RFQ required · no public supplier-specific quote</x:v>
      </x:c>
      <x:c r="U372"/>
      <x:c r="V372" t="str">
        <x:v>https://www.voestalpine.com/tubulars/en/products/Proprietary-Grades/</x:v>
      </x:c>
      <x:c r="W372" t="str">
        <x:v>Manufacturer-listed</x:v>
      </x:c>
      <x:c r="X372" t="str"/>
      <x:c r="Y372" t="str">
        <x:v>2026-10-10</x:v>
      </x:c>
    </x:row>
    <x:row r="373" ht="22" customHeight="1">
      <x:c r="A373" t="str">
        <x:v>OCTG-0372</x:v>
      </x:c>
      <x:c r="B373" t="str">
        <x:v>U. S. Steel Tubular</x:v>
      </x:c>
      <x:c r="C373" t="str">
        <x:v>United States</x:v>
      </x:c>
      <x:c r="D373" t="str">
        <x:v>L80 HC</x:v>
      </x:c>
      <x:c r="E373" t="str">
        <x:v>Proprietary grade</x:v>
      </x:c>
      <x:c r="F373" t="str">
        <x:v>API 5CT-based / manufacturer specification</x:v>
      </x:c>
      <x:c r="G373" t="str">
        <x:v>Carbon / low alloy</x:v>
      </x:c>
      <x:c r="H373" t="str">
        <x:v>Enhanced API grade / collapse, burst or restricted yield</x:v>
      </x:c>
      <x:c r="I373" t="str">
        <x:v>Casing and tubing (verify sizes)</x:v>
      </x:c>
      <x:c r="J373" t="str">
        <x:v>Not established by grade name</x:v>
      </x:c>
      <x:c r="K373" t="str">
        <x:v>Corrosion control may be needed</x:v>
      </x:c>
      <x:c r="L373" t="str">
        <x:v>Enhanced</x:v>
      </x:c>
      <x:c r="M373" t="n">
        <x:v>80</x:v>
      </x:c>
      <x:c r="N373" t="str"/>
      <x:c r="O373" t="str"/>
      <x:c r="P373" t="str"/>
      <x:c r="Q373" t="str">
        <x:v>A · standard carbon</x:v>
      </x:c>
      <x:c r="R373"/>
      <x:c r="S373"/>
      <x:c r="T373" t="str">
        <x:v>RFQ required · no public supplier-specific quote</x:v>
      </x:c>
      <x:c r="U373"/>
      <x:c r="V373" t="str">
        <x:v>https://www.ussteel.com/customers/products/tubular/octg</x:v>
      </x:c>
      <x:c r="W373" t="str">
        <x:v>Manufacturer-listed</x:v>
      </x:c>
      <x:c r="X373" t="str"/>
      <x:c r="Y373" t="str">
        <x:v>2026-10-10</x:v>
      </x:c>
    </x:row>
    <x:row r="374" ht="22" customHeight="1">
      <x:c r="A374" t="str">
        <x:v>OCTG-0373</x:v>
      </x:c>
      <x:c r="B374" t="str">
        <x:v>U. S. Steel Tubular</x:v>
      </x:c>
      <x:c r="C374" t="str">
        <x:v>United States</x:v>
      </x:c>
      <x:c r="D374" t="str">
        <x:v>L80 HP</x:v>
      </x:c>
      <x:c r="E374" t="str">
        <x:v>Proprietary grade</x:v>
      </x:c>
      <x:c r="F374" t="str">
        <x:v>API 5CT-based / manufacturer specification</x:v>
      </x:c>
      <x:c r="G374" t="str">
        <x:v>Carbon / low alloy</x:v>
      </x:c>
      <x:c r="H374" t="str">
        <x:v>Enhanced API grade / collapse, burst or restricted yield</x:v>
      </x:c>
      <x:c r="I374" t="str">
        <x:v>Casing and tubing (verify sizes)</x:v>
      </x:c>
      <x:c r="J374" t="str">
        <x:v>Not established by grade name</x:v>
      </x:c>
      <x:c r="K374" t="str">
        <x:v>Corrosion control may be needed</x:v>
      </x:c>
      <x:c r="L374" t="str">
        <x:v>Enhanced</x:v>
      </x:c>
      <x:c r="M374" t="n">
        <x:v>80</x:v>
      </x:c>
      <x:c r="N374" t="str"/>
      <x:c r="O374" t="str"/>
      <x:c r="P374" t="str"/>
      <x:c r="Q374" t="str">
        <x:v>A · standard carbon</x:v>
      </x:c>
      <x:c r="R374"/>
      <x:c r="S374"/>
      <x:c r="T374" t="str">
        <x:v>RFQ required · no public supplier-specific quote</x:v>
      </x:c>
      <x:c r="U374"/>
      <x:c r="V374" t="str">
        <x:v>https://www.ussteel.com/customers/products/tubular/octg</x:v>
      </x:c>
      <x:c r="W374" t="str">
        <x:v>Manufacturer-listed</x:v>
      </x:c>
      <x:c r="X374" t="str"/>
      <x:c r="Y374" t="str">
        <x:v>2026-10-10</x:v>
      </x:c>
    </x:row>
    <x:row r="375" ht="22" customHeight="1">
      <x:c r="A375" t="str">
        <x:v>OCTG-0374</x:v>
      </x:c>
      <x:c r="B375" t="str">
        <x:v>U. S. Steel Tubular</x:v>
      </x:c>
      <x:c r="C375" t="str">
        <x:v>United States</x:v>
      </x:c>
      <x:c r="D375" t="str">
        <x:v>N80 HC</x:v>
      </x:c>
      <x:c r="E375" t="str">
        <x:v>Proprietary grade</x:v>
      </x:c>
      <x:c r="F375" t="str">
        <x:v>API 5CT-based / manufacturer specification</x:v>
      </x:c>
      <x:c r="G375" t="str">
        <x:v>Carbon / low alloy</x:v>
      </x:c>
      <x:c r="H375" t="str">
        <x:v>Enhanced API grade / collapse, burst or restricted yield</x:v>
      </x:c>
      <x:c r="I375" t="str">
        <x:v>Casing and tubing (verify sizes)</x:v>
      </x:c>
      <x:c r="J375" t="str">
        <x:v>Not established by grade name</x:v>
      </x:c>
      <x:c r="K375" t="str">
        <x:v>Corrosion control may be needed</x:v>
      </x:c>
      <x:c r="L375" t="str">
        <x:v>Enhanced</x:v>
      </x:c>
      <x:c r="M375" t="n">
        <x:v>80</x:v>
      </x:c>
      <x:c r="N375" t="str"/>
      <x:c r="O375" t="str"/>
      <x:c r="P375" t="str"/>
      <x:c r="Q375" t="str">
        <x:v>A · standard carbon</x:v>
      </x:c>
      <x:c r="R375"/>
      <x:c r="S375"/>
      <x:c r="T375" t="str">
        <x:v>RFQ required · no public supplier-specific quote</x:v>
      </x:c>
      <x:c r="U375"/>
      <x:c r="V375" t="str">
        <x:v>https://www.ussteel.com/customers/products/tubular/octg</x:v>
      </x:c>
      <x:c r="W375" t="str">
        <x:v>Manufacturer-listed</x:v>
      </x:c>
      <x:c r="X375" t="str"/>
      <x:c r="Y375" t="str">
        <x:v>2026-10-10</x:v>
      </x:c>
    </x:row>
    <x:row r="376" ht="22" customHeight="1">
      <x:c r="A376" t="str">
        <x:v>OCTG-0375</x:v>
      </x:c>
      <x:c r="B376" t="str">
        <x:v>U. S. Steel Tubular</x:v>
      </x:c>
      <x:c r="C376" t="str">
        <x:v>United States</x:v>
      </x:c>
      <x:c r="D376" t="str">
        <x:v>N80 HP</x:v>
      </x:c>
      <x:c r="E376" t="str">
        <x:v>Proprietary grade</x:v>
      </x:c>
      <x:c r="F376" t="str">
        <x:v>API 5CT-based / manufacturer specification</x:v>
      </x:c>
      <x:c r="G376" t="str">
        <x:v>Carbon / low alloy</x:v>
      </x:c>
      <x:c r="H376" t="str">
        <x:v>Enhanced API grade / collapse, burst or restricted yield</x:v>
      </x:c>
      <x:c r="I376" t="str">
        <x:v>Casing and tubing (verify sizes)</x:v>
      </x:c>
      <x:c r="J376" t="str">
        <x:v>Not established by grade name</x:v>
      </x:c>
      <x:c r="K376" t="str">
        <x:v>Corrosion control may be needed</x:v>
      </x:c>
      <x:c r="L376" t="str">
        <x:v>Enhanced</x:v>
      </x:c>
      <x:c r="M376" t="n">
        <x:v>80</x:v>
      </x:c>
      <x:c r="N376" t="str"/>
      <x:c r="O376" t="str"/>
      <x:c r="P376" t="str"/>
      <x:c r="Q376" t="str">
        <x:v>A · standard carbon</x:v>
      </x:c>
      <x:c r="R376"/>
      <x:c r="S376"/>
      <x:c r="T376" t="str">
        <x:v>RFQ required · no public supplier-specific quote</x:v>
      </x:c>
      <x:c r="U376"/>
      <x:c r="V376" t="str">
        <x:v>https://www.ussteel.com/customers/products/tubular/octg</x:v>
      </x:c>
      <x:c r="W376" t="str">
        <x:v>Manufacturer-listed</x:v>
      </x:c>
      <x:c r="X376" t="str"/>
      <x:c r="Y376" t="str">
        <x:v>2026-10-10</x:v>
      </x:c>
    </x:row>
    <x:row r="377" ht="22" customHeight="1">
      <x:c r="A377" t="str">
        <x:v>OCTG-0376</x:v>
      </x:c>
      <x:c r="B377" t="str">
        <x:v>U. S. Steel Tubular</x:v>
      </x:c>
      <x:c r="C377" t="str">
        <x:v>United States</x:v>
      </x:c>
      <x:c r="D377" t="str">
        <x:v>P110 HC</x:v>
      </x:c>
      <x:c r="E377" t="str">
        <x:v>Proprietary grade</x:v>
      </x:c>
      <x:c r="F377" t="str">
        <x:v>API 5CT-based / manufacturer specification</x:v>
      </x:c>
      <x:c r="G377" t="str">
        <x:v>Carbon / low alloy</x:v>
      </x:c>
      <x:c r="H377" t="str">
        <x:v>Enhanced API grade / collapse, burst or restricted yield</x:v>
      </x:c>
      <x:c r="I377" t="str">
        <x:v>Casing and tubing (verify sizes)</x:v>
      </x:c>
      <x:c r="J377" t="str">
        <x:v>Not established by grade name</x:v>
      </x:c>
      <x:c r="K377" t="str">
        <x:v>Corrosion control may be needed</x:v>
      </x:c>
      <x:c r="L377" t="str">
        <x:v>Enhanced</x:v>
      </x:c>
      <x:c r="M377" t="n">
        <x:v>110</x:v>
      </x:c>
      <x:c r="N377" t="str"/>
      <x:c r="O377" t="str"/>
      <x:c r="P377" t="str"/>
      <x:c r="Q377" t="str">
        <x:v>A · standard carbon</x:v>
      </x:c>
      <x:c r="R377"/>
      <x:c r="S377"/>
      <x:c r="T377" t="str">
        <x:v>RFQ required · no public supplier-specific quote</x:v>
      </x:c>
      <x:c r="U377"/>
      <x:c r="V377" t="str">
        <x:v>https://www.ussteel.com/customers/products/tubular/octg</x:v>
      </x:c>
      <x:c r="W377" t="str">
        <x:v>Manufacturer-listed</x:v>
      </x:c>
      <x:c r="X377" t="str"/>
      <x:c r="Y377" t="str">
        <x:v>2026-10-10</x:v>
      </x:c>
    </x:row>
    <x:row r="378" ht="22" customHeight="1">
      <x:c r="A378" t="str">
        <x:v>OCTG-0377</x:v>
      </x:c>
      <x:c r="B378" t="str">
        <x:v>U. S. Steel Tubular</x:v>
      </x:c>
      <x:c r="C378" t="str">
        <x:v>United States</x:v>
      </x:c>
      <x:c r="D378" t="str">
        <x:v>P110 HP</x:v>
      </x:c>
      <x:c r="E378" t="str">
        <x:v>Proprietary grade</x:v>
      </x:c>
      <x:c r="F378" t="str">
        <x:v>API 5CT-based / manufacturer specification</x:v>
      </x:c>
      <x:c r="G378" t="str">
        <x:v>Carbon / low alloy</x:v>
      </x:c>
      <x:c r="H378" t="str">
        <x:v>Enhanced API grade / collapse, burst or restricted yield</x:v>
      </x:c>
      <x:c r="I378" t="str">
        <x:v>Casing and tubing (verify sizes)</x:v>
      </x:c>
      <x:c r="J378" t="str">
        <x:v>Not established by grade name</x:v>
      </x:c>
      <x:c r="K378" t="str">
        <x:v>Corrosion control may be needed</x:v>
      </x:c>
      <x:c r="L378" t="str">
        <x:v>Enhanced</x:v>
      </x:c>
      <x:c r="M378" t="n">
        <x:v>110</x:v>
      </x:c>
      <x:c r="N378" t="str"/>
      <x:c r="O378" t="str"/>
      <x:c r="P378" t="str"/>
      <x:c r="Q378" t="str">
        <x:v>A · standard carbon</x:v>
      </x:c>
      <x:c r="R378"/>
      <x:c r="S378"/>
      <x:c r="T378" t="str">
        <x:v>RFQ required · no public supplier-specific quote</x:v>
      </x:c>
      <x:c r="U378"/>
      <x:c r="V378" t="str">
        <x:v>https://www.ussteel.com/customers/products/tubular/octg</x:v>
      </x:c>
      <x:c r="W378" t="str">
        <x:v>Manufacturer-listed</x:v>
      </x:c>
      <x:c r="X378" t="str"/>
      <x:c r="Y378" t="str">
        <x:v>2026-10-10</x:v>
      </x:c>
    </x:row>
    <x:row r="379" ht="22" customHeight="1">
      <x:c r="A379" t="str">
        <x:v>OCTG-0378</x:v>
      </x:c>
      <x:c r="B379" t="str">
        <x:v>U. S. Steel Tubular</x:v>
      </x:c>
      <x:c r="C379" t="str">
        <x:v>United States</x:v>
      </x:c>
      <x:c r="D379" t="str">
        <x:v>P110 RY</x:v>
      </x:c>
      <x:c r="E379" t="str">
        <x:v>Proprietary grade</x:v>
      </x:c>
      <x:c r="F379" t="str">
        <x:v>API 5CT-based / manufacturer specification</x:v>
      </x:c>
      <x:c r="G379" t="str">
        <x:v>Carbon / low alloy</x:v>
      </x:c>
      <x:c r="H379" t="str">
        <x:v>Enhanced API grade / collapse, burst or restricted yield</x:v>
      </x:c>
      <x:c r="I379" t="str">
        <x:v>Casing and tubing (verify sizes)</x:v>
      </x:c>
      <x:c r="J379" t="str">
        <x:v>Not established by grade name</x:v>
      </x:c>
      <x:c r="K379" t="str">
        <x:v>Corrosion control may be needed</x:v>
      </x:c>
      <x:c r="L379" t="str">
        <x:v>Enhanced</x:v>
      </x:c>
      <x:c r="M379" t="n">
        <x:v>110</x:v>
      </x:c>
      <x:c r="N379" t="str"/>
      <x:c r="O379" t="str"/>
      <x:c r="P379" t="str"/>
      <x:c r="Q379" t="str">
        <x:v>A · standard carbon</x:v>
      </x:c>
      <x:c r="R379"/>
      <x:c r="S379"/>
      <x:c r="T379" t="str">
        <x:v>RFQ required · no public supplier-specific quote</x:v>
      </x:c>
      <x:c r="U379"/>
      <x:c r="V379" t="str">
        <x:v>https://www.ussteel.com/customers/products/tubular/octg</x:v>
      </x:c>
      <x:c r="W379" t="str">
        <x:v>Manufacturer-listed</x:v>
      </x:c>
      <x:c r="X379" t="str"/>
      <x:c r="Y379" t="str">
        <x:v>2026-10-10</x:v>
      </x:c>
    </x:row>
    <x:row r="380" ht="22" customHeight="1">
      <x:c r="A380" t="str">
        <x:v>OCTG-0379</x:v>
      </x:c>
      <x:c r="B380" t="str">
        <x:v>U. S. Steel Tubular</x:v>
      </x:c>
      <x:c r="C380" t="str">
        <x:v>United States</x:v>
      </x:c>
      <x:c r="D380" t="str">
        <x:v>Q125 HC</x:v>
      </x:c>
      <x:c r="E380" t="str">
        <x:v>Proprietary grade</x:v>
      </x:c>
      <x:c r="F380" t="str">
        <x:v>API 5CT-based / manufacturer specification</x:v>
      </x:c>
      <x:c r="G380" t="str">
        <x:v>Carbon / low alloy</x:v>
      </x:c>
      <x:c r="H380" t="str">
        <x:v>Enhanced API grade / collapse, burst or restricted yield</x:v>
      </x:c>
      <x:c r="I380" t="str">
        <x:v>Casing and tubing (verify sizes)</x:v>
      </x:c>
      <x:c r="J380" t="str">
        <x:v>Not established by grade name</x:v>
      </x:c>
      <x:c r="K380" t="str">
        <x:v>Corrosion control may be needed</x:v>
      </x:c>
      <x:c r="L380" t="str">
        <x:v>Enhanced</x:v>
      </x:c>
      <x:c r="M380" t="n">
        <x:v>125</x:v>
      </x:c>
      <x:c r="N380" t="str"/>
      <x:c r="O380" t="str"/>
      <x:c r="P380" t="str"/>
      <x:c r="Q380" t="str">
        <x:v>A · standard carbon</x:v>
      </x:c>
      <x:c r="R380"/>
      <x:c r="S380"/>
      <x:c r="T380" t="str">
        <x:v>RFQ required · no public supplier-specific quote</x:v>
      </x:c>
      <x:c r="U380"/>
      <x:c r="V380" t="str">
        <x:v>https://www.ussteel.com/customers/products/tubular/octg</x:v>
      </x:c>
      <x:c r="W380" t="str">
        <x:v>Manufacturer-listed</x:v>
      </x:c>
      <x:c r="X380" t="str"/>
      <x:c r="Y380" t="str">
        <x:v>2026-10-10</x:v>
      </x:c>
    </x:row>
    <x:row r="381" ht="22" customHeight="1">
      <x:c r="A381" t="str">
        <x:v>OCTG-0380</x:v>
      </x:c>
      <x:c r="B381" t="str">
        <x:v>U. S. Steel Tubular</x:v>
      </x:c>
      <x:c r="C381" t="str">
        <x:v>United States</x:v>
      </x:c>
      <x:c r="D381" t="str">
        <x:v>Q125 HP</x:v>
      </x:c>
      <x:c r="E381" t="str">
        <x:v>Proprietary grade</x:v>
      </x:c>
      <x:c r="F381" t="str">
        <x:v>API 5CT-based / manufacturer specification</x:v>
      </x:c>
      <x:c r="G381" t="str">
        <x:v>Carbon / low alloy</x:v>
      </x:c>
      <x:c r="H381" t="str">
        <x:v>Enhanced API grade / collapse, burst or restricted yield</x:v>
      </x:c>
      <x:c r="I381" t="str">
        <x:v>Casing and tubing (verify sizes)</x:v>
      </x:c>
      <x:c r="J381" t="str">
        <x:v>Not established by grade name</x:v>
      </x:c>
      <x:c r="K381" t="str">
        <x:v>Corrosion control may be needed</x:v>
      </x:c>
      <x:c r="L381" t="str">
        <x:v>Enhanced</x:v>
      </x:c>
      <x:c r="M381" t="n">
        <x:v>125</x:v>
      </x:c>
      <x:c r="N381" t="str"/>
      <x:c r="O381" t="str"/>
      <x:c r="P381" t="str"/>
      <x:c r="Q381" t="str">
        <x:v>A · standard carbon</x:v>
      </x:c>
      <x:c r="R381"/>
      <x:c r="S381"/>
      <x:c r="T381" t="str">
        <x:v>RFQ required · no public supplier-specific quote</x:v>
      </x:c>
      <x:c r="U381"/>
      <x:c r="V381" t="str">
        <x:v>https://www.ussteel.com/customers/products/tubular/octg</x:v>
      </x:c>
      <x:c r="W381" t="str">
        <x:v>Manufacturer-listed</x:v>
      </x:c>
      <x:c r="X381" t="str"/>
      <x:c r="Y381" t="str">
        <x:v>2026-10-10</x:v>
      </x:c>
    </x:row>
    <x:row r="382" ht="22" customHeight="1">
      <x:c r="A382" t="str">
        <x:v>OCTG-0381</x:v>
      </x:c>
      <x:c r="B382" t="str">
        <x:v>U. S. Steel Tubular</x:v>
      </x:c>
      <x:c r="C382" t="str">
        <x:v>United States</x:v>
      </x:c>
      <x:c r="D382" t="str">
        <x:v>Q125 XHP</x:v>
      </x:c>
      <x:c r="E382" t="str">
        <x:v>Proprietary grade</x:v>
      </x:c>
      <x:c r="F382" t="str">
        <x:v>API 5CT-based / manufacturer specification</x:v>
      </x:c>
      <x:c r="G382" t="str">
        <x:v>Carbon / low alloy</x:v>
      </x:c>
      <x:c r="H382" t="str">
        <x:v>Enhanced API grade / collapse, burst or restricted yield</x:v>
      </x:c>
      <x:c r="I382" t="str">
        <x:v>Casing and tubing (verify sizes)</x:v>
      </x:c>
      <x:c r="J382" t="str">
        <x:v>Not established by grade name</x:v>
      </x:c>
      <x:c r="K382" t="str">
        <x:v>Corrosion control may be needed</x:v>
      </x:c>
      <x:c r="L382" t="str">
        <x:v>Enhanced</x:v>
      </x:c>
      <x:c r="M382" t="n">
        <x:v>125</x:v>
      </x:c>
      <x:c r="N382" t="str"/>
      <x:c r="O382" t="str"/>
      <x:c r="P382" t="str"/>
      <x:c r="Q382" t="str">
        <x:v>A · standard carbon</x:v>
      </x:c>
      <x:c r="R382"/>
      <x:c r="S382"/>
      <x:c r="T382" t="str">
        <x:v>RFQ required · no public supplier-specific quote</x:v>
      </x:c>
      <x:c r="U382"/>
      <x:c r="V382" t="str">
        <x:v>https://www.ussteel.com/customers/products/tubular/octg</x:v>
      </x:c>
      <x:c r="W382" t="str">
        <x:v>Manufacturer-listed</x:v>
      </x:c>
      <x:c r="X382" t="str"/>
      <x:c r="Y382" t="str">
        <x:v>2026-10-10</x:v>
      </x:c>
    </x:row>
    <x:row r="383" ht="22" customHeight="1">
      <x:c r="A383" t="str">
        <x:v>OCTG-0382</x:v>
      </x:c>
      <x:c r="B383" t="str">
        <x:v>U. S. Steel Tubular</x:v>
      </x:c>
      <x:c r="C383" t="str">
        <x:v>United States</x:v>
      </x:c>
      <x:c r="D383" t="str">
        <x:v>T95 HY</x:v>
      </x:c>
      <x:c r="E383" t="str">
        <x:v>Proprietary grade</x:v>
      </x:c>
      <x:c r="F383" t="str">
        <x:v>API 5CT-based / manufacturer specification</x:v>
      </x:c>
      <x:c r="G383" t="str">
        <x:v>Carbon / low alloy</x:v>
      </x:c>
      <x:c r="H383" t="str">
        <x:v>Enhanced API grade / collapse, burst or restricted yield</x:v>
      </x:c>
      <x:c r="I383" t="str">
        <x:v>Casing and tubing (verify sizes)</x:v>
      </x:c>
      <x:c r="J383" t="str">
        <x:v>Not established by grade name</x:v>
      </x:c>
      <x:c r="K383" t="str">
        <x:v>Corrosion control may be needed</x:v>
      </x:c>
      <x:c r="L383" t="str">
        <x:v>Enhanced</x:v>
      </x:c>
      <x:c r="M383" t="n">
        <x:v>95</x:v>
      </x:c>
      <x:c r="N383" t="str"/>
      <x:c r="O383" t="str"/>
      <x:c r="P383" t="str"/>
      <x:c r="Q383" t="str">
        <x:v>A · standard carbon</x:v>
      </x:c>
      <x:c r="R383"/>
      <x:c r="S383"/>
      <x:c r="T383" t="str">
        <x:v>RFQ required · no public supplier-specific quote</x:v>
      </x:c>
      <x:c r="U383"/>
      <x:c r="V383" t="str">
        <x:v>https://www.ussteel.com/customers/products/tubular/octg</x:v>
      </x:c>
      <x:c r="W383" t="str">
        <x:v>Manufacturer-listed</x:v>
      </x:c>
      <x:c r="X383" t="str"/>
      <x:c r="Y383" t="str">
        <x:v>2026-10-10</x:v>
      </x:c>
    </x:row>
    <x:row r="384" ht="22" customHeight="1">
      <x:c r="A384" t="str">
        <x:v>OCTG-0383</x:v>
      </x:c>
      <x:c r="B384" t="str">
        <x:v>U. S. Steel Tubular</x:v>
      </x:c>
      <x:c r="C384" t="str">
        <x:v>United States</x:v>
      </x:c>
      <x:c r="D384" t="str">
        <x:v>USS C95</x:v>
      </x:c>
      <x:c r="E384" t="str">
        <x:v>Proprietary grade</x:v>
      </x:c>
      <x:c r="F384" t="str">
        <x:v>API 5CT-based / manufacturer specification</x:v>
      </x:c>
      <x:c r="G384" t="str">
        <x:v>Carbon / low alloy</x:v>
      </x:c>
      <x:c r="H384" t="str">
        <x:v>Sour condensate / SSC controlled</x:v>
      </x:c>
      <x:c r="I384" t="str">
        <x:v>Casing and tubing (verify sizes)</x:v>
      </x:c>
      <x:c r="J384" t="str">
        <x:v>Not established by grade name</x:v>
      </x:c>
      <x:c r="K384" t="str">
        <x:v>Corrosion control may be needed</x:v>
      </x:c>
      <x:c r="L384" t="str">
        <x:v>API / not stated</x:v>
      </x:c>
      <x:c r="M384" t="n">
        <x:v>95</x:v>
      </x:c>
      <x:c r="N384" t="str"/>
      <x:c r="O384" t="str"/>
      <x:c r="P384" t="str"/>
      <x:c r="Q384" t="str">
        <x:v>A · standard carbon</x:v>
      </x:c>
      <x:c r="R384"/>
      <x:c r="S384"/>
      <x:c r="T384" t="str">
        <x:v>RFQ required · no public supplier-specific quote</x:v>
      </x:c>
      <x:c r="U384"/>
      <x:c r="V384" t="str">
        <x:v>https://www.ussteel.com/customers/products/tubular/octg</x:v>
      </x:c>
      <x:c r="W384" t="str">
        <x:v>Manufacturer-listed</x:v>
      </x:c>
      <x:c r="X384" t="str"/>
      <x:c r="Y384" t="str">
        <x:v>2026-10-10</x:v>
      </x:c>
    </x:row>
    <x:row r="385" ht="22" customHeight="1">
      <x:c r="A385" t="str">
        <x:v>OCTG-0384</x:v>
      </x:c>
      <x:c r="B385" t="str">
        <x:v>Borusan Mannesmann</x:v>
      </x:c>
      <x:c r="C385" t="str">
        <x:v>Türkiye / United States</x:v>
      </x:c>
      <x:c r="D385" t="str">
        <x:v>B-80</x:v>
      </x:c>
      <x:c r="E385" t="str">
        <x:v>Proprietary grade</x:v>
      </x:c>
      <x:c r="F385" t="str">
        <x:v>API 5CT-based / manufacturer specification</x:v>
      </x:c>
      <x:c r="G385" t="str">
        <x:v>Carbon / low alloy</x:v>
      </x:c>
      <x:c r="H385" t="str">
        <x:v>Proprietary 80/90ksi (non-monogram as stated in 2018 catalog)</x:v>
      </x:c>
      <x:c r="I385" t="str">
        <x:v>Casing and tubing (verify sizes)</x:v>
      </x:c>
      <x:c r="J385" t="str">
        <x:v>Not established by grade name</x:v>
      </x:c>
      <x:c r="K385" t="str">
        <x:v>Corrosion control may be needed</x:v>
      </x:c>
      <x:c r="L385" t="str">
        <x:v>API / not stated</x:v>
      </x:c>
      <x:c r="M385" t="n">
        <x:v>80</x:v>
      </x:c>
      <x:c r="N385" t="str"/>
      <x:c r="O385" t="str"/>
      <x:c r="P385" t="str"/>
      <x:c r="Q385" t="str">
        <x:v>A · standard carbon</x:v>
      </x:c>
      <x:c r="R385"/>
      <x:c r="S385"/>
      <x:c r="T385" t="str">
        <x:v>RFQ required · no public supplier-specific quote</x:v>
      </x:c>
      <x:c r="U385"/>
      <x:c r="V385" t="str">
        <x:v>https://www.borusanmannesmann.com/media/2139/octg2018-web.pdf</x:v>
      </x:c>
      <x:c r="W385" t="str">
        <x:v>Manufacturer-listed</x:v>
      </x:c>
      <x:c r="X385" t="str"/>
      <x:c r="Y385" t="str">
        <x:v>2026-10-10</x:v>
      </x:c>
    </x:row>
    <x:row r="386" ht="22" customHeight="1">
      <x:c r="A386" t="str">
        <x:v>OCTG-0385</x:v>
      </x:c>
      <x:c r="B386" t="str">
        <x:v>Borusan Mannesmann</x:v>
      </x:c>
      <x:c r="C386" t="str">
        <x:v>Türkiye / United States</x:v>
      </x:c>
      <x:c r="D386" t="str">
        <x:v>B-90</x:v>
      </x:c>
      <x:c r="E386" t="str">
        <x:v>Proprietary grade</x:v>
      </x:c>
      <x:c r="F386" t="str">
        <x:v>API 5CT-based / manufacturer specification</x:v>
      </x:c>
      <x:c r="G386" t="str">
        <x:v>Carbon / low alloy</x:v>
      </x:c>
      <x:c r="H386" t="str">
        <x:v>Proprietary 80/90ksi (non-monogram as stated in 2018 catalog)</x:v>
      </x:c>
      <x:c r="I386" t="str">
        <x:v>Casing and tubing (verify sizes)</x:v>
      </x:c>
      <x:c r="J386" t="str">
        <x:v>Not established by grade name</x:v>
      </x:c>
      <x:c r="K386" t="str">
        <x:v>Corrosion control may be needed</x:v>
      </x:c>
      <x:c r="L386" t="str">
        <x:v>API / not stated</x:v>
      </x:c>
      <x:c r="M386" t="n">
        <x:v>90</x:v>
      </x:c>
      <x:c r="N386" t="str"/>
      <x:c r="O386" t="str"/>
      <x:c r="P386" t="str"/>
      <x:c r="Q386" t="str">
        <x:v>A · standard carbon</x:v>
      </x:c>
      <x:c r="R386"/>
      <x:c r="S386"/>
      <x:c r="T386" t="str">
        <x:v>RFQ required · no public supplier-specific quote</x:v>
      </x:c>
      <x:c r="U386"/>
      <x:c r="V386" t="str">
        <x:v>https://www.borusanmannesmann.com/media/2139/octg2018-web.pdf</x:v>
      </x:c>
      <x:c r="W386" t="str">
        <x:v>Manufacturer-listed</x:v>
      </x:c>
      <x:c r="X386" t="str"/>
      <x:c r="Y386" t="str">
        <x:v>2026-10-10</x:v>
      </x:c>
    </x:row>
    <x:row r="387" ht="22" customHeight="1">
      <x:c r="A387" t="str">
        <x:v>OCTG-0386</x:v>
      </x:c>
      <x:c r="B387" t="str">
        <x:v>Borusan Mannesmann</x:v>
      </x:c>
      <x:c r="C387" t="str">
        <x:v>Türkiye / United States</x:v>
      </x:c>
      <x:c r="D387" t="str">
        <x:v>Borusan-K55HC</x:v>
      </x:c>
      <x:c r="E387" t="str">
        <x:v>Proprietary grade</x:v>
      </x:c>
      <x:c r="F387" t="str">
        <x:v>API 5CT-based / manufacturer specification</x:v>
      </x:c>
      <x:c r="G387" t="str">
        <x:v>Carbon / low alloy</x:v>
      </x:c>
      <x:c r="H387" t="str">
        <x:v>High collapse/enhanced collapse or controlled yield (ERW)</x:v>
      </x:c>
      <x:c r="I387" t="str">
        <x:v>Casing and tubing (verify sizes)</x:v>
      </x:c>
      <x:c r="J387" t="str">
        <x:v>Not established by grade name</x:v>
      </x:c>
      <x:c r="K387" t="str">
        <x:v>Corrosion control may be needed</x:v>
      </x:c>
      <x:c r="L387" t="str">
        <x:v>Enhanced</x:v>
      </x:c>
      <x:c r="M387" t="n">
        <x:v>55</x:v>
      </x:c>
      <x:c r="N387" t="str"/>
      <x:c r="O387" t="str"/>
      <x:c r="P387" t="str"/>
      <x:c r="Q387" t="str">
        <x:v>A · standard carbon</x:v>
      </x:c>
      <x:c r="R387"/>
      <x:c r="S387"/>
      <x:c r="T387" t="str">
        <x:v>RFQ required · no public supplier-specific quote</x:v>
      </x:c>
      <x:c r="U387"/>
      <x:c r="V387" t="str">
        <x:v>https://www.borusanmannesmann.com/media/2139/octg2018-web.pdf</x:v>
      </x:c>
      <x:c r="W387" t="str">
        <x:v>Manufacturer-listed</x:v>
      </x:c>
      <x:c r="X387" t="str"/>
      <x:c r="Y387" t="str">
        <x:v>2026-10-10</x:v>
      </x:c>
    </x:row>
    <x:row r="388" ht="22" customHeight="1">
      <x:c r="A388" t="str">
        <x:v>OCTG-0387</x:v>
      </x:c>
      <x:c r="B388" t="str">
        <x:v>Borusan Mannesmann</x:v>
      </x:c>
      <x:c r="C388" t="str">
        <x:v>Türkiye / United States</x:v>
      </x:c>
      <x:c r="D388" t="str">
        <x:v>L80 EHC</x:v>
      </x:c>
      <x:c r="E388" t="str">
        <x:v>Proprietary grade</x:v>
      </x:c>
      <x:c r="F388" t="str">
        <x:v>API 5CT-based / manufacturer specification</x:v>
      </x:c>
      <x:c r="G388" t="str">
        <x:v>Carbon / low alloy</x:v>
      </x:c>
      <x:c r="H388" t="str">
        <x:v>High collapse/enhanced collapse or controlled yield (ERW)</x:v>
      </x:c>
      <x:c r="I388" t="str">
        <x:v>Casing and tubing (verify sizes)</x:v>
      </x:c>
      <x:c r="J388" t="str">
        <x:v>Not established by grade name</x:v>
      </x:c>
      <x:c r="K388" t="str">
        <x:v>Corrosion control may be needed</x:v>
      </x:c>
      <x:c r="L388" t="str">
        <x:v>Enhanced</x:v>
      </x:c>
      <x:c r="M388" t="n">
        <x:v>80</x:v>
      </x:c>
      <x:c r="N388" t="str"/>
      <x:c r="O388" t="str"/>
      <x:c r="P388" t="str"/>
      <x:c r="Q388" t="str">
        <x:v>A · standard carbon</x:v>
      </x:c>
      <x:c r="R388"/>
      <x:c r="S388"/>
      <x:c r="T388" t="str">
        <x:v>RFQ required · no public supplier-specific quote</x:v>
      </x:c>
      <x:c r="U388"/>
      <x:c r="V388" t="str">
        <x:v>https://www.borusanmannesmann.com/media/2139/octg2018-web.pdf</x:v>
      </x:c>
      <x:c r="W388" t="str">
        <x:v>Manufacturer-listed</x:v>
      </x:c>
      <x:c r="X388" t="str"/>
      <x:c r="Y388" t="str">
        <x:v>2026-10-10</x:v>
      </x:c>
    </x:row>
    <x:row r="389" ht="22" customHeight="1">
      <x:c r="A389" t="str">
        <x:v>OCTG-0388</x:v>
      </x:c>
      <x:c r="B389" t="str">
        <x:v>Borusan Mannesmann</x:v>
      </x:c>
      <x:c r="C389" t="str">
        <x:v>Türkiye / United States</x:v>
      </x:c>
      <x:c r="D389" t="str">
        <x:v>L80HC</x:v>
      </x:c>
      <x:c r="E389" t="str">
        <x:v>Proprietary grade</x:v>
      </x:c>
      <x:c r="F389" t="str">
        <x:v>API 5CT-based / manufacturer specification</x:v>
      </x:c>
      <x:c r="G389" t="str">
        <x:v>Carbon / low alloy</x:v>
      </x:c>
      <x:c r="H389" t="str">
        <x:v>High collapse/enhanced collapse or controlled yield (ERW)</x:v>
      </x:c>
      <x:c r="I389" t="str">
        <x:v>Casing and tubing (verify sizes)</x:v>
      </x:c>
      <x:c r="J389" t="str">
        <x:v>Not established by grade name</x:v>
      </x:c>
      <x:c r="K389" t="str">
        <x:v>Corrosion control may be needed</x:v>
      </x:c>
      <x:c r="L389" t="str">
        <x:v>Enhanced</x:v>
      </x:c>
      <x:c r="M389" t="n">
        <x:v>80</x:v>
      </x:c>
      <x:c r="N389" t="str"/>
      <x:c r="O389" t="str"/>
      <x:c r="P389" t="str"/>
      <x:c r="Q389" t="str">
        <x:v>A · standard carbon</x:v>
      </x:c>
      <x:c r="R389"/>
      <x:c r="S389"/>
      <x:c r="T389" t="str">
        <x:v>RFQ required · no public supplier-specific quote</x:v>
      </x:c>
      <x:c r="U389"/>
      <x:c r="V389" t="str">
        <x:v>https://www.borusanmannesmann.com/media/2139/octg2018-web.pdf</x:v>
      </x:c>
      <x:c r="W389" t="str">
        <x:v>Manufacturer-listed</x:v>
      </x:c>
      <x:c r="X389" t="str"/>
      <x:c r="Y389" t="str">
        <x:v>2026-10-10</x:v>
      </x:c>
    </x:row>
    <x:row r="390" ht="22" customHeight="1">
      <x:c r="A390" t="str">
        <x:v>OCTG-0389</x:v>
      </x:c>
      <x:c r="B390" t="str">
        <x:v>Borusan Mannesmann</x:v>
      </x:c>
      <x:c r="C390" t="str">
        <x:v>Türkiye / United States</x:v>
      </x:c>
      <x:c r="D390" t="str">
        <x:v>N80HC</x:v>
      </x:c>
      <x:c r="E390" t="str">
        <x:v>Proprietary grade</x:v>
      </x:c>
      <x:c r="F390" t="str">
        <x:v>API 5CT-based / manufacturer specification</x:v>
      </x:c>
      <x:c r="G390" t="str">
        <x:v>Carbon / low alloy</x:v>
      </x:c>
      <x:c r="H390" t="str">
        <x:v>High collapse/enhanced collapse or controlled yield (ERW)</x:v>
      </x:c>
      <x:c r="I390" t="str">
        <x:v>Casing and tubing (verify sizes)</x:v>
      </x:c>
      <x:c r="J390" t="str">
        <x:v>Not established by grade name</x:v>
      </x:c>
      <x:c r="K390" t="str">
        <x:v>Corrosion control may be needed</x:v>
      </x:c>
      <x:c r="L390" t="str">
        <x:v>Enhanced</x:v>
      </x:c>
      <x:c r="M390" t="n">
        <x:v>80</x:v>
      </x:c>
      <x:c r="N390" t="str"/>
      <x:c r="O390" t="str"/>
      <x:c r="P390" t="str"/>
      <x:c r="Q390" t="str">
        <x:v>A · standard carbon</x:v>
      </x:c>
      <x:c r="R390"/>
      <x:c r="S390"/>
      <x:c r="T390" t="str">
        <x:v>RFQ required · no public supplier-specific quote</x:v>
      </x:c>
      <x:c r="U390"/>
      <x:c r="V390" t="str">
        <x:v>https://www.borusanmannesmann.com/media/2139/octg2018-web.pdf</x:v>
      </x:c>
      <x:c r="W390" t="str">
        <x:v>Manufacturer-listed</x:v>
      </x:c>
      <x:c r="X390" t="str"/>
      <x:c r="Y390" t="str">
        <x:v>2026-10-10</x:v>
      </x:c>
    </x:row>
    <x:row r="391" ht="22" customHeight="1">
      <x:c r="A391" t="str">
        <x:v>OCTG-0390</x:v>
      </x:c>
      <x:c r="B391" t="str">
        <x:v>Borusan Mannesmann</x:v>
      </x:c>
      <x:c r="C391" t="str">
        <x:v>Türkiye / United States</x:v>
      </x:c>
      <x:c r="D391" t="str">
        <x:v>P110 CY</x:v>
      </x:c>
      <x:c r="E391" t="str">
        <x:v>Proprietary grade</x:v>
      </x:c>
      <x:c r="F391" t="str">
        <x:v>API 5CT-based / manufacturer specification</x:v>
      </x:c>
      <x:c r="G391" t="str">
        <x:v>Carbon / low alloy</x:v>
      </x:c>
      <x:c r="H391" t="str">
        <x:v>High collapse/enhanced collapse or controlled yield (ERW)</x:v>
      </x:c>
      <x:c r="I391" t="str">
        <x:v>Casing and tubing (verify sizes)</x:v>
      </x:c>
      <x:c r="J391" t="str">
        <x:v>Not established by grade name</x:v>
      </x:c>
      <x:c r="K391" t="str">
        <x:v>Corrosion control may be needed</x:v>
      </x:c>
      <x:c r="L391" t="str">
        <x:v>Enhanced</x:v>
      </x:c>
      <x:c r="M391" t="n">
        <x:v>110</x:v>
      </x:c>
      <x:c r="N391" t="str"/>
      <x:c r="O391" t="str"/>
      <x:c r="P391" t="str"/>
      <x:c r="Q391" t="str">
        <x:v>A · standard carbon</x:v>
      </x:c>
      <x:c r="R391"/>
      <x:c r="S391"/>
      <x:c r="T391" t="str">
        <x:v>RFQ required · no public supplier-specific quote</x:v>
      </x:c>
      <x:c r="U391"/>
      <x:c r="V391" t="str">
        <x:v>https://www.borusanmannesmann.com/media/2139/octg2018-web.pdf</x:v>
      </x:c>
      <x:c r="W391" t="str">
        <x:v>Manufacturer-listed</x:v>
      </x:c>
      <x:c r="X391" t="str"/>
      <x:c r="Y391" t="str">
        <x:v>2026-10-10</x:v>
      </x:c>
    </x:row>
    <x:row r="392" ht="22" customHeight="1">
      <x:c r="A392" t="str">
        <x:v>OCTG-0391</x:v>
      </x:c>
      <x:c r="B392" t="str">
        <x:v>Borusan Mannesmann</x:v>
      </x:c>
      <x:c r="C392" t="str">
        <x:v>Türkiye / United States</x:v>
      </x:c>
      <x:c r="D392" t="str">
        <x:v>P110 EHC</x:v>
      </x:c>
      <x:c r="E392" t="str">
        <x:v>Proprietary grade</x:v>
      </x:c>
      <x:c r="F392" t="str">
        <x:v>API 5CT-based / manufacturer specification</x:v>
      </x:c>
      <x:c r="G392" t="str">
        <x:v>Carbon / low alloy</x:v>
      </x:c>
      <x:c r="H392" t="str">
        <x:v>High collapse/enhanced collapse or controlled yield (ERW)</x:v>
      </x:c>
      <x:c r="I392" t="str">
        <x:v>Casing and tubing (verify sizes)</x:v>
      </x:c>
      <x:c r="J392" t="str">
        <x:v>Not established by grade name</x:v>
      </x:c>
      <x:c r="K392" t="str">
        <x:v>Corrosion control may be needed</x:v>
      </x:c>
      <x:c r="L392" t="str">
        <x:v>Enhanced</x:v>
      </x:c>
      <x:c r="M392" t="n">
        <x:v>110</x:v>
      </x:c>
      <x:c r="N392" t="str"/>
      <x:c r="O392" t="str"/>
      <x:c r="P392" t="str"/>
      <x:c r="Q392" t="str">
        <x:v>A · standard carbon</x:v>
      </x:c>
      <x:c r="R392"/>
      <x:c r="S392"/>
      <x:c r="T392" t="str">
        <x:v>RFQ required · no public supplier-specific quote</x:v>
      </x:c>
      <x:c r="U392"/>
      <x:c r="V392" t="str">
        <x:v>https://www.borusanmannesmann.com/media/2139/octg2018-web.pdf</x:v>
      </x:c>
      <x:c r="W392" t="str">
        <x:v>Manufacturer-listed</x:v>
      </x:c>
      <x:c r="X392" t="str"/>
      <x:c r="Y392" t="str">
        <x:v>2026-10-10</x:v>
      </x:c>
    </x:row>
    <x:row r="393" ht="22" customHeight="1">
      <x:c r="A393" t="str">
        <x:v>OCTG-0392</x:v>
      </x:c>
      <x:c r="B393" t="str">
        <x:v>Borusan Mannesmann</x:v>
      </x:c>
      <x:c r="C393" t="str">
        <x:v>Türkiye / United States</x:v>
      </x:c>
      <x:c r="D393" t="str">
        <x:v>P110 HC</x:v>
      </x:c>
      <x:c r="E393" t="str">
        <x:v>Proprietary grade</x:v>
      </x:c>
      <x:c r="F393" t="str">
        <x:v>API 5CT-based / manufacturer specification</x:v>
      </x:c>
      <x:c r="G393" t="str">
        <x:v>Carbon / low alloy</x:v>
      </x:c>
      <x:c r="H393" t="str">
        <x:v>High collapse/enhanced collapse or controlled yield (ERW)</x:v>
      </x:c>
      <x:c r="I393" t="str">
        <x:v>Casing and tubing (verify sizes)</x:v>
      </x:c>
      <x:c r="J393" t="str">
        <x:v>Not established by grade name</x:v>
      </x:c>
      <x:c r="K393" t="str">
        <x:v>Corrosion control may be needed</x:v>
      </x:c>
      <x:c r="L393" t="str">
        <x:v>Enhanced</x:v>
      </x:c>
      <x:c r="M393" t="n">
        <x:v>110</x:v>
      </x:c>
      <x:c r="N393" t="str"/>
      <x:c r="O393" t="str"/>
      <x:c r="P393" t="str"/>
      <x:c r="Q393" t="str">
        <x:v>A · standard carbon</x:v>
      </x:c>
      <x:c r="R393"/>
      <x:c r="S393"/>
      <x:c r="T393" t="str">
        <x:v>RFQ required · no public supplier-specific quote</x:v>
      </x:c>
      <x:c r="U393"/>
      <x:c r="V393" t="str">
        <x:v>https://www.borusanmannesmann.com/media/2139/octg2018-web.pdf</x:v>
      </x:c>
      <x:c r="W393" t="str">
        <x:v>Manufacturer-listed</x:v>
      </x:c>
      <x:c r="X393" t="str"/>
      <x:c r="Y393" t="str">
        <x:v>2026-10-10</x:v>
      </x:c>
    </x:row>
    <x:row r="394" ht="22" customHeight="1">
      <x:c r="A394" t="str">
        <x:v>OCTG-0393</x:v>
      </x:c>
      <x:c r="B394" t="str">
        <x:v>Borusan Mannesmann</x:v>
      </x:c>
      <x:c r="C394" t="str">
        <x:v>Türkiye / United States</x:v>
      </x:c>
      <x:c r="D394" t="str">
        <x:v>P110 HSCY</x:v>
      </x:c>
      <x:c r="E394" t="str">
        <x:v>Proprietary grade</x:v>
      </x:c>
      <x:c r="F394" t="str">
        <x:v>API 5CT-based / manufacturer specification</x:v>
      </x:c>
      <x:c r="G394" t="str">
        <x:v>Carbon / low alloy</x:v>
      </x:c>
      <x:c r="H394" t="str">
        <x:v>High collapse/enhanced collapse or controlled yield (ERW)</x:v>
      </x:c>
      <x:c r="I394" t="str">
        <x:v>Casing and tubing (verify sizes)</x:v>
      </x:c>
      <x:c r="J394" t="str">
        <x:v>Not established by grade name</x:v>
      </x:c>
      <x:c r="K394" t="str">
        <x:v>Corrosion control may be needed</x:v>
      </x:c>
      <x:c r="L394" t="str">
        <x:v>Enhanced</x:v>
      </x:c>
      <x:c r="M394" t="n">
        <x:v>110</x:v>
      </x:c>
      <x:c r="N394" t="str"/>
      <x:c r="O394" t="str"/>
      <x:c r="P394" t="str"/>
      <x:c r="Q394" t="str">
        <x:v>A · standard carbon</x:v>
      </x:c>
      <x:c r="R394"/>
      <x:c r="S394"/>
      <x:c r="T394" t="str">
        <x:v>RFQ required · no public supplier-specific quote</x:v>
      </x:c>
      <x:c r="U394"/>
      <x:c r="V394" t="str">
        <x:v>https://www.borusanmannesmann.com/media/2139/octg2018-web.pdf</x:v>
      </x:c>
      <x:c r="W394" t="str">
        <x:v>Manufacturer-listed</x:v>
      </x:c>
      <x:c r="X394" t="str"/>
      <x:c r="Y394" t="str">
        <x:v>2026-10-10</x:v>
      </x:c>
    </x:row>
    <x:row r="395" ht="22" customHeight="1">
      <x:c r="A395" t="str">
        <x:v>OCTG-0394</x:v>
      </x:c>
      <x:c r="B395" t="str">
        <x:v>SeAH Steel</x:v>
      </x:c>
      <x:c r="C395" t="str">
        <x:v>South Korea</x:v>
      </x:c>
      <x:c r="D395" t="str">
        <x:v>SeAH80</x:v>
      </x:c>
      <x:c r="E395" t="str">
        <x:v>Proprietary grade</x:v>
      </x:c>
      <x:c r="F395" t="str">
        <x:v>API 5CT-based / manufacturer specification</x:v>
      </x:c>
      <x:c r="G395" t="str">
        <x:v>Carbon / low alloy</x:v>
      </x:c>
      <x:c r="H395" t="str">
        <x:v>SeAH proprietary OCTG grade (service to be verified)</x:v>
      </x:c>
      <x:c r="I395" t="str">
        <x:v>Casing and tubing (verify sizes)</x:v>
      </x:c>
      <x:c r="J395" t="str">
        <x:v>Not established by grade name</x:v>
      </x:c>
      <x:c r="K395" t="str">
        <x:v>Corrosion control may be needed</x:v>
      </x:c>
      <x:c r="L395" t="str">
        <x:v>API / not stated</x:v>
      </x:c>
      <x:c r="M395" t="n">
        <x:v>80</x:v>
      </x:c>
      <x:c r="N395" t="str"/>
      <x:c r="O395" t="str"/>
      <x:c r="P395" t="str"/>
      <x:c r="Q395" t="str">
        <x:v>A · standard carbon</x:v>
      </x:c>
      <x:c r="R395"/>
      <x:c r="S395"/>
      <x:c r="T395" t="str">
        <x:v>RFQ required · no public supplier-specific quote</x:v>
      </x:c>
      <x:c r="U395"/>
      <x:c r="V395" t="str">
        <x:v>https://www.seahsteel.co.kr/eng/application/oil-gas.asp</x:v>
      </x:c>
      <x:c r="W395" t="str">
        <x:v>Manufacturer-listed</x:v>
      </x:c>
      <x:c r="X395" t="str">
        <x:v>Listed as OCTG production grades. No public grade-specific sour envelope in this source.</x:v>
      </x:c>
      <x:c r="Y395" t="str">
        <x:v>2026-10-10</x:v>
      </x:c>
    </x:row>
    <x:row r="396" ht="22" customHeight="1">
      <x:c r="A396" t="str">
        <x:v>OCTG-0395</x:v>
      </x:c>
      <x:c r="B396" t="str">
        <x:v>SeAH Steel</x:v>
      </x:c>
      <x:c r="C396" t="str">
        <x:v>South Korea</x:v>
      </x:c>
      <x:c r="D396" t="str">
        <x:v>SeAH90</x:v>
      </x:c>
      <x:c r="E396" t="str">
        <x:v>Proprietary grade</x:v>
      </x:c>
      <x:c r="F396" t="str">
        <x:v>API 5CT-based / manufacturer specification</x:v>
      </x:c>
      <x:c r="G396" t="str">
        <x:v>Carbon / low alloy</x:v>
      </x:c>
      <x:c r="H396" t="str">
        <x:v>SeAH proprietary OCTG grade (service to be verified)</x:v>
      </x:c>
      <x:c r="I396" t="str">
        <x:v>Casing and tubing (verify sizes)</x:v>
      </x:c>
      <x:c r="J396" t="str">
        <x:v>Not established by grade name</x:v>
      </x:c>
      <x:c r="K396" t="str">
        <x:v>Corrosion control may be needed</x:v>
      </x:c>
      <x:c r="L396" t="str">
        <x:v>API / not stated</x:v>
      </x:c>
      <x:c r="M396" t="n">
        <x:v>90</x:v>
      </x:c>
      <x:c r="N396" t="str"/>
      <x:c r="O396" t="str"/>
      <x:c r="P396" t="str"/>
      <x:c r="Q396" t="str">
        <x:v>A · standard carbon</x:v>
      </x:c>
      <x:c r="R396"/>
      <x:c r="S396"/>
      <x:c r="T396" t="str">
        <x:v>RFQ required · no public supplier-specific quote</x:v>
      </x:c>
      <x:c r="U396"/>
      <x:c r="V396" t="str">
        <x:v>https://www.seahsteel.co.kr/eng/application/oil-gas.asp</x:v>
      </x:c>
      <x:c r="W396" t="str">
        <x:v>Manufacturer-listed</x:v>
      </x:c>
      <x:c r="X396" t="str">
        <x:v>Listed as OCTG production grades. No public grade-specific sour envelope in this source.</x:v>
      </x:c>
      <x:c r="Y396" t="str">
        <x:v>2026-10-10</x:v>
      </x:c>
    </x:row>
    <x:row r="397" ht="22" customHeight="1">
      <x:c r="A397" t="str">
        <x:v>OCTG-0396</x:v>
      </x:c>
      <x:c r="B397" t="str">
        <x:v>TMK</x:v>
      </x:c>
      <x:c r="C397" t="str">
        <x:v>Russia</x:v>
      </x:c>
      <x:c r="D397" t="str">
        <x:v>I-80</x:v>
      </x:c>
      <x:c r="E397" t="str">
        <x:v>Proprietary grade</x:v>
      </x:c>
      <x:c r="F397" t="str">
        <x:v>API 5CT-based / manufacturer specification</x:v>
      </x:c>
      <x:c r="G397" t="str">
        <x:v>Carbon / low alloy</x:v>
      </x:c>
      <x:c r="H397" t="str">
        <x:v>High strength or manufacturer proprietary mild-sour grade</x:v>
      </x:c>
      <x:c r="I397" t="str">
        <x:v>Casing and tubing (verify sizes)</x:v>
      </x:c>
      <x:c r="J397" t="str">
        <x:v>Not established by grade name</x:v>
      </x:c>
      <x:c r="K397" t="str">
        <x:v>Corrosion control may be needed</x:v>
      </x:c>
      <x:c r="L397" t="str">
        <x:v>API / not stated</x:v>
      </x:c>
      <x:c r="M397" t="n">
        <x:v>80</x:v>
      </x:c>
      <x:c r="N397" t="str"/>
      <x:c r="O397" t="str"/>
      <x:c r="P397" t="str"/>
      <x:c r="Q397" t="str">
        <x:v>A · standard carbon</x:v>
      </x:c>
      <x:c r="R397"/>
      <x:c r="S397"/>
      <x:c r="T397" t="str">
        <x:v>RFQ required · no public supplier-specific quote</x:v>
      </x:c>
      <x:c r="U397"/>
      <x:c r="V397" t="str">
        <x:v>https://www.tmk-group.com/media_en/files/292/65/Presentation_CMD1014.pdf</x:v>
      </x:c>
      <x:c r="W397" t="str">
        <x:v>Historical catalog / investor presentation; confirm active commercial availability</x:v>
      </x:c>
      <x:c r="X397" t="str"/>
      <x:c r="Y397" t="str">
        <x:v>2026-10-10</x:v>
      </x:c>
    </x:row>
    <x:row r="398" ht="22" customHeight="1">
      <x:c r="A398" t="str">
        <x:v>OCTG-0397</x:v>
      </x:c>
      <x:c r="B398" t="str">
        <x:v>TMK</x:v>
      </x:c>
      <x:c r="C398" t="str">
        <x:v>Russia</x:v>
      </x:c>
      <x:c r="D398" t="str">
        <x:v>I-80MS1</x:v>
      </x:c>
      <x:c r="E398" t="str">
        <x:v>Proprietary grade</x:v>
      </x:c>
      <x:c r="F398" t="str">
        <x:v>API 5CT-based / manufacturer specification</x:v>
      </x:c>
      <x:c r="G398" t="str">
        <x:v>Carbon / low alloy</x:v>
      </x:c>
      <x:c r="H398" t="str">
        <x:v>High strength or manufacturer proprietary mild-sour grade</x:v>
      </x:c>
      <x:c r="I398" t="str">
        <x:v>Casing and tubing (verify sizes)</x:v>
      </x:c>
      <x:c r="J398" t="str">
        <x:v>Not established by grade name</x:v>
      </x:c>
      <x:c r="K398" t="str">
        <x:v>Corrosion control may be needed</x:v>
      </x:c>
      <x:c r="L398" t="str">
        <x:v>API / not stated</x:v>
      </x:c>
      <x:c r="M398" t="n">
        <x:v>80</x:v>
      </x:c>
      <x:c r="N398" t="str"/>
      <x:c r="O398" t="str"/>
      <x:c r="P398" t="str"/>
      <x:c r="Q398" t="str">
        <x:v>A · standard carbon</x:v>
      </x:c>
      <x:c r="R398"/>
      <x:c r="S398"/>
      <x:c r="T398" t="str">
        <x:v>RFQ required · no public supplier-specific quote</x:v>
      </x:c>
      <x:c r="U398"/>
      <x:c r="V398" t="str">
        <x:v>https://www.tmk-group.com/media_en/files/292/65/Presentation_CMD1014.pdf</x:v>
      </x:c>
      <x:c r="W398" t="str">
        <x:v>Historical catalog / investor presentation; confirm active commercial availability</x:v>
      </x:c>
      <x:c r="X398" t="str"/>
      <x:c r="Y398" t="str">
        <x:v>2026-10-10</x:v>
      </x:c>
    </x:row>
    <x:row r="399" ht="22" customHeight="1">
      <x:c r="A399" t="str">
        <x:v>OCTG-0398</x:v>
      </x:c>
      <x:c r="B399" t="str">
        <x:v>TMK</x:v>
      </x:c>
      <x:c r="C399" t="str">
        <x:v>Russia</x:v>
      </x:c>
      <x:c r="D399" t="str">
        <x:v>I-95</x:v>
      </x:c>
      <x:c r="E399" t="str">
        <x:v>Proprietary grade</x:v>
      </x:c>
      <x:c r="F399" t="str">
        <x:v>API 5CT-based / manufacturer specification</x:v>
      </x:c>
      <x:c r="G399" t="str">
        <x:v>Carbon / low alloy</x:v>
      </x:c>
      <x:c r="H399" t="str">
        <x:v>High strength or manufacturer proprietary mild-sour grade</x:v>
      </x:c>
      <x:c r="I399" t="str">
        <x:v>Casing and tubing (verify sizes)</x:v>
      </x:c>
      <x:c r="J399" t="str">
        <x:v>Not established by grade name</x:v>
      </x:c>
      <x:c r="K399" t="str">
        <x:v>Corrosion control may be needed</x:v>
      </x:c>
      <x:c r="L399" t="str">
        <x:v>API / not stated</x:v>
      </x:c>
      <x:c r="M399" t="n">
        <x:v>95</x:v>
      </x:c>
      <x:c r="N399" t="str"/>
      <x:c r="O399" t="str"/>
      <x:c r="P399" t="str"/>
      <x:c r="Q399" t="str">
        <x:v>A · standard carbon</x:v>
      </x:c>
      <x:c r="R399"/>
      <x:c r="S399"/>
      <x:c r="T399" t="str">
        <x:v>RFQ required · no public supplier-specific quote</x:v>
      </x:c>
      <x:c r="U399"/>
      <x:c r="V399" t="str">
        <x:v>https://www.tmk-group.com/media_en/files/292/65/Presentation_CMD1014.pdf</x:v>
      </x:c>
      <x:c r="W399" t="str">
        <x:v>Historical catalog / investor presentation; confirm active commercial availability</x:v>
      </x:c>
      <x:c r="X399" t="str"/>
      <x:c r="Y399" t="str">
        <x:v>2026-10-10</x:v>
      </x:c>
    </x:row>
    <x:row r="400" ht="22" customHeight="1">
      <x:c r="A400" t="str">
        <x:v>OCTG-0399</x:v>
      </x:c>
      <x:c r="B400" t="str">
        <x:v>TMK</x:v>
      </x:c>
      <x:c r="C400" t="str">
        <x:v>Russia</x:v>
      </x:c>
      <x:c r="D400" t="str">
        <x:v>TMK 140</x:v>
      </x:c>
      <x:c r="E400" t="str">
        <x:v>Proprietary grade</x:v>
      </x:c>
      <x:c r="F400" t="str">
        <x:v>API 5CT-based / manufacturer specification</x:v>
      </x:c>
      <x:c r="G400" t="str">
        <x:v>Carbon / low alloy</x:v>
      </x:c>
      <x:c r="H400" t="str">
        <x:v>High strength or manufacturer proprietary mild-sour grade</x:v>
      </x:c>
      <x:c r="I400" t="str">
        <x:v>Casing and tubing (verify sizes)</x:v>
      </x:c>
      <x:c r="J400" t="str">
        <x:v>Not established by grade name</x:v>
      </x:c>
      <x:c r="K400" t="str">
        <x:v>Corrosion control may be needed</x:v>
      </x:c>
      <x:c r="L400" t="str">
        <x:v>API / not stated</x:v>
      </x:c>
      <x:c r="M400" t="n">
        <x:v>140</x:v>
      </x:c>
      <x:c r="N400" t="str"/>
      <x:c r="O400" t="str"/>
      <x:c r="P400" t="str"/>
      <x:c r="Q400" t="str">
        <x:v>A · standard carbon</x:v>
      </x:c>
      <x:c r="R400"/>
      <x:c r="S400"/>
      <x:c r="T400" t="str">
        <x:v>RFQ required · no public supplier-specific quote</x:v>
      </x:c>
      <x:c r="U400"/>
      <x:c r="V400" t="str">
        <x:v>https://www.tmk-group.com/media_en/files/292/65/Presentation_CMD1014.pdf</x:v>
      </x:c>
      <x:c r="W400" t="str">
        <x:v>Historical catalog / investor presentation; confirm active commercial availability</x:v>
      </x:c>
      <x:c r="X400" t="str"/>
      <x:c r="Y400" t="str">
        <x:v>2026-10-10</x:v>
      </x:c>
    </x:row>
    <x:row r="401" ht="22" customHeight="1">
      <x:c r="A401" t="str">
        <x:v>OCTG-0400</x:v>
      </x:c>
      <x:c r="B401" t="str">
        <x:v>TMK</x:v>
      </x:c>
      <x:c r="C401" t="str">
        <x:v>Russia</x:v>
      </x:c>
      <x:c r="D401" t="str">
        <x:v>TMK 150</x:v>
      </x:c>
      <x:c r="E401" t="str">
        <x:v>Proprietary grade</x:v>
      </x:c>
      <x:c r="F401" t="str">
        <x:v>API 5CT-based / manufacturer specification</x:v>
      </x:c>
      <x:c r="G401" t="str">
        <x:v>Carbon / low alloy</x:v>
      </x:c>
      <x:c r="H401" t="str">
        <x:v>High strength or manufacturer proprietary mild-sour grade</x:v>
      </x:c>
      <x:c r="I401" t="str">
        <x:v>Casing and tubing (verify sizes)</x:v>
      </x:c>
      <x:c r="J401" t="str">
        <x:v>Not established by grade name</x:v>
      </x:c>
      <x:c r="K401" t="str">
        <x:v>Corrosion control may be needed</x:v>
      </x:c>
      <x:c r="L401" t="str">
        <x:v>API / not stated</x:v>
      </x:c>
      <x:c r="M401" t="n">
        <x:v>150</x:v>
      </x:c>
      <x:c r="N401" t="str"/>
      <x:c r="O401" t="str"/>
      <x:c r="P401" t="str"/>
      <x:c r="Q401" t="str">
        <x:v>A · standard carbon</x:v>
      </x:c>
      <x:c r="R401"/>
      <x:c r="S401"/>
      <x:c r="T401" t="str">
        <x:v>RFQ required · no public supplier-specific quote</x:v>
      </x:c>
      <x:c r="U401"/>
      <x:c r="V401" t="str">
        <x:v>https://www.tmk-group.com/media_en/files/292/65/Presentation_CMD1014.pdf</x:v>
      </x:c>
      <x:c r="W401" t="str">
        <x:v>Historical catalog / investor presentation; confirm active commercial availability</x:v>
      </x:c>
      <x:c r="X401" t="str"/>
      <x:c r="Y401" t="str">
        <x:v>2026-10-10</x:v>
      </x:c>
    </x:row>
    <x:row r="402" ht="22" customHeight="1">
      <x:c r="A402" t="str">
        <x:v>OCTG-0401</x:v>
      </x:c>
      <x:c r="B402" t="str">
        <x:v>TMK</x:v>
      </x:c>
      <x:c r="C402" t="str">
        <x:v>Russia</x:v>
      </x:c>
      <x:c r="D402" t="str">
        <x:v>TMK P110MS1</x:v>
      </x:c>
      <x:c r="E402" t="str">
        <x:v>Proprietary grade</x:v>
      </x:c>
      <x:c r="F402" t="str">
        <x:v>API 5CT-based / manufacturer specification</x:v>
      </x:c>
      <x:c r="G402" t="str">
        <x:v>Carbon / low alloy</x:v>
      </x:c>
      <x:c r="H402" t="str">
        <x:v>High strength or manufacturer proprietary mild-sour grade</x:v>
      </x:c>
      <x:c r="I402" t="str">
        <x:v>Casing and tubing (verify sizes)</x:v>
      </x:c>
      <x:c r="J402" t="str">
        <x:v>Not established by grade name</x:v>
      </x:c>
      <x:c r="K402" t="str">
        <x:v>Corrosion control may be needed</x:v>
      </x:c>
      <x:c r="L402" t="str">
        <x:v>API / not stated</x:v>
      </x:c>
      <x:c r="M402" t="n">
        <x:v>110</x:v>
      </x:c>
      <x:c r="N402" t="str"/>
      <x:c r="O402" t="str"/>
      <x:c r="P402" t="str"/>
      <x:c r="Q402" t="str">
        <x:v>A · standard carbon</x:v>
      </x:c>
      <x:c r="R402"/>
      <x:c r="S402"/>
      <x:c r="T402" t="str">
        <x:v>RFQ required · no public supplier-specific quote</x:v>
      </x:c>
      <x:c r="U402"/>
      <x:c r="V402" t="str">
        <x:v>https://www.tmk-group.com/media_en/files/292/65/Presentation_CMD1014.pdf</x:v>
      </x:c>
      <x:c r="W402" t="str">
        <x:v>Historical catalog / investor presentation; confirm active commercial availability</x:v>
      </x:c>
      <x:c r="X402" t="str"/>
      <x:c r="Y402" t="str">
        <x:v>2026-10-10</x:v>
      </x:c>
    </x:row>
    <x:row r="403" ht="22" customHeight="1">
      <x:c r="A403" t="str">
        <x:v>OCTG-0402</x:v>
      </x:c>
      <x:c r="B403" t="str">
        <x:v>TMK</x:v>
      </x:c>
      <x:c r="C403" t="str">
        <x:v>Russia</x:v>
      </x:c>
      <x:c r="D403" t="str">
        <x:v>TMK P110MS2</x:v>
      </x:c>
      <x:c r="E403" t="str">
        <x:v>Proprietary grade</x:v>
      </x:c>
      <x:c r="F403" t="str">
        <x:v>API 5CT-based / manufacturer specification</x:v>
      </x:c>
      <x:c r="G403" t="str">
        <x:v>Carbon / low alloy</x:v>
      </x:c>
      <x:c r="H403" t="str">
        <x:v>High strength or manufacturer proprietary mild-sour grade</x:v>
      </x:c>
      <x:c r="I403" t="str">
        <x:v>Casing and tubing (verify sizes)</x:v>
      </x:c>
      <x:c r="J403" t="str">
        <x:v>Not established by grade name</x:v>
      </x:c>
      <x:c r="K403" t="str">
        <x:v>Corrosion control may be needed</x:v>
      </x:c>
      <x:c r="L403" t="str">
        <x:v>API / not stated</x:v>
      </x:c>
      <x:c r="M403" t="n">
        <x:v>110</x:v>
      </x:c>
      <x:c r="N403" t="str"/>
      <x:c r="O403" t="str"/>
      <x:c r="P403" t="str"/>
      <x:c r="Q403" t="str">
        <x:v>A · standard carbon</x:v>
      </x:c>
      <x:c r="R403"/>
      <x:c r="S403"/>
      <x:c r="T403" t="str">
        <x:v>RFQ required · no public supplier-specific quote</x:v>
      </x:c>
      <x:c r="U403"/>
      <x:c r="V403" t="str">
        <x:v>https://www.tmk-group.com/media_en/files/292/65/Presentation_CMD1014.pdf</x:v>
      </x:c>
      <x:c r="W403" t="str">
        <x:v>Historical catalog / investor presentation; confirm active commercial availability</x:v>
      </x:c>
      <x:c r="X403" t="str"/>
      <x:c r="Y403" t="str">
        <x:v>2026-10-10</x:v>
      </x:c>
    </x:row>
    <x:row r="404" ht="22" customHeight="1">
      <x:c r="A404" t="str">
        <x:v>OCTG-0403</x:v>
      </x:c>
      <x:c r="B404" t="str">
        <x:v>Tianjin Pipe (TPCO)</x:v>
      </x:c>
      <x:c r="C404" t="str">
        <x:v>China</x:v>
      </x:c>
      <x:c r="D404" t="str">
        <x:v>TP-High-collapse family</x:v>
      </x:c>
      <x:c r="E404" t="str">
        <x:v>Supplier-named series/family</x:v>
      </x:c>
      <x:c r="F404" t="str">
        <x:v>Manufacturer proprietary OCTG family</x:v>
      </x:c>
      <x:c r="G404" t="str">
        <x:v>Carbon / low alloy</x:v>
      </x:c>
      <x:c r="H404" t="str">
        <x:v>External pressure</x:v>
      </x:c>
      <x:c r="I404" t="str">
        <x:v>Casing and tubing</x:v>
      </x:c>
      <x:c r="J404" t="str">
        <x:v>Not established by grade name</x:v>
      </x:c>
      <x:c r="K404" t="str">
        <x:v>Corrosion control may be needed</x:v>
      </x:c>
      <x:c r="L404" t="str">
        <x:v>Enhanced</x:v>
      </x:c>
      <x:c r="M404"/>
      <x:c r="N404" t="str"/>
      <x:c r="O404" t="str"/>
      <x:c r="P404" t="str"/>
      <x:c r="Q404" t="str">
        <x:v>A · standard carbon</x:v>
      </x:c>
      <x:c r="R404"/>
      <x:c r="S404"/>
      <x:c r="T404" t="str">
        <x:v>RFQ required · no public supplier-specific quote</x:v>
      </x:c>
      <x:c r="U404"/>
      <x:c r="V404" t="str">
        <x:v>https://www.tpco.com.cn/system/2017/08/30/014009466.shtml</x:v>
      </x:c>
      <x:c r="W404" t="str">
        <x:v>Verified family, not an individual grade</x:v>
      </x:c>
      <x:c r="X404" t="str">
        <x:v>Family-level entry; official site does not identify discrete product codes in this excerpt</x:v>
      </x:c>
      <x:c r="Y404" t="str">
        <x:v>2026-10-10</x:v>
      </x:c>
    </x:row>
    <x:row r="405" ht="22" customHeight="1">
      <x:c r="A405" t="str">
        <x:v>OCTG-0404</x:v>
      </x:c>
      <x:c r="B405" t="str">
        <x:v>Tianjin Pipe (TPCO)</x:v>
      </x:c>
      <x:c r="C405" t="str">
        <x:v>China</x:v>
      </x:c>
      <x:c r="D405" t="str">
        <x:v>TP-SS series (80–125 ksi)</x:v>
      </x:c>
      <x:c r="E405" t="str">
        <x:v>Supplier-named series/family</x:v>
      </x:c>
      <x:c r="F405" t="str">
        <x:v>Manufacturer proprietary OCTG family</x:v>
      </x:c>
      <x:c r="G405" t="str">
        <x:v>Carbon / low alloy</x:v>
      </x:c>
      <x:c r="H405" t="str">
        <x:v>Sour service; SSI/SSC tested; supplier range</x:v>
      </x:c>
      <x:c r="I405" t="str">
        <x:v>Casing and tubing</x:v>
      </x:c>
      <x:c r="J405" t="str">
        <x:v>Sour service: manufacturer-defined limits</x:v>
      </x:c>
      <x:c r="K405" t="str">
        <x:v>Corrosion control may be needed</x:v>
      </x:c>
      <x:c r="L405" t="str">
        <x:v>API / not stated</x:v>
      </x:c>
      <x:c r="M405" t="n">
        <x:v>80</x:v>
      </x:c>
      <x:c r="N405" t="str"/>
      <x:c r="O405" t="str"/>
      <x:c r="P405" t="str"/>
      <x:c r="Q405" t="str">
        <x:v>A · standard carbon</x:v>
      </x:c>
      <x:c r="R405"/>
      <x:c r="S405"/>
      <x:c r="T405" t="str">
        <x:v>RFQ required · no public supplier-specific quote</x:v>
      </x:c>
      <x:c r="U405"/>
      <x:c r="V405" t="str">
        <x:v>https://www.tpco.com.cn/system/2017/08/30/014009466.shtml</x:v>
      </x:c>
      <x:c r="W405" t="str">
        <x:v>Verified family, not an individual grade</x:v>
      </x:c>
      <x:c r="X405" t="str">
        <x:v>Family-level entry; official site does not identify discrete product codes in this excerpt</x:v>
      </x:c>
      <x:c r="Y405" t="str">
        <x:v>2026-10-10</x:v>
      </x:c>
    </x:row>
    <x:row r="406" ht="22" customHeight="1">
      <x:c r="A406" t="str">
        <x:v>OCTG-0405</x:v>
      </x:c>
      <x:c r="B406" t="str">
        <x:v>Tianjin Pipe (TPCO)</x:v>
      </x:c>
      <x:c r="C406" t="str">
        <x:v>China</x:v>
      </x:c>
      <x:c r="D406" t="str">
        <x:v>TP-Thermal-recovery family</x:v>
      </x:c>
      <x:c r="E406" t="str">
        <x:v>Supplier-named series/family</x:v>
      </x:c>
      <x:c r="F406" t="str">
        <x:v>Manufacturer proprietary OCTG family</x:v>
      </x:c>
      <x:c r="G406" t="str">
        <x:v>Carbon / low alloy</x:v>
      </x:c>
      <x:c r="H406" t="str">
        <x:v>Thermal wells, steam</x:v>
      </x:c>
      <x:c r="I406" t="str">
        <x:v>Casing and tubing</x:v>
      </x:c>
      <x:c r="J406" t="str">
        <x:v>Not established by grade name</x:v>
      </x:c>
      <x:c r="K406" t="str">
        <x:v>Corrosion control may be needed</x:v>
      </x:c>
      <x:c r="L406" t="str">
        <x:v>API / not stated</x:v>
      </x:c>
      <x:c r="M406"/>
      <x:c r="N406" t="str"/>
      <x:c r="O406" t="str"/>
      <x:c r="P406" t="str"/>
      <x:c r="Q406" t="str">
        <x:v>A · standard carbon</x:v>
      </x:c>
      <x:c r="R406"/>
      <x:c r="S406"/>
      <x:c r="T406" t="str">
        <x:v>RFQ required · no public supplier-specific quote</x:v>
      </x:c>
      <x:c r="U406"/>
      <x:c r="V406" t="str">
        <x:v>https://www.tpco.com.cn/system/2017/08/30/014009466.shtml</x:v>
      </x:c>
      <x:c r="W406" t="str">
        <x:v>Verified family, not an individual grade</x:v>
      </x:c>
      <x:c r="X406" t="str">
        <x:v>Family-level entry; official site does not identify discrete product codes in this excerpt</x:v>
      </x:c>
      <x:c r="Y406" t="str">
        <x:v>2026-10-10</x:v>
      </x:c>
    </x:row>
    <x:row r="407" ht="22" customHeight="1">
      <x:c r="A407" t="str">
        <x:v>OCTG-0406</x:v>
      </x:c>
      <x:c r="B407" t="str">
        <x:v>Tianjin Pipe (TPCO)</x:v>
      </x:c>
      <x:c r="C407" t="str">
        <x:v>China</x:v>
      </x:c>
      <x:c r="D407" t="str">
        <x:v>TP-2205 duplex series</x:v>
      </x:c>
      <x:c r="E407" t="str">
        <x:v>Supplier-named series/family</x:v>
      </x:c>
      <x:c r="F407" t="str">
        <x:v>Manufacturer proprietary OCTG family</x:v>
      </x:c>
      <x:c r="G407" t="str">
        <x:v>Duplex 22Cr</x:v>
      </x:c>
      <x:c r="H407" t="str">
        <x:v>Wet CO2, high chloride</x:v>
      </x:c>
      <x:c r="I407" t="str">
        <x:v>Casing and tubing</x:v>
      </x:c>
      <x:c r="J407" t="str">
        <x:v>Not established by grade name</x:v>
      </x:c>
      <x:c r="K407" t="str">
        <x:v>Improved (verify temperature / chloride limits)</x:v>
      </x:c>
      <x:c r="L407" t="str">
        <x:v>API / not stated</x:v>
      </x:c>
      <x:c r="M407"/>
      <x:c r="N407" t="str"/>
      <x:c r="O407" t="str"/>
      <x:c r="P407" t="str"/>
      <x:c r="Q407" t="str">
        <x:v>F · duplex CRA</x:v>
      </x:c>
      <x:c r="R407"/>
      <x:c r="S407"/>
      <x:c r="T407" t="str">
        <x:v>RFQ required · no public supplier-specific quote</x:v>
      </x:c>
      <x:c r="U407"/>
      <x:c r="V407" t="str">
        <x:v>https://www.tpco.com.cn/system/2017/08/30/014009466.shtml</x:v>
      </x:c>
      <x:c r="W407" t="str">
        <x:v>Verified family, not an individual grade</x:v>
      </x:c>
      <x:c r="X407" t="str">
        <x:v>Family-level entry; official site does not identify discrete product codes in this excerpt</x:v>
      </x:c>
      <x:c r="Y407" t="str">
        <x:v>2026-10-10</x:v>
      </x:c>
    </x:row>
    <x:row r="408" ht="22" customHeight="1">
      <x:c r="A408" t="str">
        <x:v>OCTG-0407</x:v>
      </x:c>
      <x:c r="B408" t="str">
        <x:v>Tianjin Pipe (TPCO)</x:v>
      </x:c>
      <x:c r="C408" t="str">
        <x:v>China</x:v>
      </x:c>
      <x:c r="D408" t="str">
        <x:v>TP-Alloy 028 series</x:v>
      </x:c>
      <x:c r="E408" t="str">
        <x:v>Supplier-named series/family</x:v>
      </x:c>
      <x:c r="F408" t="str">
        <x:v>Manufacturer proprietary OCTG family</x:v>
      </x:c>
      <x:c r="G408" t="str">
        <x:v>Fe-base austenitic CRA</x:v>
      </x:c>
      <x:c r="H408" t="str">
        <x:v>Severe corrosion</x:v>
      </x:c>
      <x:c r="I408" t="str">
        <x:v>Casing and tubing</x:v>
      </x:c>
      <x:c r="J408" t="str">
        <x:v>Not established by grade name</x:v>
      </x:c>
      <x:c r="K408" t="str">
        <x:v>Improved (verify temperature / chloride limits)</x:v>
      </x:c>
      <x:c r="L408" t="str">
        <x:v>API / not stated</x:v>
      </x:c>
      <x:c r="M408"/>
      <x:c r="N408" t="str"/>
      <x:c r="O408" t="str"/>
      <x:c r="P408" t="str"/>
      <x:c r="Q408" t="str">
        <x:v>H · high-Ni Fe-base CRA</x:v>
      </x:c>
      <x:c r="R408"/>
      <x:c r="S408"/>
      <x:c r="T408" t="str">
        <x:v>RFQ required · no public supplier-specific quote</x:v>
      </x:c>
      <x:c r="U408"/>
      <x:c r="V408" t="str">
        <x:v>https://www.tpco.com.cn/system/2017/08/30/014009466.shtml</x:v>
      </x:c>
      <x:c r="W408" t="str">
        <x:v>Verified family, not an individual grade</x:v>
      </x:c>
      <x:c r="X408" t="str">
        <x:v>Family-level entry; official site does not identify discrete product codes in this excerpt</x:v>
      </x:c>
      <x:c r="Y408" t="str">
        <x:v>2026-10-10</x:v>
      </x:c>
    </x:row>
    <x:row r="409" ht="22" customHeight="1">
      <x:c r="A409" t="str">
        <x:v>OCTG-0408</x:v>
      </x:c>
      <x:c r="B409" t="str">
        <x:v>Tianjin Pipe (TPCO)</x:v>
      </x:c>
      <x:c r="C409" t="str">
        <x:v>China</x:v>
      </x:c>
      <x:c r="D409" t="str">
        <x:v>TP-13Cr series</x:v>
      </x:c>
      <x:c r="E409" t="str">
        <x:v>Supplier-named series/family</x:v>
      </x:c>
      <x:c r="F409" t="str">
        <x:v>Manufacturer proprietary OCTG family</x:v>
      </x:c>
      <x:c r="G409" t="str">
        <x:v>Martensitic 13Cr</x:v>
      </x:c>
      <x:c r="H409" t="str">
        <x:v>Wet CO2</x:v>
      </x:c>
      <x:c r="I409" t="str">
        <x:v>Casing and tubing</x:v>
      </x:c>
      <x:c r="J409" t="str">
        <x:v>Not established by grade name</x:v>
      </x:c>
      <x:c r="K409" t="str">
        <x:v>Improved (verify temperature / chloride limits)</x:v>
      </x:c>
      <x:c r="L409" t="str">
        <x:v>API / not stated</x:v>
      </x:c>
      <x:c r="M409"/>
      <x:c r="N409" t="str"/>
      <x:c r="O409" t="str"/>
      <x:c r="P409" t="str"/>
      <x:c r="Q409" t="str">
        <x:v>D · 13Cr stainless</x:v>
      </x:c>
      <x:c r="R409"/>
      <x:c r="S409"/>
      <x:c r="T409" t="str">
        <x:v>RFQ required · no public supplier-specific quote</x:v>
      </x:c>
      <x:c r="U409"/>
      <x:c r="V409" t="str">
        <x:v>https://www.tpco.com.cn/system/2017/08/30/014009466.shtml</x:v>
      </x:c>
      <x:c r="W409" t="str">
        <x:v>Verified family, not an individual grade</x:v>
      </x:c>
      <x:c r="X409" t="str">
        <x:v>Family-level entry; official site does not identify discrete product codes in this excerpt</x:v>
      </x:c>
      <x:c r="Y409" t="str">
        <x:v>2026-10-10</x:v>
      </x:c>
    </x:row>
    <x:row r="410" ht="22" customHeight="1">
      <x:c r="A410" t="str">
        <x:v>OCTG-0409</x:v>
      </x:c>
      <x:c r="B410" t="str">
        <x:v>Tianjin Pipe (TPCO)</x:v>
      </x:c>
      <x:c r="C410" t="str">
        <x:v>China</x:v>
      </x:c>
      <x:c r="D410" t="str">
        <x:v>TP-HP13Cr series</x:v>
      </x:c>
      <x:c r="E410" t="str">
        <x:v>Supplier-named series/family</x:v>
      </x:c>
      <x:c r="F410" t="str">
        <x:v>Manufacturer proprietary OCTG family</x:v>
      </x:c>
      <x:c r="G410" t="str">
        <x:v>Modified / super 13Cr</x:v>
      </x:c>
      <x:c r="H410" t="str">
        <x:v>Higher-temperature CO2</x:v>
      </x:c>
      <x:c r="I410" t="str">
        <x:v>Casing and tubing</x:v>
      </x:c>
      <x:c r="J410" t="str">
        <x:v>Not established by grade name</x:v>
      </x:c>
      <x:c r="K410" t="str">
        <x:v>Improved (verify temperature / chloride limits)</x:v>
      </x:c>
      <x:c r="L410" t="str">
        <x:v>API / not stated</x:v>
      </x:c>
      <x:c r="M410"/>
      <x:c r="N410" t="str"/>
      <x:c r="O410" t="str"/>
      <x:c r="P410" t="str"/>
      <x:c r="Q410" t="str">
        <x:v>E · modified/S13Cr</x:v>
      </x:c>
      <x:c r="R410"/>
      <x:c r="S410"/>
      <x:c r="T410" t="str">
        <x:v>RFQ required · no public supplier-specific quote</x:v>
      </x:c>
      <x:c r="U410"/>
      <x:c r="V410" t="str">
        <x:v>https://www.tpco.com.cn/system/2017/08/30/014009466.shtml</x:v>
      </x:c>
      <x:c r="W410" t="str">
        <x:v>Verified family, not an individual grade</x:v>
      </x:c>
      <x:c r="X410" t="str">
        <x:v>Family-level entry; official site does not identify discrete product codes in this excerpt</x:v>
      </x:c>
      <x:c r="Y410" t="str">
        <x:v>2026-10-10</x:v>
      </x:c>
    </x:row>
    <x:row r="411" ht="22" customHeight="1">
      <x:c r="A411" t="str">
        <x:v>OCTG-0410</x:v>
      </x:c>
      <x:c r="B411" t="str">
        <x:v>Tianjin Pipe (TPCO)</x:v>
      </x:c>
      <x:c r="C411" t="str">
        <x:v>China</x:v>
      </x:c>
      <x:c r="D411" t="str">
        <x:v>TP-SUP13Cr series</x:v>
      </x:c>
      <x:c r="E411" t="str">
        <x:v>Supplier-named series/family</x:v>
      </x:c>
      <x:c r="F411" t="str">
        <x:v>Manufacturer proprietary OCTG family</x:v>
      </x:c>
      <x:c r="G411" t="str">
        <x:v>Modified / super 13Cr</x:v>
      </x:c>
      <x:c r="H411" t="str">
        <x:v>Wet CO2 / trace H2S</x:v>
      </x:c>
      <x:c r="I411" t="str">
        <x:v>Casing and tubing</x:v>
      </x:c>
      <x:c r="J411" t="str">
        <x:v>Not established by grade name</x:v>
      </x:c>
      <x:c r="K411" t="str">
        <x:v>Improved (verify temperature / chloride limits)</x:v>
      </x:c>
      <x:c r="L411" t="str">
        <x:v>API / not stated</x:v>
      </x:c>
      <x:c r="M411"/>
      <x:c r="N411" t="str"/>
      <x:c r="O411" t="str"/>
      <x:c r="P411" t="str"/>
      <x:c r="Q411" t="str">
        <x:v>E · modified/S13Cr</x:v>
      </x:c>
      <x:c r="R411"/>
      <x:c r="S411"/>
      <x:c r="T411" t="str">
        <x:v>RFQ required · no public supplier-specific quote</x:v>
      </x:c>
      <x:c r="U411"/>
      <x:c r="V411" t="str">
        <x:v>https://www.tpco.com.cn/system/2017/08/30/014009466.shtml</x:v>
      </x:c>
      <x:c r="W411" t="str">
        <x:v>Verified family, not an individual grade</x:v>
      </x:c>
      <x:c r="X411" t="str">
        <x:v>Family-level entry; official site does not identify discrete product codes in this excerpt</x:v>
      </x:c>
      <x:c r="Y411" t="str">
        <x:v>2026-10-10</x:v>
      </x:c>
    </x:row>
    <x:row r="412" ht="22" customHeight="1">
      <x:c r="A412" t="str">
        <x:v>OCTG-0411</x:v>
      </x:c>
      <x:c r="B412" t="str">
        <x:v>Tianjin Pipe (TPCO)</x:v>
      </x:c>
      <x:c r="C412" t="str">
        <x:v>China</x:v>
      </x:c>
      <x:c r="D412" t="str">
        <x:v>TP-Alloy 825 series</x:v>
      </x:c>
      <x:c r="E412" t="str">
        <x:v>Supplier-named series/family</x:v>
      </x:c>
      <x:c r="F412" t="str">
        <x:v>Manufacturer proprietary OCTG family</x:v>
      </x:c>
      <x:c r="G412" t="str">
        <x:v>Ni-base CRA</x:v>
      </x:c>
      <x:c r="H412" t="str">
        <x:v>Severe corrosion</x:v>
      </x:c>
      <x:c r="I412" t="str">
        <x:v>Casing and tubing</x:v>
      </x:c>
      <x:c r="J412" t="str">
        <x:v>Not established by grade name</x:v>
      </x:c>
      <x:c r="K412" t="str">
        <x:v>Improved (verify temperature / chloride limits)</x:v>
      </x:c>
      <x:c r="L412" t="str">
        <x:v>API / not stated</x:v>
      </x:c>
      <x:c r="M412"/>
      <x:c r="N412" t="str"/>
      <x:c r="O412" t="str"/>
      <x:c r="P412" t="str"/>
      <x:c r="Q412" t="str">
        <x:v>I · nickel-base CRA</x:v>
      </x:c>
      <x:c r="R412"/>
      <x:c r="S412"/>
      <x:c r="T412" t="str">
        <x:v>RFQ required · no public supplier-specific quote</x:v>
      </x:c>
      <x:c r="U412"/>
      <x:c r="V412" t="str">
        <x:v>https://www.tpco.com.cn/system/2017/08/30/014009466.shtml</x:v>
      </x:c>
      <x:c r="W412" t="str">
        <x:v>Verified family, not an individual grade</x:v>
      </x:c>
      <x:c r="X412" t="str">
        <x:v>Family-level entry; official site does not identify discrete product codes in this excerpt</x:v>
      </x:c>
      <x:c r="Y412" t="str">
        <x:v>2026-10-10</x:v>
      </x:c>
    </x:row>
    <x:row r="413" ht="22" customHeight="1">
      <x:c r="A413" t="str">
        <x:v>OCTG-0412</x:v>
      </x:c>
      <x:c r="B413" t="str">
        <x:v>Tianjin Pipe (TPCO)</x:v>
      </x:c>
      <x:c r="C413" t="str">
        <x:v>China</x:v>
      </x:c>
      <x:c r="D413" t="str">
        <x:v>TP-G3 alloy series</x:v>
      </x:c>
      <x:c r="E413" t="str">
        <x:v>Supplier-named series/family</x:v>
      </x:c>
      <x:c r="F413" t="str">
        <x:v>Manufacturer proprietary OCTG family</x:v>
      </x:c>
      <x:c r="G413" t="str">
        <x:v>Ni-base CRA</x:v>
      </x:c>
      <x:c r="H413" t="str">
        <x:v>Severe corrosion</x:v>
      </x:c>
      <x:c r="I413" t="str">
        <x:v>Casing and tubing</x:v>
      </x:c>
      <x:c r="J413" t="str">
        <x:v>Not established by grade name</x:v>
      </x:c>
      <x:c r="K413" t="str">
        <x:v>Improved (verify temperature / chloride limits)</x:v>
      </x:c>
      <x:c r="L413" t="str">
        <x:v>API / not stated</x:v>
      </x:c>
      <x:c r="M413"/>
      <x:c r="N413" t="str"/>
      <x:c r="O413" t="str"/>
      <x:c r="P413" t="str"/>
      <x:c r="Q413" t="str">
        <x:v>I · nickel-base CRA</x:v>
      </x:c>
      <x:c r="R413"/>
      <x:c r="S413"/>
      <x:c r="T413" t="str">
        <x:v>RFQ required · no public supplier-specific quote</x:v>
      </x:c>
      <x:c r="U413"/>
      <x:c r="V413" t="str">
        <x:v>https://www.tpco.com.cn/system/2017/08/30/014009466.shtml</x:v>
      </x:c>
      <x:c r="W413" t="str">
        <x:v>Verified family, not an individual grade</x:v>
      </x:c>
      <x:c r="X413" t="str">
        <x:v>Family-level entry; official site does not identify discrete product codes in this excerpt</x:v>
      </x:c>
      <x:c r="Y413" t="str">
        <x:v>2026-10-10</x:v>
      </x:c>
    </x:row>
    <x:row r="414" ht="22" customHeight="1">
      <x:c r="A414" t="str">
        <x:v>OCTG-0413</x:v>
      </x:c>
      <x:c r="B414" t="str">
        <x:v>Tianjin Pipe (TPCO)</x:v>
      </x:c>
      <x:c r="C414" t="str">
        <x:v>China</x:v>
      </x:c>
      <x:c r="D414" t="str">
        <x:v>TP-2507 super duplex series</x:v>
      </x:c>
      <x:c r="E414" t="str">
        <x:v>Supplier-named series/family</x:v>
      </x:c>
      <x:c r="F414" t="str">
        <x:v>Manufacturer proprietary OCTG family</x:v>
      </x:c>
      <x:c r="G414" t="str">
        <x:v>Super duplex 25Cr</x:v>
      </x:c>
      <x:c r="H414" t="str">
        <x:v>Highly corrosive CO2 + chloride</x:v>
      </x:c>
      <x:c r="I414" t="str">
        <x:v>Casing and tubing</x:v>
      </x:c>
      <x:c r="J414" t="str">
        <x:v>Not established by grade name</x:v>
      </x:c>
      <x:c r="K414" t="str">
        <x:v>Improved (verify temperature / chloride limits)</x:v>
      </x:c>
      <x:c r="L414" t="str">
        <x:v>API / not stated</x:v>
      </x:c>
      <x:c r="M414"/>
      <x:c r="N414" t="str"/>
      <x:c r="O414" t="str"/>
      <x:c r="P414" t="str"/>
      <x:c r="Q414" t="str">
        <x:v>G · super duplex CRA</x:v>
      </x:c>
      <x:c r="R414"/>
      <x:c r="S414"/>
      <x:c r="T414" t="str">
        <x:v>RFQ required · no public supplier-specific quote</x:v>
      </x:c>
      <x:c r="U414"/>
      <x:c r="V414" t="str">
        <x:v>https://www.tpco.com.cn/system/2017/08/30/014009466.shtml</x:v>
      </x:c>
      <x:c r="W414" t="str">
        <x:v>Verified family, not an individual grade</x:v>
      </x:c>
      <x:c r="X414" t="str">
        <x:v>Family-level entry; official site does not identify discrete product codes in this excerpt</x:v>
      </x:c>
      <x:c r="Y414" t="str">
        <x:v>2026-10-10</x:v>
      </x:c>
    </x:row>
    <x:row r="415" ht="22" customHeight="1">
      <x:c r="A415" t="str">
        <x:v>OCTG-0414</x:v>
      </x:c>
      <x:c r="B415" t="str">
        <x:v>Jindal SAW / Jindal Tubular</x:v>
      </x:c>
      <x:c r="C415" t="str">
        <x:v>India / United States</x:v>
      </x:c>
      <x:c r="D415" t="str">
        <x:v>HCP110</x:v>
      </x:c>
      <x:c r="E415" t="str">
        <x:v>Supplier-listed grade</x:v>
      </x:c>
      <x:c r="F415" t="str">
        <x:v>API 5CT or enhanced (HCP110)</x:v>
      </x:c>
      <x:c r="G415" t="str">
        <x:v>Carbon / low alloy</x:v>
      </x:c>
      <x:c r="H415" t="str">
        <x:v>Conventional OCTG / HCP110 is high collapse</x:v>
      </x:c>
      <x:c r="I415" t="str">
        <x:v>Casing and tubing (verify sizes)</x:v>
      </x:c>
      <x:c r="J415" t="str">
        <x:v>Not established by grade name</x:v>
      </x:c>
      <x:c r="K415" t="str">
        <x:v>Corrosion control may be needed</x:v>
      </x:c>
      <x:c r="L415" t="str">
        <x:v>Enhanced</x:v>
      </x:c>
      <x:c r="M415" t="n">
        <x:v>110</x:v>
      </x:c>
      <x:c r="N415" t="str"/>
      <x:c r="O415" t="str"/>
      <x:c r="P415" t="str"/>
      <x:c r="Q415" t="str">
        <x:v>A · standard carbon</x:v>
      </x:c>
      <x:c r="R415"/>
      <x:c r="S415"/>
      <x:c r="T415" t="str">
        <x:v>RFQ required · no public supplier-specific quote</x:v>
      </x:c>
      <x:c r="U415"/>
      <x:c r="V415" t="str">
        <x:v>https://jindalsaw.com/business-operations/products/pipes-helical-longitudinal-submerged-arc-welding/</x:v>
      </x:c>
      <x:c r="W415" t="str">
        <x:v>Manufacturer-listed</x:v>
      </x:c>
      <x:c r="X415" t="str"/>
      <x:c r="Y415" t="str">
        <x:v>2026-10-10</x:v>
      </x:c>
    </x:row>
    <x:row r="416" ht="22" customHeight="1">
      <x:c r="A416" t="str">
        <x:v>OCTG-0415</x:v>
      </x:c>
      <x:c r="B416" t="str">
        <x:v>Jindal SAW / Jindal Tubular</x:v>
      </x:c>
      <x:c r="C416" t="str">
        <x:v>India / United States</x:v>
      </x:c>
      <x:c r="D416" t="str">
        <x:v>J55</x:v>
      </x:c>
      <x:c r="E416" t="str">
        <x:v>Supplier-listed grade</x:v>
      </x:c>
      <x:c r="F416" t="str">
        <x:v>API 5CT or enhanced (HCP110)</x:v>
      </x:c>
      <x:c r="G416" t="str">
        <x:v>Carbon / low alloy</x:v>
      </x:c>
      <x:c r="H416" t="str">
        <x:v>Conventional OCTG / HCP110 is high collapse</x:v>
      </x:c>
      <x:c r="I416" t="str">
        <x:v>Casing and tubing (verify sizes)</x:v>
      </x:c>
      <x:c r="J416" t="str">
        <x:v>Not established by grade name</x:v>
      </x:c>
      <x:c r="K416" t="str">
        <x:v>Corrosion control may be needed</x:v>
      </x:c>
      <x:c r="L416" t="str">
        <x:v>Enhanced</x:v>
      </x:c>
      <x:c r="M416" t="n">
        <x:v>55</x:v>
      </x:c>
      <x:c r="N416" t="str"/>
      <x:c r="O416" t="str"/>
      <x:c r="P416" t="str"/>
      <x:c r="Q416" t="str">
        <x:v>A · standard carbon</x:v>
      </x:c>
      <x:c r="R416"/>
      <x:c r="S416"/>
      <x:c r="T416" t="str">
        <x:v>RFQ required · no public supplier-specific quote</x:v>
      </x:c>
      <x:c r="U416"/>
      <x:c r="V416" t="str">
        <x:v>https://jindalsaw.com/business-operations/products/pipes-helical-longitudinal-submerged-arc-welding/</x:v>
      </x:c>
      <x:c r="W416" t="str">
        <x:v>Manufacturer-listed</x:v>
      </x:c>
      <x:c r="X416" t="str"/>
      <x:c r="Y416" t="str">
        <x:v>2026-10-10</x:v>
      </x:c>
    </x:row>
    <x:row r="417" ht="22" customHeight="1">
      <x:c r="A417" t="str">
        <x:v>OCTG-0416</x:v>
      </x:c>
      <x:c r="B417" t="str">
        <x:v>Jindal SAW / Jindal Tubular</x:v>
      </x:c>
      <x:c r="C417" t="str">
        <x:v>India / United States</x:v>
      </x:c>
      <x:c r="D417" t="str">
        <x:v>K55</x:v>
      </x:c>
      <x:c r="E417" t="str">
        <x:v>Supplier-listed grade</x:v>
      </x:c>
      <x:c r="F417" t="str">
        <x:v>API 5CT or enhanced (HCP110)</x:v>
      </x:c>
      <x:c r="G417" t="str">
        <x:v>Carbon / low alloy</x:v>
      </x:c>
      <x:c r="H417" t="str">
        <x:v>Conventional OCTG / HCP110 is high collapse</x:v>
      </x:c>
      <x:c r="I417" t="str">
        <x:v>Casing and tubing (verify sizes)</x:v>
      </x:c>
      <x:c r="J417" t="str">
        <x:v>Not established by grade name</x:v>
      </x:c>
      <x:c r="K417" t="str">
        <x:v>Corrosion control may be needed</x:v>
      </x:c>
      <x:c r="L417" t="str">
        <x:v>Enhanced</x:v>
      </x:c>
      <x:c r="M417" t="n">
        <x:v>55</x:v>
      </x:c>
      <x:c r="N417" t="str"/>
      <x:c r="O417" t="str"/>
      <x:c r="P417" t="str"/>
      <x:c r="Q417" t="str">
        <x:v>A · standard carbon</x:v>
      </x:c>
      <x:c r="R417"/>
      <x:c r="S417"/>
      <x:c r="T417" t="str">
        <x:v>RFQ required · no public supplier-specific quote</x:v>
      </x:c>
      <x:c r="U417"/>
      <x:c r="V417" t="str">
        <x:v>https://jindalsaw.com/business-operations/products/pipes-helical-longitudinal-submerged-arc-welding/</x:v>
      </x:c>
      <x:c r="W417" t="str">
        <x:v>Manufacturer-listed</x:v>
      </x:c>
      <x:c r="X417" t="str"/>
      <x:c r="Y417" t="str">
        <x:v>2026-10-10</x:v>
      </x:c>
    </x:row>
    <x:row r="418" ht="22" customHeight="1">
      <x:c r="A418" t="str">
        <x:v>OCTG-0417</x:v>
      </x:c>
      <x:c r="B418" t="str">
        <x:v>Jindal SAW / Jindal Tubular</x:v>
      </x:c>
      <x:c r="C418" t="str">
        <x:v>India / United States</x:v>
      </x:c>
      <x:c r="D418" t="str">
        <x:v>L80</x:v>
      </x:c>
      <x:c r="E418" t="str">
        <x:v>Supplier-listed grade</x:v>
      </x:c>
      <x:c r="F418" t="str">
        <x:v>API 5CT or enhanced (HCP110)</x:v>
      </x:c>
      <x:c r="G418" t="str">
        <x:v>Carbon / low alloy</x:v>
      </x:c>
      <x:c r="H418" t="str">
        <x:v>Conventional OCTG / HCP110 is high collapse</x:v>
      </x:c>
      <x:c r="I418" t="str">
        <x:v>Casing and tubing (verify sizes)</x:v>
      </x:c>
      <x:c r="J418" t="str">
        <x:v>Not established by grade name</x:v>
      </x:c>
      <x:c r="K418" t="str">
        <x:v>Corrosion control may be needed</x:v>
      </x:c>
      <x:c r="L418" t="str">
        <x:v>Enhanced</x:v>
      </x:c>
      <x:c r="M418" t="n">
        <x:v>80</x:v>
      </x:c>
      <x:c r="N418" t="str"/>
      <x:c r="O418" t="str"/>
      <x:c r="P418" t="str"/>
      <x:c r="Q418" t="str">
        <x:v>A · standard carbon</x:v>
      </x:c>
      <x:c r="R418"/>
      <x:c r="S418"/>
      <x:c r="T418" t="str">
        <x:v>RFQ required · no public supplier-specific quote</x:v>
      </x:c>
      <x:c r="U418"/>
      <x:c r="V418" t="str">
        <x:v>https://jindalsaw.com/business-operations/products/pipes-helical-longitudinal-submerged-arc-welding/</x:v>
      </x:c>
      <x:c r="W418" t="str">
        <x:v>Manufacturer-listed</x:v>
      </x:c>
      <x:c r="X418" t="str"/>
      <x:c r="Y418" t="str">
        <x:v>2026-10-10</x:v>
      </x:c>
    </x:row>
    <x:row r="419" ht="22" customHeight="1">
      <x:c r="A419" t="str">
        <x:v>OCTG-0418</x:v>
      </x:c>
      <x:c r="B419" t="str">
        <x:v>Jindal SAW / Jindal Tubular</x:v>
      </x:c>
      <x:c r="C419" t="str">
        <x:v>India / United States</x:v>
      </x:c>
      <x:c r="D419" t="str">
        <x:v>N80</x:v>
      </x:c>
      <x:c r="E419" t="str">
        <x:v>Supplier-listed grade</x:v>
      </x:c>
      <x:c r="F419" t="str">
        <x:v>API 5CT or enhanced (HCP110)</x:v>
      </x:c>
      <x:c r="G419" t="str">
        <x:v>Carbon / low alloy</x:v>
      </x:c>
      <x:c r="H419" t="str">
        <x:v>Conventional OCTG / HCP110 is high collapse</x:v>
      </x:c>
      <x:c r="I419" t="str">
        <x:v>Casing and tubing (verify sizes)</x:v>
      </x:c>
      <x:c r="J419" t="str">
        <x:v>Not established by grade name</x:v>
      </x:c>
      <x:c r="K419" t="str">
        <x:v>Corrosion control may be needed</x:v>
      </x:c>
      <x:c r="L419" t="str">
        <x:v>Enhanced</x:v>
      </x:c>
      <x:c r="M419" t="n">
        <x:v>80</x:v>
      </x:c>
      <x:c r="N419" t="str"/>
      <x:c r="O419" t="str"/>
      <x:c r="P419" t="str"/>
      <x:c r="Q419" t="str">
        <x:v>A · standard carbon</x:v>
      </x:c>
      <x:c r="R419"/>
      <x:c r="S419"/>
      <x:c r="T419" t="str">
        <x:v>RFQ required · no public supplier-specific quote</x:v>
      </x:c>
      <x:c r="U419"/>
      <x:c r="V419" t="str">
        <x:v>https://jindalsaw.com/business-operations/products/pipes-helical-longitudinal-submerged-arc-welding/</x:v>
      </x:c>
      <x:c r="W419" t="str">
        <x:v>Manufacturer-listed</x:v>
      </x:c>
      <x:c r="X419" t="str"/>
      <x:c r="Y419" t="str">
        <x:v>2026-10-10</x:v>
      </x:c>
    </x:row>
    <x:row r="420" ht="22" customHeight="1">
      <x:c r="A420" t="str">
        <x:v>OCTG-0419</x:v>
      </x:c>
      <x:c r="B420" t="str">
        <x:v>Jindal SAW / Jindal Tubular</x:v>
      </x:c>
      <x:c r="C420" t="str">
        <x:v>India / United States</x:v>
      </x:c>
      <x:c r="D420" t="str">
        <x:v>P110</x:v>
      </x:c>
      <x:c r="E420" t="str">
        <x:v>Supplier-listed grade</x:v>
      </x:c>
      <x:c r="F420" t="str">
        <x:v>API 5CT or enhanced (HCP110)</x:v>
      </x:c>
      <x:c r="G420" t="str">
        <x:v>Carbon / low alloy</x:v>
      </x:c>
      <x:c r="H420" t="str">
        <x:v>Conventional OCTG / HCP110 is high collapse</x:v>
      </x:c>
      <x:c r="I420" t="str">
        <x:v>Casing and tubing (verify sizes)</x:v>
      </x:c>
      <x:c r="J420" t="str">
        <x:v>Not established by grade name</x:v>
      </x:c>
      <x:c r="K420" t="str">
        <x:v>Corrosion control may be needed</x:v>
      </x:c>
      <x:c r="L420" t="str">
        <x:v>Enhanced</x:v>
      </x:c>
      <x:c r="M420" t="n">
        <x:v>110</x:v>
      </x:c>
      <x:c r="N420" t="str"/>
      <x:c r="O420" t="str"/>
      <x:c r="P420" t="str"/>
      <x:c r="Q420" t="str">
        <x:v>A · standard carbon</x:v>
      </x:c>
      <x:c r="R420"/>
      <x:c r="S420"/>
      <x:c r="T420" t="str">
        <x:v>RFQ required · no public supplier-specific quote</x:v>
      </x:c>
      <x:c r="U420"/>
      <x:c r="V420" t="str">
        <x:v>https://jindalsaw.com/business-operations/products/pipes-helical-longitudinal-submerged-arc-welding/</x:v>
      </x:c>
      <x:c r="W420" t="str">
        <x:v>Manufacturer-listed</x:v>
      </x:c>
      <x:c r="X420" t="str"/>
      <x:c r="Y420" t="str">
        <x:v>2026-10-10</x:v>
      </x:c>
    </x:row>
    <x:row r="421" ht="22" customHeight="1">
      <x:c r="A421" t="str">
        <x:v>OCTG-0420</x:v>
      </x:c>
      <x:c r="B421" t="str">
        <x:v>Jindal Pipes</x:v>
      </x:c>
      <x:c r="C421" t="str">
        <x:v>India</x:v>
      </x:c>
      <x:c r="D421" t="str">
        <x:v>J55</x:v>
      </x:c>
      <x:c r="E421" t="str">
        <x:v>Supplier-listed API grade</x:v>
      </x:c>
      <x:c r="F421" t="str">
        <x:v>API 5CT</x:v>
      </x:c>
      <x:c r="G421" t="str">
        <x:v>Carbon / low alloy</x:v>
      </x:c>
      <x:c r="H421" t="str">
        <x:v>API 5CT ERW casing and tubing</x:v>
      </x:c>
      <x:c r="I421" t="str">
        <x:v>Casing and tubing (verify sizes)</x:v>
      </x:c>
      <x:c r="J421" t="str">
        <x:v>Not established by grade name</x:v>
      </x:c>
      <x:c r="K421" t="str">
        <x:v>Corrosion control may be needed</x:v>
      </x:c>
      <x:c r="L421" t="str">
        <x:v>API / not stated</x:v>
      </x:c>
      <x:c r="M421" t="n">
        <x:v>55</x:v>
      </x:c>
      <x:c r="N421" t="str"/>
      <x:c r="O421" t="str"/>
      <x:c r="P421" t="str"/>
      <x:c r="Q421" t="str">
        <x:v>A · standard carbon</x:v>
      </x:c>
      <x:c r="R421"/>
      <x:c r="S421"/>
      <x:c r="T421" t="str">
        <x:v>RFQ required · no public supplier-specific quote</x:v>
      </x:c>
      <x:c r="U421"/>
      <x:c r="V421" t="str">
        <x:v>https://www.jindal.com/jpl/casing-tubing-pipe.html</x:v>
      </x:c>
      <x:c r="W421" t="str">
        <x:v>Manufacturer-listed</x:v>
      </x:c>
      <x:c r="X421" t="str"/>
      <x:c r="Y421" t="str">
        <x:v>2026-10-10</x:v>
      </x:c>
    </x:row>
    <x:row r="422" ht="22" customHeight="1">
      <x:c r="A422" t="str">
        <x:v>OCTG-0421</x:v>
      </x:c>
      <x:c r="B422" t="str">
        <x:v>Jindal Pipes</x:v>
      </x:c>
      <x:c r="C422" t="str">
        <x:v>India</x:v>
      </x:c>
      <x:c r="D422" t="str">
        <x:v>K55</x:v>
      </x:c>
      <x:c r="E422" t="str">
        <x:v>Supplier-listed API grade</x:v>
      </x:c>
      <x:c r="F422" t="str">
        <x:v>API 5CT</x:v>
      </x:c>
      <x:c r="G422" t="str">
        <x:v>Carbon / low alloy</x:v>
      </x:c>
      <x:c r="H422" t="str">
        <x:v>API 5CT ERW casing and tubing</x:v>
      </x:c>
      <x:c r="I422" t="str">
        <x:v>Casing and tubing (verify sizes)</x:v>
      </x:c>
      <x:c r="J422" t="str">
        <x:v>Not established by grade name</x:v>
      </x:c>
      <x:c r="K422" t="str">
        <x:v>Corrosion control may be needed</x:v>
      </x:c>
      <x:c r="L422" t="str">
        <x:v>API / not stated</x:v>
      </x:c>
      <x:c r="M422" t="n">
        <x:v>55</x:v>
      </x:c>
      <x:c r="N422" t="str"/>
      <x:c r="O422" t="str"/>
      <x:c r="P422" t="str"/>
      <x:c r="Q422" t="str">
        <x:v>A · standard carbon</x:v>
      </x:c>
      <x:c r="R422"/>
      <x:c r="S422"/>
      <x:c r="T422" t="str">
        <x:v>RFQ required · no public supplier-specific quote</x:v>
      </x:c>
      <x:c r="U422"/>
      <x:c r="V422" t="str">
        <x:v>https://www.jindal.com/jpl/casing-tubing-pipe.html</x:v>
      </x:c>
      <x:c r="W422" t="str">
        <x:v>Manufacturer-listed</x:v>
      </x:c>
      <x:c r="X422" t="str"/>
      <x:c r="Y422" t="str">
        <x:v>2026-10-10</x:v>
      </x:c>
    </x:row>
    <x:row r="423" ht="22" customHeight="1">
      <x:c r="A423" t="str">
        <x:v>OCTG-0422</x:v>
      </x:c>
      <x:c r="B423" t="str">
        <x:v>Jindal Pipes</x:v>
      </x:c>
      <x:c r="C423" t="str">
        <x:v>India</x:v>
      </x:c>
      <x:c r="D423" t="str">
        <x:v>N80 Type 1</x:v>
      </x:c>
      <x:c r="E423" t="str">
        <x:v>Supplier-listed API grade</x:v>
      </x:c>
      <x:c r="F423" t="str">
        <x:v>API 5CT</x:v>
      </x:c>
      <x:c r="G423" t="str">
        <x:v>Carbon / low alloy</x:v>
      </x:c>
      <x:c r="H423" t="str">
        <x:v>API 5CT ERW casing and tubing</x:v>
      </x:c>
      <x:c r="I423" t="str">
        <x:v>Casing and tubing (verify sizes)</x:v>
      </x:c>
      <x:c r="J423" t="str">
        <x:v>Not established by grade name</x:v>
      </x:c>
      <x:c r="K423" t="str">
        <x:v>Corrosion control may be needed</x:v>
      </x:c>
      <x:c r="L423" t="str">
        <x:v>API / not stated</x:v>
      </x:c>
      <x:c r="M423" t="n">
        <x:v>80</x:v>
      </x:c>
      <x:c r="N423" t="str"/>
      <x:c r="O423" t="str"/>
      <x:c r="P423" t="str"/>
      <x:c r="Q423" t="str">
        <x:v>A · standard carbon</x:v>
      </x:c>
      <x:c r="R423"/>
      <x:c r="S423"/>
      <x:c r="T423" t="str">
        <x:v>RFQ required · no public supplier-specific quote</x:v>
      </x:c>
      <x:c r="U423"/>
      <x:c r="V423" t="str">
        <x:v>https://www.jindal.com/jpl/casing-tubing-pipe.html</x:v>
      </x:c>
      <x:c r="W423" t="str">
        <x:v>Manufacturer-listed</x:v>
      </x:c>
      <x:c r="X423" t="str"/>
      <x:c r="Y423" t="str">
        <x:v>2026-10-10</x:v>
      </x:c>
    </x:row>
    <x:row r="424" ht="22" customHeight="1">
      <x:c r="A424" t="str">
        <x:v>OCTG-0423</x:v>
      </x:c>
      <x:c r="B424" t="str">
        <x:v>Jindal Pipes</x:v>
      </x:c>
      <x:c r="C424" t="str">
        <x:v>India</x:v>
      </x:c>
      <x:c r="D424" t="str">
        <x:v>N80 Type Q</x:v>
      </x:c>
      <x:c r="E424" t="str">
        <x:v>Supplier-listed API grade</x:v>
      </x:c>
      <x:c r="F424" t="str">
        <x:v>API 5CT</x:v>
      </x:c>
      <x:c r="G424" t="str">
        <x:v>Carbon / low alloy</x:v>
      </x:c>
      <x:c r="H424" t="str">
        <x:v>API 5CT ERW casing and tubing</x:v>
      </x:c>
      <x:c r="I424" t="str">
        <x:v>Casing and tubing (verify sizes)</x:v>
      </x:c>
      <x:c r="J424" t="str">
        <x:v>Not established by grade name</x:v>
      </x:c>
      <x:c r="K424" t="str">
        <x:v>Corrosion control may be needed</x:v>
      </x:c>
      <x:c r="L424" t="str">
        <x:v>API / not stated</x:v>
      </x:c>
      <x:c r="M424" t="n">
        <x:v>80</x:v>
      </x:c>
      <x:c r="N424" t="str"/>
      <x:c r="O424" t="str"/>
      <x:c r="P424" t="str"/>
      <x:c r="Q424" t="str">
        <x:v>A · standard carbon</x:v>
      </x:c>
      <x:c r="R424"/>
      <x:c r="S424"/>
      <x:c r="T424" t="str">
        <x:v>RFQ required · no public supplier-specific quote</x:v>
      </x:c>
      <x:c r="U424"/>
      <x:c r="V424" t="str">
        <x:v>https://www.jindal.com/jpl/casing-tubing-pipe.html</x:v>
      </x:c>
      <x:c r="W424" t="str">
        <x:v>Manufacturer-listed</x:v>
      </x:c>
      <x:c r="X424" t="str"/>
      <x:c r="Y424" t="str">
        <x:v>2026-10-10</x:v>
      </x:c>
    </x:row>
    <x:row r="425" ht="22" customHeight="1">
      <x:c r="A425" t="str">
        <x:v>OCTG-0424</x:v>
      </x:c>
      <x:c r="B425" t="str">
        <x:v>Interpipe</x:v>
      </x:c>
      <x:c r="C425" t="str">
        <x:v>Ukraine</x:v>
      </x:c>
      <x:c r="D425" t="str">
        <x:v>C110</x:v>
      </x:c>
      <x:c r="E425" t="str">
        <x:v>Supplier-listed API grade</x:v>
      </x:c>
      <x:c r="F425" t="str">
        <x:v>API 5CT (13Cr/9Cr explicitly excluded)</x:v>
      </x:c>
      <x:c r="G425" t="str">
        <x:v>Carbon / low alloy</x:v>
      </x:c>
      <x:c r="H425" t="str">
        <x:v>Supplier-listed API OCTG seamless / welded</x:v>
      </x:c>
      <x:c r="I425" t="str">
        <x:v>Casing and tubing (verify sizes)</x:v>
      </x:c>
      <x:c r="J425" t="str">
        <x:v>Not established by grade name</x:v>
      </x:c>
      <x:c r="K425" t="str">
        <x:v>Corrosion control may be needed</x:v>
      </x:c>
      <x:c r="L425" t="str">
        <x:v>API / not stated</x:v>
      </x:c>
      <x:c r="M425" t="n">
        <x:v>110</x:v>
      </x:c>
      <x:c r="N425" t="str"/>
      <x:c r="O425" t="str"/>
      <x:c r="P425" t="str"/>
      <x:c r="Q425" t="str">
        <x:v>A · standard carbon</x:v>
      </x:c>
      <x:c r="R425"/>
      <x:c r="S425"/>
      <x:c r="T425" t="str">
        <x:v>RFQ required · no public supplier-specific quote</x:v>
      </x:c>
      <x:c r="U425"/>
      <x:c r="V425" t="str">
        <x:v>https://interpipe.biz/en/esg/environment/green_supplies/</x:v>
      </x:c>
      <x:c r="W425" t="str">
        <x:v>Manufacturer-listed</x:v>
      </x:c>
      <x:c r="X425" t="str"/>
      <x:c r="Y425" t="str">
        <x:v>2026-10-10</x:v>
      </x:c>
    </x:row>
    <x:row r="426" ht="22" customHeight="1">
      <x:c r="A426" t="str">
        <x:v>OCTG-0425</x:v>
      </x:c>
      <x:c r="B426" t="str">
        <x:v>Interpipe</x:v>
      </x:c>
      <x:c r="C426" t="str">
        <x:v>Ukraine</x:v>
      </x:c>
      <x:c r="D426" t="str">
        <x:v>C90</x:v>
      </x:c>
      <x:c r="E426" t="str">
        <x:v>Supplier-listed API grade</x:v>
      </x:c>
      <x:c r="F426" t="str">
        <x:v>API 5CT (13Cr/9Cr explicitly excluded)</x:v>
      </x:c>
      <x:c r="G426" t="str">
        <x:v>Carbon / low alloy</x:v>
      </x:c>
      <x:c r="H426" t="str">
        <x:v>Supplier-listed API OCTG seamless / welded</x:v>
      </x:c>
      <x:c r="I426" t="str">
        <x:v>Casing and tubing (verify sizes)</x:v>
      </x:c>
      <x:c r="J426" t="str">
        <x:v>Not established by grade name</x:v>
      </x:c>
      <x:c r="K426" t="str">
        <x:v>Corrosion control may be needed</x:v>
      </x:c>
      <x:c r="L426" t="str">
        <x:v>API / not stated</x:v>
      </x:c>
      <x:c r="M426" t="n">
        <x:v>90</x:v>
      </x:c>
      <x:c r="N426" t="str"/>
      <x:c r="O426" t="str"/>
      <x:c r="P426" t="str"/>
      <x:c r="Q426" t="str">
        <x:v>A · standard carbon</x:v>
      </x:c>
      <x:c r="R426"/>
      <x:c r="S426"/>
      <x:c r="T426" t="str">
        <x:v>RFQ required · no public supplier-specific quote</x:v>
      </x:c>
      <x:c r="U426"/>
      <x:c r="V426" t="str">
        <x:v>https://interpipe.biz/en/esg/environment/green_supplies/</x:v>
      </x:c>
      <x:c r="W426" t="str">
        <x:v>Manufacturer-listed</x:v>
      </x:c>
      <x:c r="X426" t="str"/>
      <x:c r="Y426" t="str">
        <x:v>2026-10-10</x:v>
      </x:c>
    </x:row>
    <x:row r="427" ht="22" customHeight="1">
      <x:c r="A427" t="str">
        <x:v>OCTG-0426</x:v>
      </x:c>
      <x:c r="B427" t="str">
        <x:v>Interpipe</x:v>
      </x:c>
      <x:c r="C427" t="str">
        <x:v>Ukraine</x:v>
      </x:c>
      <x:c r="D427" t="str">
        <x:v>H40</x:v>
      </x:c>
      <x:c r="E427" t="str">
        <x:v>Supplier-listed API grade</x:v>
      </x:c>
      <x:c r="F427" t="str">
        <x:v>API 5CT (13Cr/9Cr explicitly excluded)</x:v>
      </x:c>
      <x:c r="G427" t="str">
        <x:v>Carbon / low alloy</x:v>
      </x:c>
      <x:c r="H427" t="str">
        <x:v>Supplier-listed API OCTG seamless / welded</x:v>
      </x:c>
      <x:c r="I427" t="str">
        <x:v>Casing and tubing (verify sizes)</x:v>
      </x:c>
      <x:c r="J427" t="str">
        <x:v>Not established by grade name</x:v>
      </x:c>
      <x:c r="K427" t="str">
        <x:v>Corrosion control may be needed</x:v>
      </x:c>
      <x:c r="L427" t="str">
        <x:v>API / not stated</x:v>
      </x:c>
      <x:c r="M427" t="n">
        <x:v>40</x:v>
      </x:c>
      <x:c r="N427" t="str"/>
      <x:c r="O427" t="str"/>
      <x:c r="P427" t="str"/>
      <x:c r="Q427" t="str">
        <x:v>A · standard carbon</x:v>
      </x:c>
      <x:c r="R427"/>
      <x:c r="S427"/>
      <x:c r="T427" t="str">
        <x:v>RFQ required · no public supplier-specific quote</x:v>
      </x:c>
      <x:c r="U427"/>
      <x:c r="V427" t="str">
        <x:v>https://interpipe.biz/en/esg/environment/green_supplies/</x:v>
      </x:c>
      <x:c r="W427" t="str">
        <x:v>Manufacturer-listed</x:v>
      </x:c>
      <x:c r="X427" t="str"/>
      <x:c r="Y427" t="str">
        <x:v>2026-10-10</x:v>
      </x:c>
    </x:row>
    <x:row r="428" ht="22" customHeight="1">
      <x:c r="A428" t="str">
        <x:v>OCTG-0427</x:v>
      </x:c>
      <x:c r="B428" t="str">
        <x:v>Interpipe</x:v>
      </x:c>
      <x:c r="C428" t="str">
        <x:v>Ukraine</x:v>
      </x:c>
      <x:c r="D428" t="str">
        <x:v>J55</x:v>
      </x:c>
      <x:c r="E428" t="str">
        <x:v>Supplier-listed API grade</x:v>
      </x:c>
      <x:c r="F428" t="str">
        <x:v>API 5CT (13Cr/9Cr explicitly excluded)</x:v>
      </x:c>
      <x:c r="G428" t="str">
        <x:v>Carbon / low alloy</x:v>
      </x:c>
      <x:c r="H428" t="str">
        <x:v>Supplier-listed API OCTG seamless / welded</x:v>
      </x:c>
      <x:c r="I428" t="str">
        <x:v>Casing and tubing (verify sizes)</x:v>
      </x:c>
      <x:c r="J428" t="str">
        <x:v>Not established by grade name</x:v>
      </x:c>
      <x:c r="K428" t="str">
        <x:v>Corrosion control may be needed</x:v>
      </x:c>
      <x:c r="L428" t="str">
        <x:v>API / not stated</x:v>
      </x:c>
      <x:c r="M428" t="n">
        <x:v>55</x:v>
      </x:c>
      <x:c r="N428" t="str"/>
      <x:c r="O428" t="str"/>
      <x:c r="P428" t="str"/>
      <x:c r="Q428" t="str">
        <x:v>A · standard carbon</x:v>
      </x:c>
      <x:c r="R428"/>
      <x:c r="S428"/>
      <x:c r="T428" t="str">
        <x:v>RFQ required · no public supplier-specific quote</x:v>
      </x:c>
      <x:c r="U428"/>
      <x:c r="V428" t="str">
        <x:v>https://interpipe.biz/en/esg/environment/green_supplies/</x:v>
      </x:c>
      <x:c r="W428" t="str">
        <x:v>Manufacturer-listed</x:v>
      </x:c>
      <x:c r="X428" t="str"/>
      <x:c r="Y428" t="str">
        <x:v>2026-10-10</x:v>
      </x:c>
    </x:row>
    <x:row r="429" ht="22" customHeight="1">
      <x:c r="A429" t="str">
        <x:v>OCTG-0428</x:v>
      </x:c>
      <x:c r="B429" t="str">
        <x:v>Interpipe</x:v>
      </x:c>
      <x:c r="C429" t="str">
        <x:v>Ukraine</x:v>
      </x:c>
      <x:c r="D429" t="str">
        <x:v>K55</x:v>
      </x:c>
      <x:c r="E429" t="str">
        <x:v>Supplier-listed API grade</x:v>
      </x:c>
      <x:c r="F429" t="str">
        <x:v>API 5CT (13Cr/9Cr explicitly excluded)</x:v>
      </x:c>
      <x:c r="G429" t="str">
        <x:v>Carbon / low alloy</x:v>
      </x:c>
      <x:c r="H429" t="str">
        <x:v>Supplier-listed API OCTG seamless / welded</x:v>
      </x:c>
      <x:c r="I429" t="str">
        <x:v>Casing and tubing (verify sizes)</x:v>
      </x:c>
      <x:c r="J429" t="str">
        <x:v>Not established by grade name</x:v>
      </x:c>
      <x:c r="K429" t="str">
        <x:v>Corrosion control may be needed</x:v>
      </x:c>
      <x:c r="L429" t="str">
        <x:v>API / not stated</x:v>
      </x:c>
      <x:c r="M429" t="n">
        <x:v>55</x:v>
      </x:c>
      <x:c r="N429" t="str"/>
      <x:c r="O429" t="str"/>
      <x:c r="P429" t="str"/>
      <x:c r="Q429" t="str">
        <x:v>A · standard carbon</x:v>
      </x:c>
      <x:c r="R429"/>
      <x:c r="S429"/>
      <x:c r="T429" t="str">
        <x:v>RFQ required · no public supplier-specific quote</x:v>
      </x:c>
      <x:c r="U429"/>
      <x:c r="V429" t="str">
        <x:v>https://interpipe.biz/en/esg/environment/green_supplies/</x:v>
      </x:c>
      <x:c r="W429" t="str">
        <x:v>Manufacturer-listed</x:v>
      </x:c>
      <x:c r="X429" t="str"/>
      <x:c r="Y429" t="str">
        <x:v>2026-10-10</x:v>
      </x:c>
    </x:row>
    <x:row r="430" ht="22" customHeight="1">
      <x:c r="A430" t="str">
        <x:v>OCTG-0429</x:v>
      </x:c>
      <x:c r="B430" t="str">
        <x:v>Interpipe</x:v>
      </x:c>
      <x:c r="C430" t="str">
        <x:v>Ukraine</x:v>
      </x:c>
      <x:c r="D430" t="str">
        <x:v>L80</x:v>
      </x:c>
      <x:c r="E430" t="str">
        <x:v>Supplier-listed API grade</x:v>
      </x:c>
      <x:c r="F430" t="str">
        <x:v>API 5CT (13Cr/9Cr explicitly excluded)</x:v>
      </x:c>
      <x:c r="G430" t="str">
        <x:v>Carbon / low alloy</x:v>
      </x:c>
      <x:c r="H430" t="str">
        <x:v>Supplier-listed API OCTG seamless / welded</x:v>
      </x:c>
      <x:c r="I430" t="str">
        <x:v>Casing and tubing (verify sizes)</x:v>
      </x:c>
      <x:c r="J430" t="str">
        <x:v>Not established by grade name</x:v>
      </x:c>
      <x:c r="K430" t="str">
        <x:v>Corrosion control may be needed</x:v>
      </x:c>
      <x:c r="L430" t="str">
        <x:v>API / not stated</x:v>
      </x:c>
      <x:c r="M430" t="n">
        <x:v>80</x:v>
      </x:c>
      <x:c r="N430" t="str"/>
      <x:c r="O430" t="str"/>
      <x:c r="P430" t="str"/>
      <x:c r="Q430" t="str">
        <x:v>A · standard carbon</x:v>
      </x:c>
      <x:c r="R430"/>
      <x:c r="S430"/>
      <x:c r="T430" t="str">
        <x:v>RFQ required · no public supplier-specific quote</x:v>
      </x:c>
      <x:c r="U430"/>
      <x:c r="V430" t="str">
        <x:v>https://interpipe.biz/en/esg/environment/green_supplies/</x:v>
      </x:c>
      <x:c r="W430" t="str">
        <x:v>Manufacturer-listed</x:v>
      </x:c>
      <x:c r="X430" t="str"/>
      <x:c r="Y430" t="str">
        <x:v>2026-10-10</x:v>
      </x:c>
    </x:row>
    <x:row r="431" ht="22" customHeight="1">
      <x:c r="A431" t="str">
        <x:v>OCTG-0430</x:v>
      </x:c>
      <x:c r="B431" t="str">
        <x:v>Interpipe</x:v>
      </x:c>
      <x:c r="C431" t="str">
        <x:v>Ukraine</x:v>
      </x:c>
      <x:c r="D431" t="str">
        <x:v>N80</x:v>
      </x:c>
      <x:c r="E431" t="str">
        <x:v>Supplier-listed API grade</x:v>
      </x:c>
      <x:c r="F431" t="str">
        <x:v>API 5CT (13Cr/9Cr explicitly excluded)</x:v>
      </x:c>
      <x:c r="G431" t="str">
        <x:v>Carbon / low alloy</x:v>
      </x:c>
      <x:c r="H431" t="str">
        <x:v>Supplier-listed API OCTG seamless / welded</x:v>
      </x:c>
      <x:c r="I431" t="str">
        <x:v>Casing and tubing (verify sizes)</x:v>
      </x:c>
      <x:c r="J431" t="str">
        <x:v>Not established by grade name</x:v>
      </x:c>
      <x:c r="K431" t="str">
        <x:v>Corrosion control may be needed</x:v>
      </x:c>
      <x:c r="L431" t="str">
        <x:v>API / not stated</x:v>
      </x:c>
      <x:c r="M431" t="n">
        <x:v>80</x:v>
      </x:c>
      <x:c r="N431" t="str"/>
      <x:c r="O431" t="str"/>
      <x:c r="P431" t="str"/>
      <x:c r="Q431" t="str">
        <x:v>A · standard carbon</x:v>
      </x:c>
      <x:c r="R431"/>
      <x:c r="S431"/>
      <x:c r="T431" t="str">
        <x:v>RFQ required · no public supplier-specific quote</x:v>
      </x:c>
      <x:c r="U431"/>
      <x:c r="V431" t="str">
        <x:v>https://interpipe.biz/en/esg/environment/green_supplies/</x:v>
      </x:c>
      <x:c r="W431" t="str">
        <x:v>Manufacturer-listed</x:v>
      </x:c>
      <x:c r="X431" t="str"/>
      <x:c r="Y431" t="str">
        <x:v>2026-10-10</x:v>
      </x:c>
    </x:row>
    <x:row r="432" ht="22" customHeight="1">
      <x:c r="A432" t="str">
        <x:v>OCTG-0431</x:v>
      </x:c>
      <x:c r="B432" t="str">
        <x:v>Interpipe</x:v>
      </x:c>
      <x:c r="C432" t="str">
        <x:v>Ukraine</x:v>
      </x:c>
      <x:c r="D432" t="str">
        <x:v>P110</x:v>
      </x:c>
      <x:c r="E432" t="str">
        <x:v>Supplier-listed API grade</x:v>
      </x:c>
      <x:c r="F432" t="str">
        <x:v>API 5CT (13Cr/9Cr explicitly excluded)</x:v>
      </x:c>
      <x:c r="G432" t="str">
        <x:v>Carbon / low alloy</x:v>
      </x:c>
      <x:c r="H432" t="str">
        <x:v>Supplier-listed API OCTG seamless / welded</x:v>
      </x:c>
      <x:c r="I432" t="str">
        <x:v>Casing and tubing (verify sizes)</x:v>
      </x:c>
      <x:c r="J432" t="str">
        <x:v>Not established by grade name</x:v>
      </x:c>
      <x:c r="K432" t="str">
        <x:v>Corrosion control may be needed</x:v>
      </x:c>
      <x:c r="L432" t="str">
        <x:v>API / not stated</x:v>
      </x:c>
      <x:c r="M432" t="n">
        <x:v>110</x:v>
      </x:c>
      <x:c r="N432" t="str"/>
      <x:c r="O432" t="str"/>
      <x:c r="P432" t="str"/>
      <x:c r="Q432" t="str">
        <x:v>A · standard carbon</x:v>
      </x:c>
      <x:c r="R432"/>
      <x:c r="S432"/>
      <x:c r="T432" t="str">
        <x:v>RFQ required · no public supplier-specific quote</x:v>
      </x:c>
      <x:c r="U432"/>
      <x:c r="V432" t="str">
        <x:v>https://interpipe.biz/en/esg/environment/green_supplies/</x:v>
      </x:c>
      <x:c r="W432" t="str">
        <x:v>Manufacturer-listed</x:v>
      </x:c>
      <x:c r="X432" t="str"/>
      <x:c r="Y432" t="str">
        <x:v>2026-10-10</x:v>
      </x:c>
    </x:row>
    <x:row r="433" ht="22" customHeight="1">
      <x:c r="A433" t="str">
        <x:v>OCTG-0432</x:v>
      </x:c>
      <x:c r="B433" t="str">
        <x:v>Interpipe</x:v>
      </x:c>
      <x:c r="C433" t="str">
        <x:v>Ukraine</x:v>
      </x:c>
      <x:c r="D433" t="str">
        <x:v>Q125</x:v>
      </x:c>
      <x:c r="E433" t="str">
        <x:v>Supplier-listed API grade</x:v>
      </x:c>
      <x:c r="F433" t="str">
        <x:v>API 5CT (13Cr/9Cr explicitly excluded)</x:v>
      </x:c>
      <x:c r="G433" t="str">
        <x:v>Carbon / low alloy</x:v>
      </x:c>
      <x:c r="H433" t="str">
        <x:v>Supplier-listed API OCTG seamless / welded</x:v>
      </x:c>
      <x:c r="I433" t="str">
        <x:v>Casing and tubing (verify sizes)</x:v>
      </x:c>
      <x:c r="J433" t="str">
        <x:v>Not established by grade name</x:v>
      </x:c>
      <x:c r="K433" t="str">
        <x:v>Corrosion control may be needed</x:v>
      </x:c>
      <x:c r="L433" t="str">
        <x:v>API / not stated</x:v>
      </x:c>
      <x:c r="M433" t="n">
        <x:v>125</x:v>
      </x:c>
      <x:c r="N433" t="str"/>
      <x:c r="O433" t="str"/>
      <x:c r="P433" t="str"/>
      <x:c r="Q433" t="str">
        <x:v>A · standard carbon</x:v>
      </x:c>
      <x:c r="R433"/>
      <x:c r="S433"/>
      <x:c r="T433" t="str">
        <x:v>RFQ required · no public supplier-specific quote</x:v>
      </x:c>
      <x:c r="U433"/>
      <x:c r="V433" t="str">
        <x:v>https://interpipe.biz/en/esg/environment/green_supplies/</x:v>
      </x:c>
      <x:c r="W433" t="str">
        <x:v>Manufacturer-listed</x:v>
      </x:c>
      <x:c r="X433" t="str"/>
      <x:c r="Y433" t="str">
        <x:v>2026-10-10</x:v>
      </x:c>
    </x:row>
    <x:row r="434" ht="22" customHeight="1">
      <x:c r="A434" t="str">
        <x:v>OCTG-0433</x:v>
      </x:c>
      <x:c r="B434" t="str">
        <x:v>Interpipe</x:v>
      </x:c>
      <x:c r="C434" t="str">
        <x:v>Ukraine</x:v>
      </x:c>
      <x:c r="D434" t="str">
        <x:v>R95</x:v>
      </x:c>
      <x:c r="E434" t="str">
        <x:v>Supplier-listed API grade</x:v>
      </x:c>
      <x:c r="F434" t="str">
        <x:v>API 5CT (13Cr/9Cr explicitly excluded)</x:v>
      </x:c>
      <x:c r="G434" t="str">
        <x:v>Carbon / low alloy</x:v>
      </x:c>
      <x:c r="H434" t="str">
        <x:v>Supplier-listed API OCTG seamless / welded</x:v>
      </x:c>
      <x:c r="I434" t="str">
        <x:v>Casing and tubing (verify sizes)</x:v>
      </x:c>
      <x:c r="J434" t="str">
        <x:v>Not established by grade name</x:v>
      </x:c>
      <x:c r="K434" t="str">
        <x:v>Corrosion control may be needed</x:v>
      </x:c>
      <x:c r="L434" t="str">
        <x:v>API / not stated</x:v>
      </x:c>
      <x:c r="M434" t="n">
        <x:v>95</x:v>
      </x:c>
      <x:c r="N434" t="str"/>
      <x:c r="O434" t="str"/>
      <x:c r="P434" t="str"/>
      <x:c r="Q434" t="str">
        <x:v>A · standard carbon</x:v>
      </x:c>
      <x:c r="R434"/>
      <x:c r="S434"/>
      <x:c r="T434" t="str">
        <x:v>RFQ required · no public supplier-specific quote</x:v>
      </x:c>
      <x:c r="U434"/>
      <x:c r="V434" t="str">
        <x:v>https://interpipe.biz/en/esg/environment/green_supplies/</x:v>
      </x:c>
      <x:c r="W434" t="str">
        <x:v>Manufacturer-listed</x:v>
      </x:c>
      <x:c r="X434" t="str"/>
      <x:c r="Y434" t="str">
        <x:v>2026-10-10</x:v>
      </x:c>
    </x:row>
    <x:row r="435" ht="22" customHeight="1">
      <x:c r="A435" t="str">
        <x:v>OCTG-0434</x:v>
      </x:c>
      <x:c r="B435" t="str">
        <x:v>Interpipe</x:v>
      </x:c>
      <x:c r="C435" t="str">
        <x:v>Ukraine</x:v>
      </x:c>
      <x:c r="D435" t="str">
        <x:v>T95</x:v>
      </x:c>
      <x:c r="E435" t="str">
        <x:v>Supplier-listed API grade</x:v>
      </x:c>
      <x:c r="F435" t="str">
        <x:v>API 5CT (13Cr/9Cr explicitly excluded)</x:v>
      </x:c>
      <x:c r="G435" t="str">
        <x:v>Carbon / low alloy</x:v>
      </x:c>
      <x:c r="H435" t="str">
        <x:v>Supplier-listed API OCTG seamless / welded</x:v>
      </x:c>
      <x:c r="I435" t="str">
        <x:v>Casing and tubing (verify sizes)</x:v>
      </x:c>
      <x:c r="J435" t="str">
        <x:v>Not established by grade name</x:v>
      </x:c>
      <x:c r="K435" t="str">
        <x:v>Corrosion control may be needed</x:v>
      </x:c>
      <x:c r="L435" t="str">
        <x:v>API / not stated</x:v>
      </x:c>
      <x:c r="M435" t="n">
        <x:v>95</x:v>
      </x:c>
      <x:c r="N435" t="str"/>
      <x:c r="O435" t="str"/>
      <x:c r="P435" t="str"/>
      <x:c r="Q435" t="str">
        <x:v>A · standard carbon</x:v>
      </x:c>
      <x:c r="R435"/>
      <x:c r="S435"/>
      <x:c r="T435" t="str">
        <x:v>RFQ required · no public supplier-specific quote</x:v>
      </x:c>
      <x:c r="U435"/>
      <x:c r="V435" t="str">
        <x:v>https://interpipe.biz/en/esg/environment/green_supplies/</x:v>
      </x:c>
      <x:c r="W435" t="str">
        <x:v>Manufacturer-listed</x:v>
      </x:c>
      <x:c r="X435" t="str"/>
      <x:c r="Y435" t="str">
        <x:v>2026-10-10</x:v>
      </x:c>
    </x:row>
    <x:row r="436" ht="22" customHeight="1">
      <x:c r="A436" t="str">
        <x:v>OCTG-0435</x:v>
      </x:c>
      <x:c r="B436" t="str">
        <x:v>ArcelorMittal</x:v>
      </x:c>
      <x:c r="C436" t="str">
        <x:v>Global</x:v>
      </x:c>
      <x:c r="D436" t="str">
        <x:v>C110</x:v>
      </x:c>
      <x:c r="E436" t="str">
        <x:v>Supplier-listed API grade</x:v>
      </x:c>
      <x:c r="F436" t="str">
        <x:v>API 5CT</x:v>
      </x:c>
      <x:c r="G436" t="str">
        <x:v>Carbon / low alloy</x:v>
      </x:c>
      <x:c r="H436" t="str">
        <x:v>Supplier-listed API OCTG</x:v>
      </x:c>
      <x:c r="I436" t="str">
        <x:v>Casing and tubing (verify sizes)</x:v>
      </x:c>
      <x:c r="J436" t="str">
        <x:v>Not established by grade name</x:v>
      </x:c>
      <x:c r="K436" t="str">
        <x:v>Corrosion control may be needed</x:v>
      </x:c>
      <x:c r="L436" t="str">
        <x:v>API / not stated</x:v>
      </x:c>
      <x:c r="M436" t="n">
        <x:v>110</x:v>
      </x:c>
      <x:c r="N436" t="str"/>
      <x:c r="O436" t="str"/>
      <x:c r="P436" t="str"/>
      <x:c r="Q436" t="str">
        <x:v>A · standard carbon</x:v>
      </x:c>
      <x:c r="R436"/>
      <x:c r="S436"/>
      <x:c r="T436" t="str">
        <x:v>RFQ required · no public supplier-specific quote</x:v>
      </x:c>
      <x:c r="U436"/>
      <x:c r="V436" t="str">
        <x:v>https://projects.arcelormittal.com/energy/products-services/product-range/pipes-tubulars</x:v>
      </x:c>
      <x:c r="W436" t="str">
        <x:v>Manufacturer-listed</x:v>
      </x:c>
      <x:c r="X436" t="str"/>
      <x:c r="Y436" t="str">
        <x:v>2026-10-10</x:v>
      </x:c>
    </x:row>
    <x:row r="437" ht="22" customHeight="1">
      <x:c r="A437" t="str">
        <x:v>OCTG-0436</x:v>
      </x:c>
      <x:c r="B437" t="str">
        <x:v>ArcelorMittal</x:v>
      </x:c>
      <x:c r="C437" t="str">
        <x:v>Global</x:v>
      </x:c>
      <x:c r="D437" t="str">
        <x:v>C90</x:v>
      </x:c>
      <x:c r="E437" t="str">
        <x:v>Supplier-listed API grade</x:v>
      </x:c>
      <x:c r="F437" t="str">
        <x:v>API 5CT</x:v>
      </x:c>
      <x:c r="G437" t="str">
        <x:v>Carbon / low alloy</x:v>
      </x:c>
      <x:c r="H437" t="str">
        <x:v>Supplier-listed API OCTG</x:v>
      </x:c>
      <x:c r="I437" t="str">
        <x:v>Casing and tubing (verify sizes)</x:v>
      </x:c>
      <x:c r="J437" t="str">
        <x:v>Not established by grade name</x:v>
      </x:c>
      <x:c r="K437" t="str">
        <x:v>Corrosion control may be needed</x:v>
      </x:c>
      <x:c r="L437" t="str">
        <x:v>API / not stated</x:v>
      </x:c>
      <x:c r="M437" t="n">
        <x:v>90</x:v>
      </x:c>
      <x:c r="N437" t="str"/>
      <x:c r="O437" t="str"/>
      <x:c r="P437" t="str"/>
      <x:c r="Q437" t="str">
        <x:v>A · standard carbon</x:v>
      </x:c>
      <x:c r="R437"/>
      <x:c r="S437"/>
      <x:c r="T437" t="str">
        <x:v>RFQ required · no public supplier-specific quote</x:v>
      </x:c>
      <x:c r="U437"/>
      <x:c r="V437" t="str">
        <x:v>https://projects.arcelormittal.com/energy/products-services/product-range/pipes-tubulars</x:v>
      </x:c>
      <x:c r="W437" t="str">
        <x:v>Manufacturer-listed</x:v>
      </x:c>
      <x:c r="X437" t="str"/>
      <x:c r="Y437" t="str">
        <x:v>2026-10-10</x:v>
      </x:c>
    </x:row>
    <x:row r="438" ht="22" customHeight="1">
      <x:c r="A438" t="str">
        <x:v>OCTG-0437</x:v>
      </x:c>
      <x:c r="B438" t="str">
        <x:v>ArcelorMittal</x:v>
      </x:c>
      <x:c r="C438" t="str">
        <x:v>Global</x:v>
      </x:c>
      <x:c r="D438" t="str">
        <x:v>H40</x:v>
      </x:c>
      <x:c r="E438" t="str">
        <x:v>Supplier-listed API grade</x:v>
      </x:c>
      <x:c r="F438" t="str">
        <x:v>API 5CT</x:v>
      </x:c>
      <x:c r="G438" t="str">
        <x:v>Carbon / low alloy</x:v>
      </x:c>
      <x:c r="H438" t="str">
        <x:v>Supplier-listed API OCTG</x:v>
      </x:c>
      <x:c r="I438" t="str">
        <x:v>Casing and tubing (verify sizes)</x:v>
      </x:c>
      <x:c r="J438" t="str">
        <x:v>Not established by grade name</x:v>
      </x:c>
      <x:c r="K438" t="str">
        <x:v>Corrosion control may be needed</x:v>
      </x:c>
      <x:c r="L438" t="str">
        <x:v>API / not stated</x:v>
      </x:c>
      <x:c r="M438" t="n">
        <x:v>40</x:v>
      </x:c>
      <x:c r="N438" t="str"/>
      <x:c r="O438" t="str"/>
      <x:c r="P438" t="str"/>
      <x:c r="Q438" t="str">
        <x:v>A · standard carbon</x:v>
      </x:c>
      <x:c r="R438"/>
      <x:c r="S438"/>
      <x:c r="T438" t="str">
        <x:v>RFQ required · no public supplier-specific quote</x:v>
      </x:c>
      <x:c r="U438"/>
      <x:c r="V438" t="str">
        <x:v>https://projects.arcelormittal.com/energy/products-services/product-range/pipes-tubulars</x:v>
      </x:c>
      <x:c r="W438" t="str">
        <x:v>Manufacturer-listed</x:v>
      </x:c>
      <x:c r="X438" t="str"/>
      <x:c r="Y438" t="str">
        <x:v>2026-10-10</x:v>
      </x:c>
    </x:row>
    <x:row r="439" ht="22" customHeight="1">
      <x:c r="A439" t="str">
        <x:v>OCTG-0438</x:v>
      </x:c>
      <x:c r="B439" t="str">
        <x:v>ArcelorMittal</x:v>
      </x:c>
      <x:c r="C439" t="str">
        <x:v>Global</x:v>
      </x:c>
      <x:c r="D439" t="str">
        <x:v>J55</x:v>
      </x:c>
      <x:c r="E439" t="str">
        <x:v>Supplier-listed API grade</x:v>
      </x:c>
      <x:c r="F439" t="str">
        <x:v>API 5CT</x:v>
      </x:c>
      <x:c r="G439" t="str">
        <x:v>Carbon / low alloy</x:v>
      </x:c>
      <x:c r="H439" t="str">
        <x:v>Supplier-listed API OCTG</x:v>
      </x:c>
      <x:c r="I439" t="str">
        <x:v>Casing and tubing (verify sizes)</x:v>
      </x:c>
      <x:c r="J439" t="str">
        <x:v>Not established by grade name</x:v>
      </x:c>
      <x:c r="K439" t="str">
        <x:v>Corrosion control may be needed</x:v>
      </x:c>
      <x:c r="L439" t="str">
        <x:v>API / not stated</x:v>
      </x:c>
      <x:c r="M439" t="n">
        <x:v>55</x:v>
      </x:c>
      <x:c r="N439" t="str"/>
      <x:c r="O439" t="str"/>
      <x:c r="P439" t="str"/>
      <x:c r="Q439" t="str">
        <x:v>A · standard carbon</x:v>
      </x:c>
      <x:c r="R439"/>
      <x:c r="S439"/>
      <x:c r="T439" t="str">
        <x:v>RFQ required · no public supplier-specific quote</x:v>
      </x:c>
      <x:c r="U439"/>
      <x:c r="V439" t="str">
        <x:v>https://projects.arcelormittal.com/energy/products-services/product-range/pipes-tubulars</x:v>
      </x:c>
      <x:c r="W439" t="str">
        <x:v>Manufacturer-listed</x:v>
      </x:c>
      <x:c r="X439" t="str"/>
      <x:c r="Y439" t="str">
        <x:v>2026-10-10</x:v>
      </x:c>
    </x:row>
    <x:row r="440" ht="22" customHeight="1">
      <x:c r="A440" t="str">
        <x:v>OCTG-0439</x:v>
      </x:c>
      <x:c r="B440" t="str">
        <x:v>ArcelorMittal</x:v>
      </x:c>
      <x:c r="C440" t="str">
        <x:v>Global</x:v>
      </x:c>
      <x:c r="D440" t="str">
        <x:v>K55</x:v>
      </x:c>
      <x:c r="E440" t="str">
        <x:v>Supplier-listed API grade</x:v>
      </x:c>
      <x:c r="F440" t="str">
        <x:v>API 5CT</x:v>
      </x:c>
      <x:c r="G440" t="str">
        <x:v>Carbon / low alloy</x:v>
      </x:c>
      <x:c r="H440" t="str">
        <x:v>Supplier-listed API OCTG</x:v>
      </x:c>
      <x:c r="I440" t="str">
        <x:v>Casing and tubing (verify sizes)</x:v>
      </x:c>
      <x:c r="J440" t="str">
        <x:v>Not established by grade name</x:v>
      </x:c>
      <x:c r="K440" t="str">
        <x:v>Corrosion control may be needed</x:v>
      </x:c>
      <x:c r="L440" t="str">
        <x:v>API / not stated</x:v>
      </x:c>
      <x:c r="M440" t="n">
        <x:v>55</x:v>
      </x:c>
      <x:c r="N440" t="str"/>
      <x:c r="O440" t="str"/>
      <x:c r="P440" t="str"/>
      <x:c r="Q440" t="str">
        <x:v>A · standard carbon</x:v>
      </x:c>
      <x:c r="R440"/>
      <x:c r="S440"/>
      <x:c r="T440" t="str">
        <x:v>RFQ required · no public supplier-specific quote</x:v>
      </x:c>
      <x:c r="U440"/>
      <x:c r="V440" t="str">
        <x:v>https://projects.arcelormittal.com/energy/products-services/product-range/pipes-tubulars</x:v>
      </x:c>
      <x:c r="W440" t="str">
        <x:v>Manufacturer-listed</x:v>
      </x:c>
      <x:c r="X440" t="str"/>
      <x:c r="Y440" t="str">
        <x:v>2026-10-10</x:v>
      </x:c>
    </x:row>
    <x:row r="441" ht="22" customHeight="1">
      <x:c r="A441" t="str">
        <x:v>OCTG-0440</x:v>
      </x:c>
      <x:c r="B441" t="str">
        <x:v>ArcelorMittal</x:v>
      </x:c>
      <x:c r="C441" t="str">
        <x:v>Global</x:v>
      </x:c>
      <x:c r="D441" t="str">
        <x:v>L80 Type 1</x:v>
      </x:c>
      <x:c r="E441" t="str">
        <x:v>Supplier-listed API grade</x:v>
      </x:c>
      <x:c r="F441" t="str">
        <x:v>API 5CT</x:v>
      </x:c>
      <x:c r="G441" t="str">
        <x:v>Carbon / low alloy</x:v>
      </x:c>
      <x:c r="H441" t="str">
        <x:v>Supplier-listed API OCTG</x:v>
      </x:c>
      <x:c r="I441" t="str">
        <x:v>Casing and tubing (verify sizes)</x:v>
      </x:c>
      <x:c r="J441" t="str">
        <x:v>Not established by grade name</x:v>
      </x:c>
      <x:c r="K441" t="str">
        <x:v>Corrosion control may be needed</x:v>
      </x:c>
      <x:c r="L441" t="str">
        <x:v>API / not stated</x:v>
      </x:c>
      <x:c r="M441" t="n">
        <x:v>80</x:v>
      </x:c>
      <x:c r="N441" t="str"/>
      <x:c r="O441" t="str"/>
      <x:c r="P441" t="str"/>
      <x:c r="Q441" t="str">
        <x:v>A · standard carbon</x:v>
      </x:c>
      <x:c r="R441"/>
      <x:c r="S441"/>
      <x:c r="T441" t="str">
        <x:v>RFQ required · no public supplier-specific quote</x:v>
      </x:c>
      <x:c r="U441"/>
      <x:c r="V441" t="str">
        <x:v>https://projects.arcelormittal.com/energy/products-services/product-range/pipes-tubulars</x:v>
      </x:c>
      <x:c r="W441" t="str">
        <x:v>Manufacturer-listed</x:v>
      </x:c>
      <x:c r="X441" t="str"/>
      <x:c r="Y441" t="str">
        <x:v>2026-10-10</x:v>
      </x:c>
    </x:row>
    <x:row r="442" ht="22" customHeight="1">
      <x:c r="A442" t="str">
        <x:v>OCTG-0441</x:v>
      </x:c>
      <x:c r="B442" t="str">
        <x:v>ArcelorMittal</x:v>
      </x:c>
      <x:c r="C442" t="str">
        <x:v>Global</x:v>
      </x:c>
      <x:c r="D442" t="str">
        <x:v>N80 Type 1</x:v>
      </x:c>
      <x:c r="E442" t="str">
        <x:v>Supplier-listed API grade</x:v>
      </x:c>
      <x:c r="F442" t="str">
        <x:v>API 5CT</x:v>
      </x:c>
      <x:c r="G442" t="str">
        <x:v>Carbon / low alloy</x:v>
      </x:c>
      <x:c r="H442" t="str">
        <x:v>Supplier-listed API OCTG</x:v>
      </x:c>
      <x:c r="I442" t="str">
        <x:v>Casing and tubing (verify sizes)</x:v>
      </x:c>
      <x:c r="J442" t="str">
        <x:v>Not established by grade name</x:v>
      </x:c>
      <x:c r="K442" t="str">
        <x:v>Corrosion control may be needed</x:v>
      </x:c>
      <x:c r="L442" t="str">
        <x:v>API / not stated</x:v>
      </x:c>
      <x:c r="M442" t="n">
        <x:v>80</x:v>
      </x:c>
      <x:c r="N442" t="str"/>
      <x:c r="O442" t="str"/>
      <x:c r="P442" t="str"/>
      <x:c r="Q442" t="str">
        <x:v>A · standard carbon</x:v>
      </x:c>
      <x:c r="R442"/>
      <x:c r="S442"/>
      <x:c r="T442" t="str">
        <x:v>RFQ required · no public supplier-specific quote</x:v>
      </x:c>
      <x:c r="U442"/>
      <x:c r="V442" t="str">
        <x:v>https://projects.arcelormittal.com/energy/products-services/product-range/pipes-tubulars</x:v>
      </x:c>
      <x:c r="W442" t="str">
        <x:v>Manufacturer-listed</x:v>
      </x:c>
      <x:c r="X442" t="str"/>
      <x:c r="Y442" t="str">
        <x:v>2026-10-10</x:v>
      </x:c>
    </x:row>
    <x:row r="443" ht="22" customHeight="1">
      <x:c r="A443" t="str">
        <x:v>OCTG-0442</x:v>
      </x:c>
      <x:c r="B443" t="str">
        <x:v>ArcelorMittal</x:v>
      </x:c>
      <x:c r="C443" t="str">
        <x:v>Global</x:v>
      </x:c>
      <x:c r="D443" t="str">
        <x:v>N80 Type Q</x:v>
      </x:c>
      <x:c r="E443" t="str">
        <x:v>Supplier-listed API grade</x:v>
      </x:c>
      <x:c r="F443" t="str">
        <x:v>API 5CT</x:v>
      </x:c>
      <x:c r="G443" t="str">
        <x:v>Carbon / low alloy</x:v>
      </x:c>
      <x:c r="H443" t="str">
        <x:v>Supplier-listed API OCTG</x:v>
      </x:c>
      <x:c r="I443" t="str">
        <x:v>Casing and tubing (verify sizes)</x:v>
      </x:c>
      <x:c r="J443" t="str">
        <x:v>Not established by grade name</x:v>
      </x:c>
      <x:c r="K443" t="str">
        <x:v>Corrosion control may be needed</x:v>
      </x:c>
      <x:c r="L443" t="str">
        <x:v>API / not stated</x:v>
      </x:c>
      <x:c r="M443" t="n">
        <x:v>80</x:v>
      </x:c>
      <x:c r="N443" t="str"/>
      <x:c r="O443" t="str"/>
      <x:c r="P443" t="str"/>
      <x:c r="Q443" t="str">
        <x:v>A · standard carbon</x:v>
      </x:c>
      <x:c r="R443"/>
      <x:c r="S443"/>
      <x:c r="T443" t="str">
        <x:v>RFQ required · no public supplier-specific quote</x:v>
      </x:c>
      <x:c r="U443"/>
      <x:c r="V443" t="str">
        <x:v>https://projects.arcelormittal.com/energy/products-services/product-range/pipes-tubulars</x:v>
      </x:c>
      <x:c r="W443" t="str">
        <x:v>Manufacturer-listed</x:v>
      </x:c>
      <x:c r="X443" t="str"/>
      <x:c r="Y443" t="str">
        <x:v>2026-10-10</x:v>
      </x:c>
    </x:row>
    <x:row r="444" ht="22" customHeight="1">
      <x:c r="A444" t="str">
        <x:v>OCTG-0443</x:v>
      </x:c>
      <x:c r="B444" t="str">
        <x:v>ArcelorMittal</x:v>
      </x:c>
      <x:c r="C444" t="str">
        <x:v>Global</x:v>
      </x:c>
      <x:c r="D444" t="str">
        <x:v>P110</x:v>
      </x:c>
      <x:c r="E444" t="str">
        <x:v>Supplier-listed API grade</x:v>
      </x:c>
      <x:c r="F444" t="str">
        <x:v>API 5CT</x:v>
      </x:c>
      <x:c r="G444" t="str">
        <x:v>Carbon / low alloy</x:v>
      </x:c>
      <x:c r="H444" t="str">
        <x:v>Supplier-listed API OCTG</x:v>
      </x:c>
      <x:c r="I444" t="str">
        <x:v>Casing and tubing (verify sizes)</x:v>
      </x:c>
      <x:c r="J444" t="str">
        <x:v>Not established by grade name</x:v>
      </x:c>
      <x:c r="K444" t="str">
        <x:v>Corrosion control may be needed</x:v>
      </x:c>
      <x:c r="L444" t="str">
        <x:v>API / not stated</x:v>
      </x:c>
      <x:c r="M444" t="n">
        <x:v>110</x:v>
      </x:c>
      <x:c r="N444" t="str"/>
      <x:c r="O444" t="str"/>
      <x:c r="P444" t="str"/>
      <x:c r="Q444" t="str">
        <x:v>A · standard carbon</x:v>
      </x:c>
      <x:c r="R444"/>
      <x:c r="S444"/>
      <x:c r="T444" t="str">
        <x:v>RFQ required · no public supplier-specific quote</x:v>
      </x:c>
      <x:c r="U444"/>
      <x:c r="V444" t="str">
        <x:v>https://projects.arcelormittal.com/energy/products-services/product-range/pipes-tubulars</x:v>
      </x:c>
      <x:c r="W444" t="str">
        <x:v>Manufacturer-listed</x:v>
      </x:c>
      <x:c r="X444" t="str"/>
      <x:c r="Y444" t="str">
        <x:v>2026-10-10</x:v>
      </x:c>
    </x:row>
    <x:row r="445" ht="22" customHeight="1">
      <x:c r="A445" t="str">
        <x:v>OCTG-0444</x:v>
      </x:c>
      <x:c r="B445" t="str">
        <x:v>ArcelorMittal</x:v>
      </x:c>
      <x:c r="C445" t="str">
        <x:v>Global</x:v>
      </x:c>
      <x:c r="D445" t="str">
        <x:v>Q125</x:v>
      </x:c>
      <x:c r="E445" t="str">
        <x:v>Supplier-listed API grade</x:v>
      </x:c>
      <x:c r="F445" t="str">
        <x:v>API 5CT</x:v>
      </x:c>
      <x:c r="G445" t="str">
        <x:v>Carbon / low alloy</x:v>
      </x:c>
      <x:c r="H445" t="str">
        <x:v>Supplier-listed API OCTG</x:v>
      </x:c>
      <x:c r="I445" t="str">
        <x:v>Casing and tubing (verify sizes)</x:v>
      </x:c>
      <x:c r="J445" t="str">
        <x:v>Not established by grade name</x:v>
      </x:c>
      <x:c r="K445" t="str">
        <x:v>Corrosion control may be needed</x:v>
      </x:c>
      <x:c r="L445" t="str">
        <x:v>API / not stated</x:v>
      </x:c>
      <x:c r="M445" t="n">
        <x:v>125</x:v>
      </x:c>
      <x:c r="N445" t="str"/>
      <x:c r="O445" t="str"/>
      <x:c r="P445" t="str"/>
      <x:c r="Q445" t="str">
        <x:v>A · standard carbon</x:v>
      </x:c>
      <x:c r="R445"/>
      <x:c r="S445"/>
      <x:c r="T445" t="str">
        <x:v>RFQ required · no public supplier-specific quote</x:v>
      </x:c>
      <x:c r="U445"/>
      <x:c r="V445" t="str">
        <x:v>https://projects.arcelormittal.com/energy/products-services/product-range/pipes-tubulars</x:v>
      </x:c>
      <x:c r="W445" t="str">
        <x:v>Manufacturer-listed</x:v>
      </x:c>
      <x:c r="X445" t="str"/>
      <x:c r="Y445" t="str">
        <x:v>2026-10-10</x:v>
      </x:c>
    </x:row>
    <x:row r="446" ht="22" customHeight="1">
      <x:c r="A446" t="str">
        <x:v>OCTG-0445</x:v>
      </x:c>
      <x:c r="B446" t="str">
        <x:v>ArcelorMittal</x:v>
      </x:c>
      <x:c r="C446" t="str">
        <x:v>Global</x:v>
      </x:c>
      <x:c r="D446" t="str">
        <x:v>R95</x:v>
      </x:c>
      <x:c r="E446" t="str">
        <x:v>Supplier-listed API grade</x:v>
      </x:c>
      <x:c r="F446" t="str">
        <x:v>API 5CT</x:v>
      </x:c>
      <x:c r="G446" t="str">
        <x:v>Carbon / low alloy</x:v>
      </x:c>
      <x:c r="H446" t="str">
        <x:v>Supplier-listed API OCTG</x:v>
      </x:c>
      <x:c r="I446" t="str">
        <x:v>Casing and tubing (verify sizes)</x:v>
      </x:c>
      <x:c r="J446" t="str">
        <x:v>Not established by grade name</x:v>
      </x:c>
      <x:c r="K446" t="str">
        <x:v>Corrosion control may be needed</x:v>
      </x:c>
      <x:c r="L446" t="str">
        <x:v>API / not stated</x:v>
      </x:c>
      <x:c r="M446" t="n">
        <x:v>95</x:v>
      </x:c>
      <x:c r="N446" t="str"/>
      <x:c r="O446" t="str"/>
      <x:c r="P446" t="str"/>
      <x:c r="Q446" t="str">
        <x:v>A · standard carbon</x:v>
      </x:c>
      <x:c r="R446"/>
      <x:c r="S446"/>
      <x:c r="T446" t="str">
        <x:v>RFQ required · no public supplier-specific quote</x:v>
      </x:c>
      <x:c r="U446"/>
      <x:c r="V446" t="str">
        <x:v>https://projects.arcelormittal.com/energy/products-services/product-range/pipes-tubulars</x:v>
      </x:c>
      <x:c r="W446" t="str">
        <x:v>Manufacturer-listed</x:v>
      </x:c>
      <x:c r="X446" t="str"/>
      <x:c r="Y446" t="str">
        <x:v>2026-10-10</x:v>
      </x:c>
    </x:row>
    <x:row r="447" ht="22" customHeight="1">
      <x:c r="A447" t="str">
        <x:v>OCTG-0446</x:v>
      </x:c>
      <x:c r="B447" t="str">
        <x:v>ArcelorMittal</x:v>
      </x:c>
      <x:c r="C447" t="str">
        <x:v>Global</x:v>
      </x:c>
      <x:c r="D447" t="str">
        <x:v>T95</x:v>
      </x:c>
      <x:c r="E447" t="str">
        <x:v>Supplier-listed API grade</x:v>
      </x:c>
      <x:c r="F447" t="str">
        <x:v>API 5CT</x:v>
      </x:c>
      <x:c r="G447" t="str">
        <x:v>Carbon / low alloy</x:v>
      </x:c>
      <x:c r="H447" t="str">
        <x:v>Supplier-listed API OCTG</x:v>
      </x:c>
      <x:c r="I447" t="str">
        <x:v>Casing and tubing (verify sizes)</x:v>
      </x:c>
      <x:c r="J447" t="str">
        <x:v>Not established by grade name</x:v>
      </x:c>
      <x:c r="K447" t="str">
        <x:v>Corrosion control may be needed</x:v>
      </x:c>
      <x:c r="L447" t="str">
        <x:v>API / not stated</x:v>
      </x:c>
      <x:c r="M447" t="n">
        <x:v>95</x:v>
      </x:c>
      <x:c r="N447" t="str"/>
      <x:c r="O447" t="str"/>
      <x:c r="P447" t="str"/>
      <x:c r="Q447" t="str">
        <x:v>A · standard carbon</x:v>
      </x:c>
      <x:c r="R447"/>
      <x:c r="S447"/>
      <x:c r="T447" t="str">
        <x:v>RFQ required · no public supplier-specific quote</x:v>
      </x:c>
      <x:c r="U447"/>
      <x:c r="V447" t="str">
        <x:v>https://projects.arcelormittal.com/energy/products-services/product-range/pipes-tubulars</x:v>
      </x:c>
      <x:c r="W447" t="str">
        <x:v>Manufacturer-listed</x:v>
      </x:c>
      <x:c r="X447" t="str"/>
      <x:c r="Y447" t="str">
        <x:v>2026-10-10</x:v>
      </x:c>
    </x:row>
    <x:row r="448" ht="22" customHeight="1">
      <x:c r="A448" t="str">
        <x:v>OCTG-0447</x:v>
      </x:c>
      <x:c r="B448" t="str">
        <x:v>Tianjin Huajin</x:v>
      </x:c>
      <x:c r="C448" t="str">
        <x:v>China</x:v>
      </x:c>
      <x:c r="D448" t="str">
        <x:v>LC110S</x:v>
      </x:c>
      <x:c r="E448" t="str">
        <x:v>Proprietary grade</x:v>
      </x:c>
      <x:c r="F448" t="str">
        <x:v>API 5CT-based / manufacturer specification</x:v>
      </x:c>
      <x:c r="G448" t="str">
        <x:v>Carbon / low alloy</x:v>
      </x:c>
      <x:c r="H448" t="str">
        <x:v>H2S resistant OCTG (manufacturer catalogue)</x:v>
      </x:c>
      <x:c r="I448" t="str">
        <x:v>Casing and tubing (verify sizes)</x:v>
      </x:c>
      <x:c r="J448" t="str">
        <x:v>Not established by grade name</x:v>
      </x:c>
      <x:c r="K448" t="str">
        <x:v>Corrosion control may be needed</x:v>
      </x:c>
      <x:c r="L448" t="str">
        <x:v>API / not stated</x:v>
      </x:c>
      <x:c r="M448" t="n">
        <x:v>110</x:v>
      </x:c>
      <x:c r="N448" t="str"/>
      <x:c r="O448" t="str"/>
      <x:c r="P448" t="str"/>
      <x:c r="Q448" t="str">
        <x:v>A · standard carbon</x:v>
      </x:c>
      <x:c r="R448"/>
      <x:c r="S448"/>
      <x:c r="T448" t="str">
        <x:v>RFQ required · no public supplier-specific quote</x:v>
      </x:c>
      <x:c r="U448"/>
      <x:c r="V448" t="str">
        <x:v>https://www.huajinpipe.com/en/col.jsp?id=117</x:v>
      </x:c>
      <x:c r="W448" t="str">
        <x:v>Manufacturer-listed</x:v>
      </x:c>
      <x:c r="X448" t="str"/>
      <x:c r="Y448" t="str">
        <x:v>2026-10-10</x:v>
      </x:c>
    </x:row>
    <x:row r="449" ht="22" customHeight="1">
      <x:c r="A449" t="str">
        <x:v>OCTG-0448</x:v>
      </x:c>
      <x:c r="B449" t="str">
        <x:v>Tianjin Huajin</x:v>
      </x:c>
      <x:c r="C449" t="str">
        <x:v>China</x:v>
      </x:c>
      <x:c r="D449" t="str">
        <x:v>LC80S</x:v>
      </x:c>
      <x:c r="E449" t="str">
        <x:v>Proprietary grade</x:v>
      </x:c>
      <x:c r="F449" t="str">
        <x:v>API 5CT-based / manufacturer specification</x:v>
      </x:c>
      <x:c r="G449" t="str">
        <x:v>Carbon / low alloy</x:v>
      </x:c>
      <x:c r="H449" t="str">
        <x:v>H2S resistant OCTG (manufacturer catalogue)</x:v>
      </x:c>
      <x:c r="I449" t="str">
        <x:v>Casing and tubing (verify sizes)</x:v>
      </x:c>
      <x:c r="J449" t="str">
        <x:v>Not established by grade name</x:v>
      </x:c>
      <x:c r="K449" t="str">
        <x:v>Corrosion control may be needed</x:v>
      </x:c>
      <x:c r="L449" t="str">
        <x:v>API / not stated</x:v>
      </x:c>
      <x:c r="M449" t="n">
        <x:v>80</x:v>
      </x:c>
      <x:c r="N449" t="str"/>
      <x:c r="O449" t="str"/>
      <x:c r="P449" t="str"/>
      <x:c r="Q449" t="str">
        <x:v>A · standard carbon</x:v>
      </x:c>
      <x:c r="R449"/>
      <x:c r="S449"/>
      <x:c r="T449" t="str">
        <x:v>RFQ required · no public supplier-specific quote</x:v>
      </x:c>
      <x:c r="U449"/>
      <x:c r="V449" t="str">
        <x:v>https://www.huajinpipe.com/en/col.jsp?id=117</x:v>
      </x:c>
      <x:c r="W449" t="str">
        <x:v>Manufacturer-listed</x:v>
      </x:c>
      <x:c r="X449" t="str"/>
      <x:c r="Y449" t="str">
        <x:v>2026-10-10</x:v>
      </x:c>
    </x:row>
    <x:row r="450" ht="22" customHeight="1">
      <x:c r="A450" t="str">
        <x:v>OCTG-0449</x:v>
      </x:c>
      <x:c r="B450" t="str">
        <x:v>Tianjin Huajin</x:v>
      </x:c>
      <x:c r="C450" t="str">
        <x:v>China</x:v>
      </x:c>
      <x:c r="D450" t="str">
        <x:v>LC90S</x:v>
      </x:c>
      <x:c r="E450" t="str">
        <x:v>Proprietary grade</x:v>
      </x:c>
      <x:c r="F450" t="str">
        <x:v>API 5CT-based / manufacturer specification</x:v>
      </x:c>
      <x:c r="G450" t="str">
        <x:v>Carbon / low alloy</x:v>
      </x:c>
      <x:c r="H450" t="str">
        <x:v>H2S resistant OCTG (manufacturer catalogue)</x:v>
      </x:c>
      <x:c r="I450" t="str">
        <x:v>Casing and tubing (verify sizes)</x:v>
      </x:c>
      <x:c r="J450" t="str">
        <x:v>Not established by grade name</x:v>
      </x:c>
      <x:c r="K450" t="str">
        <x:v>Corrosion control may be needed</x:v>
      </x:c>
      <x:c r="L450" t="str">
        <x:v>API / not stated</x:v>
      </x:c>
      <x:c r="M450" t="n">
        <x:v>90</x:v>
      </x:c>
      <x:c r="N450" t="str"/>
      <x:c r="O450" t="str"/>
      <x:c r="P450" t="str"/>
      <x:c r="Q450" t="str">
        <x:v>A · standard carbon</x:v>
      </x:c>
      <x:c r="R450"/>
      <x:c r="S450"/>
      <x:c r="T450" t="str">
        <x:v>RFQ required · no public supplier-specific quote</x:v>
      </x:c>
      <x:c r="U450"/>
      <x:c r="V450" t="str">
        <x:v>https://www.huajinpipe.com/en/col.jsp?id=117</x:v>
      </x:c>
      <x:c r="W450" t="str">
        <x:v>Manufacturer-listed</x:v>
      </x:c>
      <x:c r="X450" t="str"/>
      <x:c r="Y450" t="str">
        <x:v>2026-10-10</x:v>
      </x:c>
    </x:row>
    <x:row r="451" ht="22" customHeight="1">
      <x:c r="A451" t="str">
        <x:v>OCTG-0450</x:v>
      </x:c>
      <x:c r="B451" t="str">
        <x:v>Tianjin Huajin</x:v>
      </x:c>
      <x:c r="C451" t="str">
        <x:v>China</x:v>
      </x:c>
      <x:c r="D451" t="str">
        <x:v>LC95S</x:v>
      </x:c>
      <x:c r="E451" t="str">
        <x:v>Proprietary grade</x:v>
      </x:c>
      <x:c r="F451" t="str">
        <x:v>API 5CT-based / manufacturer specification</x:v>
      </x:c>
      <x:c r="G451" t="str">
        <x:v>Carbon / low alloy</x:v>
      </x:c>
      <x:c r="H451" t="str">
        <x:v>H2S resistant OCTG (manufacturer catalogue)</x:v>
      </x:c>
      <x:c r="I451" t="str">
        <x:v>Casing and tubing (verify sizes)</x:v>
      </x:c>
      <x:c r="J451" t="str">
        <x:v>Not established by grade name</x:v>
      </x:c>
      <x:c r="K451" t="str">
        <x:v>Corrosion control may be needed</x:v>
      </x:c>
      <x:c r="L451" t="str">
        <x:v>API / not stated</x:v>
      </x:c>
      <x:c r="M451" t="n">
        <x:v>95</x:v>
      </x:c>
      <x:c r="N451" t="str"/>
      <x:c r="O451" t="str"/>
      <x:c r="P451" t="str"/>
      <x:c r="Q451" t="str">
        <x:v>A · standard carbon</x:v>
      </x:c>
      <x:c r="R451"/>
      <x:c r="S451"/>
      <x:c r="T451" t="str">
        <x:v>RFQ required · no public supplier-specific quote</x:v>
      </x:c>
      <x:c r="U451"/>
      <x:c r="V451" t="str">
        <x:v>https://www.huajinpipe.com/en/col.jsp?id=117</x:v>
      </x:c>
      <x:c r="W451" t="str">
        <x:v>Manufacturer-listed</x:v>
      </x:c>
      <x:c r="X451" t="str"/>
      <x:c r="Y451" t="str">
        <x:v>2026-10-10</x:v>
      </x:c>
    </x:row>
  </x:sheetData>
  <x:pageMargins left="0.7" right="0.7" top="0.75" bottom="0.75" header="0.3" footer="0.3"/>
  <x:tableParts count="1">
    <x:tablePart xmlns:r="http://schemas.openxmlformats.org/officeDocument/2006/relationships" r:id="R7e91670e5fe54bf3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3" hidden="0" customWidth="1"/>
    <x:col min="4" max="4" width="30" hidden="0" customWidth="1"/>
    <x:col min="5" max="5" width="23" hidden="0" customWidth="1"/>
    <x:col min="6" max="6" width="32" hidden="0" customWidth="1"/>
    <x:col min="7" max="7" width="24" hidden="0" customWidth="1"/>
    <x:col min="8" max="8" width="54" hidden="0" customWidth="1"/>
    <x:col min="9" max="9" width="34" hidden="0" customWidth="1"/>
    <x:col min="10" max="10" width="32" hidden="0" customWidth="1"/>
    <x:col min="11" max="11" width="35" hidden="0" customWidth="1"/>
    <x:col min="12" max="12" width="23" hidden="0" customWidth="1"/>
    <x:col min="13" max="13" width="13" hidden="0" customWidth="1"/>
    <x:col min="14" max="14" width="16" hidden="0" customWidth="1"/>
    <x:col min="15" max="15" width="13" hidden="0" customWidth="1"/>
    <x:col min="16" max="16" width="17" hidden="0" customWidth="1"/>
    <x:col min="17" max="17" width="28" hidden="0" customWidth="1"/>
    <x:col min="18" max="18" width="18" hidden="0" customWidth="1"/>
    <x:col min="19" max="19" width="18" hidden="0" customWidth="1"/>
    <x:col min="20" max="20" width="48" hidden="0" customWidth="1"/>
    <x:col min="21" max="21" width="18" hidden="0" customWidth="1"/>
    <x:col min="22" max="22" width="62" hidden="0" customWidth="1"/>
    <x:col min="23" max="23" width="36" hidden="0" customWidth="1"/>
    <x:col min="24" max="24" width="55" hidden="0" customWidth="1"/>
    <x:col min="25" max="25" width="17" hidden="0" customWidth="1"/>
  </x:cols>
  <x:sheetData>
    <x:row r="1" ht="38" customHeight="1">
      <x:c r="A1" s="5" t="str">
        <x:v>ID</x:v>
      </x:c>
      <x:c r="B1" s="5" t="str">
        <x:v>Supplier</x:v>
      </x:c>
      <x:c r="C1" s="5" t="str">
        <x:v>Region</x:v>
      </x:c>
      <x:c r="D1" s="5" t="str">
        <x:v>Grade</x:v>
      </x:c>
      <x:c r="E1" s="5" t="str">
        <x:v>Listing type</x:v>
      </x:c>
      <x:c r="F1" s="5" t="str">
        <x:v>Standard context</x:v>
      </x:c>
      <x:c r="G1" s="5" t="str">
        <x:v>Material family</x:v>
      </x:c>
      <x:c r="H1" s="5" t="str">
        <x:v>Service / use</x:v>
      </x:c>
      <x:c r="I1" s="5" t="str">
        <x:v>Typical application</x:v>
      </x:c>
      <x:c r="J1" s="5" t="str">
        <x:v>H2S suitability</x:v>
      </x:c>
      <x:c r="K1" s="5" t="str">
        <x:v>CO2 corrosion</x:v>
      </x:c>
      <x:c r="L1" s="5" t="str">
        <x:v>High collapse</x:v>
      </x:c>
      <x:c r="M1" s="5" t="str">
        <x:v>SMYS ksi</x:v>
      </x:c>
      <x:c r="N1" s="5" t="str">
        <x:v>UNS</x:v>
      </x:c>
      <x:c r="O1" s="5" t="str">
        <x:v>5CRA Group</x:v>
      </x:c>
      <x:c r="P1" s="5" t="str">
        <x:v>5CRA Category</x:v>
      </x:c>
      <x:c r="Q1" s="5" t="str">
        <x:v>Relative cost tier</x:v>
      </x:c>
      <x:c r="R1" s="5" t="str">
        <x:v>Price low USD/t</x:v>
      </x:c>
      <x:c r="S1" s="5" t="str">
        <x:v>Price high USD/t</x:v>
      </x:c>
      <x:c r="T1" s="5" t="str">
        <x:v>Price evidence</x:v>
      </x:c>
      <x:c r="U1" s="5" t="str">
        <x:v>Vendor quote USD/t</x:v>
      </x:c>
      <x:c r="V1" s="5" t="str">
        <x:v>Source URL</x:v>
      </x:c>
      <x:c r="W1" s="5" t="str">
        <x:v>Source status</x:v>
      </x:c>
      <x:c r="X1" s="5" t="str">
        <x:v>Technical notes</x:v>
      </x:c>
      <x:c r="Y1" s="5" t="str">
        <x:v>Reviewed</x:v>
      </x:c>
    </x:row>
    <x:row r="2" ht="22" customHeight="1">
      <x:c r="A2" t="str">
        <x:v>OCTG-0001</x:v>
      </x:c>
      <x:c r="B2" t="str">
        <x:v>API reference</x:v>
      </x:c>
      <x:c r="C2" t="str">
        <x:v>Global</x:v>
      </x:c>
      <x:c r="D2" t="str">
        <x:v>C110</x:v>
      </x:c>
      <x:c r="E2" t="str">
        <x:v>API baseline</x:v>
      </x:c>
      <x:c r="F2" t="str">
        <x:v>API 5CT (11th ed + addenda)</x:v>
      </x:c>
      <x:c r="G2" t="str">
        <x:v>Carbon / low alloy</x:v>
      </x:c>
      <x:c r="H2" t="str">
        <x:v>Restricted sour service per ISO 15156</x:v>
      </x:c>
      <x:c r="I2" t="str">
        <x:v>API 5CT generic casing and tubing (size-specific scope)</x:v>
      </x:c>
      <x:c r="J2" t="str">
        <x:v>Case-specific NACE MR0175/ISO 15156 qualification</x:v>
      </x:c>
      <x:c r="K2" t="str">
        <x:v>Corrosion control may be needed</x:v>
      </x:c>
      <x:c r="L2" t="str">
        <x:v>API / not stated</x:v>
      </x:c>
      <x:c r="M2" t="n">
        <x:v>110</x:v>
      </x:c>
      <x:c r="N2" t="str"/>
      <x:c r="O2" t="str"/>
      <x:c r="P2" t="str"/>
      <x:c r="Q2" t="str">
        <x:v>A · standard carbon</x:v>
      </x:c>
      <x:c r="R2"/>
      <x:c r="S2"/>
      <x:c r="T2" t="str">
        <x:v>RFQ required · no public supplier-specific quote</x:v>
      </x:c>
      <x:c r="U2"/>
      <x:c r="V2" t="str">
        <x:v>https://www.api.org/products-and-services/standards/important-standards-announcements/spec5ct-tradepress</x:v>
      </x:c>
      <x:c r="W2" t="str">
        <x:v>API standard grade; check 11th ed and 2026 errata</x:v>
      </x:c>
      <x:c r="X2" t="str">
        <x:v>Standard grade; grade name alone does not imply NACE MR0175 acceptance. M65 is historical / withdrawn.</x:v>
      </x:c>
      <x:c r="Y2" t="str">
        <x:v>2026-10-10</x:v>
      </x:c>
    </x:row>
    <x:row r="3" ht="22" customHeight="1">
      <x:c r="A3" t="str">
        <x:v>OCTG-0002</x:v>
      </x:c>
      <x:c r="B3" t="str">
        <x:v>API reference</x:v>
      </x:c>
      <x:c r="C3" t="str">
        <x:v>Global</x:v>
      </x:c>
      <x:c r="D3" t="str">
        <x:v>C90</x:v>
      </x:c>
      <x:c r="E3" t="str">
        <x:v>API baseline</x:v>
      </x:c>
      <x:c r="F3" t="str">
        <x:v>API 5CT (11th ed + addenda)</x:v>
      </x:c>
      <x:c r="G3" t="str">
        <x:v>Carbon / low alloy</x:v>
      </x:c>
      <x:c r="H3" t="str">
        <x:v>Sour service within ISO 15156 limits</x:v>
      </x:c>
      <x:c r="I3" t="str">
        <x:v>API 5CT generic casing and tubing (size-specific scope)</x:v>
      </x:c>
      <x:c r="J3" t="str">
        <x:v>Case-specific NACE MR0175/ISO 15156 qualification</x:v>
      </x:c>
      <x:c r="K3" t="str">
        <x:v>Corrosion control may be needed</x:v>
      </x:c>
      <x:c r="L3" t="str">
        <x:v>API / not stated</x:v>
      </x:c>
      <x:c r="M3" t="n">
        <x:v>90</x:v>
      </x:c>
      <x:c r="N3" t="str"/>
      <x:c r="O3" t="str"/>
      <x:c r="P3" t="str"/>
      <x:c r="Q3" t="str">
        <x:v>A · standard carbon</x:v>
      </x:c>
      <x:c r="R3"/>
      <x:c r="S3"/>
      <x:c r="T3" t="str">
        <x:v>RFQ required · no public supplier-specific quote</x:v>
      </x:c>
      <x:c r="U3"/>
      <x:c r="V3" t="str">
        <x:v>https://www.api.org/products-and-services/standards/important-standards-announcements/spec5ct-tradepress</x:v>
      </x:c>
      <x:c r="W3" t="str">
        <x:v>API standard grade; check 11th ed and 2026 errata</x:v>
      </x:c>
      <x:c r="X3" t="str">
        <x:v>Standard grade; grade name alone does not imply NACE MR0175 acceptance. M65 is historical / withdrawn.</x:v>
      </x:c>
      <x:c r="Y3" t="str">
        <x:v>2026-10-10</x:v>
      </x:c>
    </x:row>
    <x:row r="4" ht="22" customHeight="1">
      <x:c r="A4" t="str">
        <x:v>OCTG-0003</x:v>
      </x:c>
      <x:c r="B4" t="str">
        <x:v>API reference</x:v>
      </x:c>
      <x:c r="C4" t="str">
        <x:v>Global</x:v>
      </x:c>
      <x:c r="D4" t="str">
        <x:v>H40</x:v>
      </x:c>
      <x:c r="E4" t="str">
        <x:v>API baseline</x:v>
      </x:c>
      <x:c r="F4" t="str">
        <x:v>API 5CT (11th ed + addenda)</x:v>
      </x:c>
      <x:c r="G4" t="str">
        <x:v>Carbon / low alloy</x:v>
      </x:c>
      <x:c r="H4" t="str">
        <x:v>Shallow / surface casing</x:v>
      </x:c>
      <x:c r="I4" t="str">
        <x:v>API 5CT generic casing and tubing (size-specific scope)</x:v>
      </x:c>
      <x:c r="J4" t="str">
        <x:v>Not presumed sour-qualified</x:v>
      </x:c>
      <x:c r="K4" t="str">
        <x:v>Corrosion control may be needed</x:v>
      </x:c>
      <x:c r="L4" t="str">
        <x:v>API / not stated</x:v>
      </x:c>
      <x:c r="M4" t="n">
        <x:v>40</x:v>
      </x:c>
      <x:c r="N4" t="str"/>
      <x:c r="O4" t="str"/>
      <x:c r="P4" t="str"/>
      <x:c r="Q4" t="str">
        <x:v>A · standard carbon</x:v>
      </x:c>
      <x:c r="R4"/>
      <x:c r="S4"/>
      <x:c r="T4" t="str">
        <x:v>RFQ required · no public supplier-specific quote</x:v>
      </x:c>
      <x:c r="U4"/>
      <x:c r="V4" t="str">
        <x:v>https://www.api.org/products-and-services/standards/important-standards-announcements/spec5ct-tradepress</x:v>
      </x:c>
      <x:c r="W4" t="str">
        <x:v>API standard grade; check 11th ed and 2026 errata</x:v>
      </x:c>
      <x:c r="X4" t="str">
        <x:v>Standard grade; grade name alone does not imply NACE MR0175 acceptance. M65 is historical / withdrawn.</x:v>
      </x:c>
      <x:c r="Y4" t="str">
        <x:v>2026-10-10</x:v>
      </x:c>
    </x:row>
    <x:row r="5" ht="22" customHeight="1">
      <x:c r="A5" t="str">
        <x:v>OCTG-0004</x:v>
      </x:c>
      <x:c r="B5" t="str">
        <x:v>API reference</x:v>
      </x:c>
      <x:c r="C5" t="str">
        <x:v>Global</x:v>
      </x:c>
      <x:c r="D5" t="str">
        <x:v>J55</x:v>
      </x:c>
      <x:c r="E5" t="str">
        <x:v>API baseline</x:v>
      </x:c>
      <x:c r="F5" t="str">
        <x:v>API 5CT (11th ed + addenda)</x:v>
      </x:c>
      <x:c r="G5" t="str">
        <x:v>Carbon / low alloy</x:v>
      </x:c>
      <x:c r="H5" t="str">
        <x:v>Conventional sweet wells</x:v>
      </x:c>
      <x:c r="I5" t="str">
        <x:v>API 5CT generic casing and tubing (size-specific scope)</x:v>
      </x:c>
      <x:c r="J5" t="str">
        <x:v>Not presumed sour-qualified</x:v>
      </x:c>
      <x:c r="K5" t="str">
        <x:v>Corrosion control may be needed</x:v>
      </x:c>
      <x:c r="L5" t="str">
        <x:v>API / not stated</x:v>
      </x:c>
      <x:c r="M5" t="n">
        <x:v>55</x:v>
      </x:c>
      <x:c r="N5" t="str"/>
      <x:c r="O5" t="str"/>
      <x:c r="P5" t="str"/>
      <x:c r="Q5" t="str">
        <x:v>A · standard carbon</x:v>
      </x:c>
      <x:c r="R5" t="n">
        <x:v>650</x:v>
      </x:c>
      <x:c r="S5" t="n">
        <x:v>800</x:v>
      </x:c>
      <x:c r="T5" t="str">
        <x:v>Published China FOB indicative benchmark (not global mill quote)</x:v>
      </x:c>
      <x:c r="U5"/>
      <x:c r="V5" t="str">
        <x:v>https://www.api.org/products-and-services/standards/important-standards-announcements/spec5ct-tradepress</x:v>
      </x:c>
      <x:c r="W5" t="str">
        <x:v>API standard grade; check 11th ed and 2026 errata</x:v>
      </x:c>
      <x:c r="X5" t="str">
        <x:v>Standard grade; grade name alone does not imply NACE MR0175 acceptance. M65 is historical / withdrawn.</x:v>
      </x:c>
      <x:c r="Y5" t="str">
        <x:v>2026-10-10</x:v>
      </x:c>
    </x:row>
    <x:row r="6" ht="22" customHeight="1">
      <x:c r="A6" t="str">
        <x:v>OCTG-0005</x:v>
      </x:c>
      <x:c r="B6" t="str">
        <x:v>API reference</x:v>
      </x:c>
      <x:c r="C6" t="str">
        <x:v>Global</x:v>
      </x:c>
      <x:c r="D6" t="str">
        <x:v>K55</x:v>
      </x:c>
      <x:c r="E6" t="str">
        <x:v>API baseline</x:v>
      </x:c>
      <x:c r="F6" t="str">
        <x:v>API 5CT (11th ed + addenda)</x:v>
      </x:c>
      <x:c r="G6" t="str">
        <x:v>Carbon / low alloy</x:v>
      </x:c>
      <x:c r="H6" t="str">
        <x:v>Conventional sweet wells; higher UTS than J55</x:v>
      </x:c>
      <x:c r="I6" t="str">
        <x:v>API 5CT generic casing and tubing (size-specific scope)</x:v>
      </x:c>
      <x:c r="J6" t="str">
        <x:v>Not presumed sour-qualified</x:v>
      </x:c>
      <x:c r="K6" t="str">
        <x:v>Corrosion control may be needed</x:v>
      </x:c>
      <x:c r="L6" t="str">
        <x:v>API / not stated</x:v>
      </x:c>
      <x:c r="M6" t="n">
        <x:v>55</x:v>
      </x:c>
      <x:c r="N6" t="str"/>
      <x:c r="O6" t="str"/>
      <x:c r="P6" t="str"/>
      <x:c r="Q6" t="str">
        <x:v>A · standard carbon</x:v>
      </x:c>
      <x:c r="R6" t="n">
        <x:v>680</x:v>
      </x:c>
      <x:c r="S6" t="n">
        <x:v>830</x:v>
      </x:c>
      <x:c r="T6" t="str">
        <x:v>Published China FOB indicative benchmark (not global mill quote)</x:v>
      </x:c>
      <x:c r="U6"/>
      <x:c r="V6" t="str">
        <x:v>https://www.api.org/products-and-services/standards/important-standards-announcements/spec5ct-tradepress</x:v>
      </x:c>
      <x:c r="W6" t="str">
        <x:v>API standard grade; check 11th ed and 2026 errata</x:v>
      </x:c>
      <x:c r="X6" t="str">
        <x:v>Standard grade; grade name alone does not imply NACE MR0175 acceptance. M65 is historical / withdrawn.</x:v>
      </x:c>
      <x:c r="Y6" t="str">
        <x:v>2026-10-10</x:v>
      </x:c>
    </x:row>
    <x:row r="7" ht="22" customHeight="1">
      <x:c r="A7" t="str">
        <x:v>OCTG-0006</x:v>
      </x:c>
      <x:c r="B7" t="str">
        <x:v>API reference</x:v>
      </x:c>
      <x:c r="C7" t="str">
        <x:v>Global</x:v>
      </x:c>
      <x:c r="D7" t="str">
        <x:v>L80 Type 1</x:v>
      </x:c>
      <x:c r="E7" t="str">
        <x:v>API baseline</x:v>
      </x:c>
      <x:c r="F7" t="str">
        <x:v>API 5CT (11th ed + addenda)</x:v>
      </x:c>
      <x:c r="G7" t="str">
        <x:v>Carbon / low alloy</x:v>
      </x:c>
      <x:c r="H7" t="str">
        <x:v>Sour-capable only within ISO 15156 restrictions</x:v>
      </x:c>
      <x:c r="I7" t="str">
        <x:v>API 5CT generic casing and tubing (size-specific scope)</x:v>
      </x:c>
      <x:c r="J7" t="str">
        <x:v>Case-specific NACE MR0175/ISO 15156 qualification</x:v>
      </x:c>
      <x:c r="K7" t="str">
        <x:v>Corrosion control may be needed</x:v>
      </x:c>
      <x:c r="L7" t="str">
        <x:v>API / not stated</x:v>
      </x:c>
      <x:c r="M7" t="n">
        <x:v>80</x:v>
      </x:c>
      <x:c r="N7" t="str"/>
      <x:c r="O7" t="str"/>
      <x:c r="P7" t="str"/>
      <x:c r="Q7" t="str">
        <x:v>A · standard carbon</x:v>
      </x:c>
      <x:c r="R7" t="n">
        <x:v>850</x:v>
      </x:c>
      <x:c r="S7" t="n">
        <x:v>1050</x:v>
      </x:c>
      <x:c r="T7" t="str">
        <x:v>Published China FOB indicative benchmark (not global mill quote)</x:v>
      </x:c>
      <x:c r="U7"/>
      <x:c r="V7" t="str">
        <x:v>https://www.api.org/products-and-services/standards/important-standards-announcements/spec5ct-tradepress</x:v>
      </x:c>
      <x:c r="W7" t="str">
        <x:v>API standard grade; check 11th ed and 2026 errata</x:v>
      </x:c>
      <x:c r="X7" t="str">
        <x:v>Standard grade; grade name alone does not imply NACE MR0175 acceptance. M65 is historical / withdrawn.</x:v>
      </x:c>
      <x:c r="Y7" t="str">
        <x:v>2026-10-10</x:v>
      </x:c>
    </x:row>
    <x:row r="8" ht="22" customHeight="1">
      <x:c r="A8" t="str">
        <x:v>OCTG-0007</x:v>
      </x:c>
      <x:c r="B8" t="str">
        <x:v>API reference</x:v>
      </x:c>
      <x:c r="C8" t="str">
        <x:v>Global</x:v>
      </x:c>
      <x:c r="D8" t="str">
        <x:v>N80 Type 1</x:v>
      </x:c>
      <x:c r="E8" t="str">
        <x:v>API baseline</x:v>
      </x:c>
      <x:c r="F8" t="str">
        <x:v>API 5CT (11th ed + addenda)</x:v>
      </x:c>
      <x:c r="G8" t="str">
        <x:v>Carbon / low alloy</x:v>
      </x:c>
      <x:c r="H8" t="str">
        <x:v>Sweet / higher strength</x:v>
      </x:c>
      <x:c r="I8" t="str">
        <x:v>API 5CT generic casing and tubing (size-specific scope)</x:v>
      </x:c>
      <x:c r="J8" t="str">
        <x:v>Not presumed sour-qualified</x:v>
      </x:c>
      <x:c r="K8" t="str">
        <x:v>Corrosion control may be needed</x:v>
      </x:c>
      <x:c r="L8" t="str">
        <x:v>API / not stated</x:v>
      </x:c>
      <x:c r="M8" t="n">
        <x:v>80</x:v>
      </x:c>
      <x:c r="N8" t="str"/>
      <x:c r="O8" t="str"/>
      <x:c r="P8" t="str"/>
      <x:c r="Q8" t="str">
        <x:v>A · standard carbon</x:v>
      </x:c>
      <x:c r="R8" t="n">
        <x:v>750</x:v>
      </x:c>
      <x:c r="S8" t="n">
        <x:v>920</x:v>
      </x:c>
      <x:c r="T8" t="str">
        <x:v>Published China FOB indicative benchmark (not global mill quote)</x:v>
      </x:c>
      <x:c r="U8"/>
      <x:c r="V8" t="str">
        <x:v>https://www.api.org/products-and-services/standards/important-standards-announcements/spec5ct-tradepress</x:v>
      </x:c>
      <x:c r="W8" t="str">
        <x:v>API standard grade; check 11th ed and 2026 errata</x:v>
      </x:c>
      <x:c r="X8" t="str">
        <x:v>Standard grade; grade name alone does not imply NACE MR0175 acceptance. M65 is historical / withdrawn.</x:v>
      </x:c>
      <x:c r="Y8" t="str">
        <x:v>2026-10-10</x:v>
      </x:c>
    </x:row>
    <x:row r="9" ht="22" customHeight="1">
      <x:c r="A9" t="str">
        <x:v>OCTG-0008</x:v>
      </x:c>
      <x:c r="B9" t="str">
        <x:v>API reference</x:v>
      </x:c>
      <x:c r="C9" t="str">
        <x:v>Global</x:v>
      </x:c>
      <x:c r="D9" t="str">
        <x:v>N80 Type Q</x:v>
      </x:c>
      <x:c r="E9" t="str">
        <x:v>API baseline</x:v>
      </x:c>
      <x:c r="F9" t="str">
        <x:v>API 5CT (11th ed + addenda)</x:v>
      </x:c>
      <x:c r="G9" t="str">
        <x:v>Carbon / low alloy</x:v>
      </x:c>
      <x:c r="H9" t="str">
        <x:v>Sweet / Q&amp;T</x:v>
      </x:c>
      <x:c r="I9" t="str">
        <x:v>API 5CT generic casing and tubing (size-specific scope)</x:v>
      </x:c>
      <x:c r="J9" t="str">
        <x:v>Not presumed sour-qualified</x:v>
      </x:c>
      <x:c r="K9" t="str">
        <x:v>Corrosion control may be needed</x:v>
      </x:c>
      <x:c r="L9" t="str">
        <x:v>API / not stated</x:v>
      </x:c>
      <x:c r="M9" t="n">
        <x:v>80</x:v>
      </x:c>
      <x:c r="N9" t="str"/>
      <x:c r="O9" t="str"/>
      <x:c r="P9" t="str"/>
      <x:c r="Q9" t="str">
        <x:v>A · standard carbon</x:v>
      </x:c>
      <x:c r="R9" t="n">
        <x:v>750</x:v>
      </x:c>
      <x:c r="S9" t="n">
        <x:v>920</x:v>
      </x:c>
      <x:c r="T9" t="str">
        <x:v>Published China FOB indicative benchmark (not global mill quote)</x:v>
      </x:c>
      <x:c r="U9"/>
      <x:c r="V9" t="str">
        <x:v>https://www.api.org/products-and-services/standards/important-standards-announcements/spec5ct-tradepress</x:v>
      </x:c>
      <x:c r="W9" t="str">
        <x:v>API standard grade; check 11th ed and 2026 errata</x:v>
      </x:c>
      <x:c r="X9" t="str">
        <x:v>Standard grade; grade name alone does not imply NACE MR0175 acceptance. M65 is historical / withdrawn.</x:v>
      </x:c>
      <x:c r="Y9" t="str">
        <x:v>2026-10-10</x:v>
      </x:c>
    </x:row>
    <x:row r="10" ht="22" customHeight="1">
      <x:c r="A10" t="str">
        <x:v>OCTG-0009</x:v>
      </x:c>
      <x:c r="B10" t="str">
        <x:v>API reference</x:v>
      </x:c>
      <x:c r="C10" t="str">
        <x:v>Global</x:v>
      </x:c>
      <x:c r="D10" t="str">
        <x:v>P110</x:v>
      </x:c>
      <x:c r="E10" t="str">
        <x:v>API baseline</x:v>
      </x:c>
      <x:c r="F10" t="str">
        <x:v>API 5CT (11th ed + addenda)</x:v>
      </x:c>
      <x:c r="G10" t="str">
        <x:v>Carbon / low alloy</x:v>
      </x:c>
      <x:c r="H10" t="str">
        <x:v>Sweet deep / high strength</x:v>
      </x:c>
      <x:c r="I10" t="str">
        <x:v>API 5CT generic casing and tubing (size-specific scope)</x:v>
      </x:c>
      <x:c r="J10" t="str">
        <x:v>Not presumed sour-qualified</x:v>
      </x:c>
      <x:c r="K10" t="str">
        <x:v>Corrosion control may be needed</x:v>
      </x:c>
      <x:c r="L10" t="str">
        <x:v>API / not stated</x:v>
      </x:c>
      <x:c r="M10" t="n">
        <x:v>110</x:v>
      </x:c>
      <x:c r="N10" t="str"/>
      <x:c r="O10" t="str"/>
      <x:c r="P10" t="str"/>
      <x:c r="Q10" t="str">
        <x:v>A · standard carbon</x:v>
      </x:c>
      <x:c r="R10" t="n">
        <x:v>950</x:v>
      </x:c>
      <x:c r="S10" t="n">
        <x:v>1200</x:v>
      </x:c>
      <x:c r="T10" t="str">
        <x:v>Published China FOB indicative benchmark (not global mill quote)</x:v>
      </x:c>
      <x:c r="U10"/>
      <x:c r="V10" t="str">
        <x:v>https://www.api.org/products-and-services/standards/important-standards-announcements/spec5ct-tradepress</x:v>
      </x:c>
      <x:c r="W10" t="str">
        <x:v>API standard grade; check 11th ed and 2026 errata</x:v>
      </x:c>
      <x:c r="X10" t="str">
        <x:v>Standard grade; grade name alone does not imply NACE MR0175 acceptance. M65 is historical / withdrawn.</x:v>
      </x:c>
      <x:c r="Y10" t="str">
        <x:v>2026-10-10</x:v>
      </x:c>
    </x:row>
    <x:row r="11" ht="22" customHeight="1">
      <x:c r="A11" t="str">
        <x:v>OCTG-0010</x:v>
      </x:c>
      <x:c r="B11" t="str">
        <x:v>API reference</x:v>
      </x:c>
      <x:c r="C11" t="str">
        <x:v>Global</x:v>
      </x:c>
      <x:c r="D11" t="str">
        <x:v>Q125</x:v>
      </x:c>
      <x:c r="E11" t="str">
        <x:v>API baseline</x:v>
      </x:c>
      <x:c r="F11" t="str">
        <x:v>API 5CT (11th ed + addenda)</x:v>
      </x:c>
      <x:c r="G11" t="str">
        <x:v>Carbon / low alloy</x:v>
      </x:c>
      <x:c r="H11" t="str">
        <x:v>Very deep / high mechanical loading</x:v>
      </x:c>
      <x:c r="I11" t="str">
        <x:v>API 5CT generic casing and tubing (size-specific scope)</x:v>
      </x:c>
      <x:c r="J11" t="str">
        <x:v>Not presumed sour-qualified</x:v>
      </x:c>
      <x:c r="K11" t="str">
        <x:v>Corrosion control may be needed</x:v>
      </x:c>
      <x:c r="L11" t="str">
        <x:v>API / not stated</x:v>
      </x:c>
      <x:c r="M11" t="n">
        <x:v>125</x:v>
      </x:c>
      <x:c r="N11" t="str"/>
      <x:c r="O11" t="str"/>
      <x:c r="P11" t="str"/>
      <x:c r="Q11" t="str">
        <x:v>A · standard carbon</x:v>
      </x:c>
      <x:c r="R11"/>
      <x:c r="S11"/>
      <x:c r="T11" t="str">
        <x:v>RFQ required · no public supplier-specific quote</x:v>
      </x:c>
      <x:c r="U11"/>
      <x:c r="V11" t="str">
        <x:v>https://www.api.org/products-and-services/standards/important-standards-announcements/spec5ct-tradepress</x:v>
      </x:c>
      <x:c r="W11" t="str">
        <x:v>API standard grade; check 11th ed and 2026 errata</x:v>
      </x:c>
      <x:c r="X11" t="str">
        <x:v>Standard grade; grade name alone does not imply NACE MR0175 acceptance. M65 is historical / withdrawn.</x:v>
      </x:c>
      <x:c r="Y11" t="str">
        <x:v>2026-10-10</x:v>
      </x:c>
    </x:row>
    <x:row r="12" ht="22" customHeight="1">
      <x:c r="A12" t="str">
        <x:v>OCTG-0011</x:v>
      </x:c>
      <x:c r="B12" t="str">
        <x:v>API reference</x:v>
      </x:c>
      <x:c r="C12" t="str">
        <x:v>Global</x:v>
      </x:c>
      <x:c r="D12" t="str">
        <x:v>R95</x:v>
      </x:c>
      <x:c r="E12" t="str">
        <x:v>API baseline</x:v>
      </x:c>
      <x:c r="F12" t="str">
        <x:v>API 5CT (11th ed + addenda)</x:v>
      </x:c>
      <x:c r="G12" t="str">
        <x:v>Carbon / low alloy</x:v>
      </x:c>
      <x:c r="H12" t="str">
        <x:v>Sweet high strength</x:v>
      </x:c>
      <x:c r="I12" t="str">
        <x:v>API 5CT generic casing and tubing (size-specific scope)</x:v>
      </x:c>
      <x:c r="J12" t="str">
        <x:v>Not presumed sour-qualified</x:v>
      </x:c>
      <x:c r="K12" t="str">
        <x:v>Corrosion control may be needed</x:v>
      </x:c>
      <x:c r="L12" t="str">
        <x:v>API / not stated</x:v>
      </x:c>
      <x:c r="M12" t="n">
        <x:v>95</x:v>
      </x:c>
      <x:c r="N12" t="str"/>
      <x:c r="O12" t="str"/>
      <x:c r="P12" t="str"/>
      <x:c r="Q12" t="str">
        <x:v>A · standard carbon</x:v>
      </x:c>
      <x:c r="R12"/>
      <x:c r="S12"/>
      <x:c r="T12" t="str">
        <x:v>RFQ required · no public supplier-specific quote</x:v>
      </x:c>
      <x:c r="U12"/>
      <x:c r="V12" t="str">
        <x:v>https://www.api.org/products-and-services/standards/important-standards-announcements/spec5ct-tradepress</x:v>
      </x:c>
      <x:c r="W12" t="str">
        <x:v>API standard grade; check 11th ed and 2026 errata</x:v>
      </x:c>
      <x:c r="X12" t="str">
        <x:v>Standard grade; grade name alone does not imply NACE MR0175 acceptance. M65 is historical / withdrawn.</x:v>
      </x:c>
      <x:c r="Y12" t="str">
        <x:v>2026-10-10</x:v>
      </x:c>
    </x:row>
    <x:row r="13" ht="22" customHeight="1">
      <x:c r="A13" t="str">
        <x:v>OCTG-0012</x:v>
      </x:c>
      <x:c r="B13" t="str">
        <x:v>API reference</x:v>
      </x:c>
      <x:c r="C13" t="str">
        <x:v>Global</x:v>
      </x:c>
      <x:c r="D13" t="str">
        <x:v>T95</x:v>
      </x:c>
      <x:c r="E13" t="str">
        <x:v>API baseline</x:v>
      </x:c>
      <x:c r="F13" t="str">
        <x:v>API 5CT (11th ed + addenda)</x:v>
      </x:c>
      <x:c r="G13" t="str">
        <x:v>Carbon / low alloy</x:v>
      </x:c>
      <x:c r="H13" t="str">
        <x:v>Sour service within ISO 15156 limits</x:v>
      </x:c>
      <x:c r="I13" t="str">
        <x:v>API 5CT generic casing and tubing (size-specific scope)</x:v>
      </x:c>
      <x:c r="J13" t="str">
        <x:v>Case-specific NACE MR0175/ISO 15156 qualification</x:v>
      </x:c>
      <x:c r="K13" t="str">
        <x:v>Corrosion control may be needed</x:v>
      </x:c>
      <x:c r="L13" t="str">
        <x:v>API / not stated</x:v>
      </x:c>
      <x:c r="M13" t="n">
        <x:v>95</x:v>
      </x:c>
      <x:c r="N13" t="str"/>
      <x:c r="O13" t="str"/>
      <x:c r="P13" t="str"/>
      <x:c r="Q13" t="str">
        <x:v>A · standard carbon</x:v>
      </x:c>
      <x:c r="R13"/>
      <x:c r="S13"/>
      <x:c r="T13" t="str">
        <x:v>RFQ required · no public supplier-specific quote</x:v>
      </x:c>
      <x:c r="U13"/>
      <x:c r="V13" t="str">
        <x:v>https://www.api.org/products-and-services/standards/important-standards-announcements/spec5ct-tradepress</x:v>
      </x:c>
      <x:c r="W13" t="str">
        <x:v>API standard grade; check 11th ed and 2026 errata</x:v>
      </x:c>
      <x:c r="X13" t="str">
        <x:v>Standard grade; grade name alone does not imply NACE MR0175 acceptance. M65 is historical / withdrawn.</x:v>
      </x:c>
      <x:c r="Y13" t="str">
        <x:v>2026-10-10</x:v>
      </x:c>
    </x:row>
    <x:row r="14" ht="22" customHeight="1">
      <x:c r="A14" t="str">
        <x:v>OCTG-0021</x:v>
      </x:c>
      <x:c r="B14" t="str">
        <x:v>API reference</x:v>
      </x:c>
      <x:c r="C14" t="str">
        <x:v>Global</x:v>
      </x:c>
      <x:c r="D14" t="str">
        <x:v>L80 3Cr</x:v>
      </x:c>
      <x:c r="E14" t="str">
        <x:v>API baseline</x:v>
      </x:c>
      <x:c r="F14" t="str">
        <x:v>API 5CT (11th ed + addenda)</x:v>
      </x:c>
      <x:c r="G14" t="str">
        <x:v>Low-Cr alloy steel</x:v>
      </x:c>
      <x:c r="H14" t="str">
        <x:v>Mild wet CO2 sweet service</x:v>
      </x:c>
      <x:c r="I14" t="str">
        <x:v>API 5CT generic casing and tubing (size-specific scope)</x:v>
      </x:c>
      <x:c r="J14" t="str">
        <x:v>Not presumed sour-qualified</x:v>
      </x:c>
      <x:c r="K14" t="str">
        <x:v>Corrosion control may be needed</x:v>
      </x:c>
      <x:c r="L14" t="str">
        <x:v>API / not stated</x:v>
      </x:c>
      <x:c r="M14" t="n">
        <x:v>80</x:v>
      </x:c>
      <x:c r="N14" t="str"/>
      <x:c r="O14" t="str"/>
      <x:c r="P14" t="str"/>
      <x:c r="Q14" t="str">
        <x:v>B · low-Cr alloy</x:v>
      </x:c>
      <x:c r="R14"/>
      <x:c r="S14"/>
      <x:c r="T14" t="str">
        <x:v>RFQ required · no public supplier-specific quote</x:v>
      </x:c>
      <x:c r="U14"/>
      <x:c r="V14" t="str">
        <x:v>https://www.api.org/products-and-services/standards/important-standards-announcements/spec5ct-tradepress</x:v>
      </x:c>
      <x:c r="W14" t="str">
        <x:v>API standard grade; check 11th ed and 2026 errata</x:v>
      </x:c>
      <x:c r="X14" t="str">
        <x:v>Standard grade; grade name alone does not imply NACE MR0175 acceptance. M65 is historical / withdrawn.</x:v>
      </x:c>
      <x:c r="Y14" t="str">
        <x:v>2026-10-10</x:v>
      </x:c>
    </x:row>
    <x:row r="15" ht="22" customHeight="1">
      <x:c r="A15" t="str">
        <x:v>OCTG-0025</x:v>
      </x:c>
      <x:c r="B15" t="str">
        <x:v>API reference</x:v>
      </x:c>
      <x:c r="C15" t="str">
        <x:v>Global</x:v>
      </x:c>
      <x:c r="D15" t="str">
        <x:v>L80 13Cr</x:v>
      </x:c>
      <x:c r="E15" t="str">
        <x:v>API baseline</x:v>
      </x:c>
      <x:c r="F15" t="str">
        <x:v>API 5CT (11th ed + addenda)</x:v>
      </x:c>
      <x:c r="G15" t="str">
        <x:v>Martensitic 13Cr</x:v>
      </x:c>
      <x:c r="H15" t="str">
        <x:v>Sweet wet CO2 service; chloride/H2S restrictions</x:v>
      </x:c>
      <x:c r="I15" t="str">
        <x:v>API 5CT generic casing and tubing (size-specific scope)</x:v>
      </x:c>
      <x:c r="J15" t="str">
        <x:v>Not presumed sour-qualified</x:v>
      </x:c>
      <x:c r="K15" t="str">
        <x:v>Improved (verify temperature / chloride limits)</x:v>
      </x:c>
      <x:c r="L15" t="str">
        <x:v>API / not stated</x:v>
      </x:c>
      <x:c r="M15" t="n">
        <x:v>80</x:v>
      </x:c>
      <x:c r="N15" t="str"/>
      <x:c r="O15" t="str"/>
      <x:c r="P15" t="str"/>
      <x:c r="Q15" t="str">
        <x:v>D · 13Cr stainless</x:v>
      </x:c>
      <x:c r="R15"/>
      <x:c r="S15"/>
      <x:c r="T15" t="str">
        <x:v>RFQ required · no public supplier-specific quote</x:v>
      </x:c>
      <x:c r="U15"/>
      <x:c r="V15" t="str">
        <x:v>https://www.api.org/products-and-services/standards/important-standards-announcements/spec5ct-tradepress</x:v>
      </x:c>
      <x:c r="W15" t="str">
        <x:v>API standard grade; check 11th ed and 2026 errata</x:v>
      </x:c>
      <x:c r="X15" t="str">
        <x:v>Standard grade; grade name alone does not imply NACE MR0175 acceptance. M65 is historical / withdrawn.</x:v>
      </x:c>
      <x:c r="Y15" t="str">
        <x:v>2026-10-10</x:v>
      </x:c>
    </x:row>
    <x:row r="16" ht="22" customHeight="1">
      <x:c r="A16" t="str">
        <x:v>OCTG-0026</x:v>
      </x:c>
      <x:c r="B16" t="str">
        <x:v>API reference</x:v>
      </x:c>
      <x:c r="C16" t="str">
        <x:v>Global</x:v>
      </x:c>
      <x:c r="D16" t="str">
        <x:v>L80 9Cr</x:v>
      </x:c>
      <x:c r="E16" t="str">
        <x:v>API baseline</x:v>
      </x:c>
      <x:c r="F16" t="str">
        <x:v>API 5CT (11th ed + addenda)</x:v>
      </x:c>
      <x:c r="G16" t="str">
        <x:v>Martensitic 9Cr</x:v>
      </x:c>
      <x:c r="H16" t="str">
        <x:v>Wet CO2 service; H2S limits must be checked</x:v>
      </x:c>
      <x:c r="I16" t="str">
        <x:v>API 5CT generic casing and tubing (size-specific scope)</x:v>
      </x:c>
      <x:c r="J16" t="str">
        <x:v>Not presumed sour-qualified</x:v>
      </x:c>
      <x:c r="K16" t="str">
        <x:v>Improved (verify temperature / chloride limits)</x:v>
      </x:c>
      <x:c r="L16" t="str">
        <x:v>API / not stated</x:v>
      </x:c>
      <x:c r="M16" t="n">
        <x:v>80</x:v>
      </x:c>
      <x:c r="N16" t="str"/>
      <x:c r="O16" t="str"/>
      <x:c r="P16" t="str"/>
      <x:c r="Q16" t="str">
        <x:v>C · 9Cr stainless</x:v>
      </x:c>
      <x:c r="R16"/>
      <x:c r="S16"/>
      <x:c r="T16" t="str">
        <x:v>RFQ required · no public supplier-specific quote</x:v>
      </x:c>
      <x:c r="U16"/>
      <x:c r="V16" t="str">
        <x:v>https://www.api.org/products-and-services/standards/important-standards-announcements/spec5ct-tradepress</x:v>
      </x:c>
      <x:c r="W16" t="str">
        <x:v>API standard grade; check 11th ed and 2026 errata</x:v>
      </x:c>
      <x:c r="X16" t="str">
        <x:v>Standard grade; grade name alone does not imply NACE MR0175 acceptance. M65 is historical / withdrawn.</x:v>
      </x:c>
      <x:c r="Y16" t="str">
        <x:v>2026-10-10</x:v>
      </x:c>
    </x:row>
  </x:sheetData>
  <x:pageMargins left="0.7" right="0.7" top="0.75" bottom="0.75" header="0.3" footer="0.3"/>
  <x:tableParts count="1">
    <x:tablePart xmlns:r="http://schemas.openxmlformats.org/officeDocument/2006/relationships" r:id="Reb3a953599a64a6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3" hidden="0" customWidth="1"/>
    <x:col min="4" max="4" width="30" hidden="0" customWidth="1"/>
    <x:col min="5" max="5" width="23" hidden="0" customWidth="1"/>
    <x:col min="6" max="6" width="32" hidden="0" customWidth="1"/>
    <x:col min="7" max="7" width="24" hidden="0" customWidth="1"/>
    <x:col min="8" max="8" width="54" hidden="0" customWidth="1"/>
    <x:col min="9" max="9" width="34" hidden="0" customWidth="1"/>
    <x:col min="10" max="10" width="32" hidden="0" customWidth="1"/>
    <x:col min="11" max="11" width="35" hidden="0" customWidth="1"/>
    <x:col min="12" max="12" width="23" hidden="0" customWidth="1"/>
    <x:col min="13" max="13" width="13" hidden="0" customWidth="1"/>
    <x:col min="14" max="14" width="16" hidden="0" customWidth="1"/>
    <x:col min="15" max="15" width="13" hidden="0" customWidth="1"/>
    <x:col min="16" max="16" width="17" hidden="0" customWidth="1"/>
    <x:col min="17" max="17" width="28" hidden="0" customWidth="1"/>
    <x:col min="18" max="18" width="18" hidden="0" customWidth="1"/>
    <x:col min="19" max="19" width="18" hidden="0" customWidth="1"/>
    <x:col min="20" max="20" width="48" hidden="0" customWidth="1"/>
    <x:col min="21" max="21" width="18" hidden="0" customWidth="1"/>
    <x:col min="22" max="22" width="62" hidden="0" customWidth="1"/>
    <x:col min="23" max="23" width="36" hidden="0" customWidth="1"/>
    <x:col min="24" max="24" width="55" hidden="0" customWidth="1"/>
    <x:col min="25" max="25" width="17" hidden="0" customWidth="1"/>
  </x:cols>
  <x:sheetData>
    <x:row r="1" ht="38" customHeight="1">
      <x:c r="A1" s="5" t="str">
        <x:v>ID</x:v>
      </x:c>
      <x:c r="B1" s="5" t="str">
        <x:v>Supplier</x:v>
      </x:c>
      <x:c r="C1" s="5" t="str">
        <x:v>Region</x:v>
      </x:c>
      <x:c r="D1" s="5" t="str">
        <x:v>Grade</x:v>
      </x:c>
      <x:c r="E1" s="5" t="str">
        <x:v>Listing type</x:v>
      </x:c>
      <x:c r="F1" s="5" t="str">
        <x:v>Standard context</x:v>
      </x:c>
      <x:c r="G1" s="5" t="str">
        <x:v>Material family</x:v>
      </x:c>
      <x:c r="H1" s="5" t="str">
        <x:v>Service / use</x:v>
      </x:c>
      <x:c r="I1" s="5" t="str">
        <x:v>Typical application</x:v>
      </x:c>
      <x:c r="J1" s="5" t="str">
        <x:v>H2S suitability</x:v>
      </x:c>
      <x:c r="K1" s="5" t="str">
        <x:v>CO2 corrosion</x:v>
      </x:c>
      <x:c r="L1" s="5" t="str">
        <x:v>High collapse</x:v>
      </x:c>
      <x:c r="M1" s="5" t="str">
        <x:v>SMYS ksi</x:v>
      </x:c>
      <x:c r="N1" s="5" t="str">
        <x:v>UNS</x:v>
      </x:c>
      <x:c r="O1" s="5" t="str">
        <x:v>5CRA Group</x:v>
      </x:c>
      <x:c r="P1" s="5" t="str">
        <x:v>5CRA Category</x:v>
      </x:c>
      <x:c r="Q1" s="5" t="str">
        <x:v>Relative cost tier</x:v>
      </x:c>
      <x:c r="R1" s="5" t="str">
        <x:v>Price low USD/t</x:v>
      </x:c>
      <x:c r="S1" s="5" t="str">
        <x:v>Price high USD/t</x:v>
      </x:c>
      <x:c r="T1" s="5" t="str">
        <x:v>Price evidence</x:v>
      </x:c>
      <x:c r="U1" s="5" t="str">
        <x:v>Vendor quote USD/t</x:v>
      </x:c>
      <x:c r="V1" s="5" t="str">
        <x:v>Source URL</x:v>
      </x:c>
      <x:c r="W1" s="5" t="str">
        <x:v>Source status</x:v>
      </x:c>
      <x:c r="X1" s="5" t="str">
        <x:v>Technical notes</x:v>
      </x:c>
      <x:c r="Y1" s="5" t="str">
        <x:v>Reviewed</x:v>
      </x:c>
    </x:row>
    <x:row r="2" ht="22" customHeight="1">
      <x:c r="A2" t="str">
        <x:v>OCTG-0013</x:v>
      </x:c>
      <x:c r="B2" t="str">
        <x:v>API reference</x:v>
      </x:c>
      <x:c r="C2" t="str">
        <x:v>Global</x:v>
      </x:c>
      <x:c r="D2" t="str">
        <x:v>22-5-3 / S31803 / 110</x:v>
      </x:c>
      <x:c r="E2" t="str">
        <x:v>API CRA category/grade</x:v>
      </x:c>
      <x:c r="F2" t="str">
        <x:v>API 5CRA group/category, PSL2 LIF (2023)</x:v>
      </x:c>
      <x:c r="G2" t="str">
        <x:v>Duplex 22Cr</x:v>
      </x:c>
      <x:c r="H2" t="str">
        <x:v>CO2 / chloride, project-qualified sour</x:v>
      </x:c>
      <x:c r="I2" t="str">
        <x:v>CRA OCTG seamless pipe / coupling stock subject to API scope</x:v>
      </x:c>
      <x:c r="J2" t="str">
        <x:v>Qualification per ISO 15156-3 / NACE MR0175 required</x:v>
      </x:c>
      <x:c r="K2" t="str">
        <x:v>Improved (verify temperature / chloride limits)</x:v>
      </x:c>
      <x:c r="L2" t="str">
        <x:v>API / not stated</x:v>
      </x:c>
      <x:c r="M2" t="n">
        <x:v>110</x:v>
      </x:c>
      <x:c r="N2" t="str">
        <x:v>S31803</x:v>
      </x:c>
      <x:c r="O2" t="str">
        <x:v>2</x:v>
      </x:c>
      <x:c r="P2" t="str">
        <x:v>22-5-3</x:v>
      </x:c>
      <x:c r="Q2" t="str">
        <x:v>F · duplex CRA</x:v>
      </x:c>
      <x:c r="R2"/>
      <x:c r="S2"/>
      <x:c r="T2" t="str">
        <x:v>RFQ required · no public supplier-specific quote</x:v>
      </x:c>
      <x:c r="U2"/>
      <x:c r="V2" t="str">
        <x:v>https://www.api.org/-/media/Files/Certification/Monogram-APIQR/0_API-Monogram-APIQR/LIFs/API_5CRA_Licensing_Information_Form_20230821.pdf</x:v>
      </x:c>
      <x:c r="W2" t="str">
        <x:v>Mapped against API 2023 LIF; verify API 5CRA 3rd ed (2025)</x:v>
      </x:c>
      <x:c r="X2" t="str">
        <x:v>API licensing form dated 2023; eligible category/UNS/strength combinations may differ in API 5CRA 3rd edition (2025). PSL 2 rows are NOT a purchase qualification certificate.</x:v>
      </x:c>
      <x:c r="Y2" t="str">
        <x:v>2026-10-10</x:v>
      </x:c>
    </x:row>
    <x:row r="3" ht="22" customHeight="1">
      <x:c r="A3" t="str">
        <x:v>OCTG-0014</x:v>
      </x:c>
      <x:c r="B3" t="str">
        <x:v>API reference</x:v>
      </x:c>
      <x:c r="C3" t="str">
        <x:v>Global</x:v>
      </x:c>
      <x:c r="D3" t="str">
        <x:v>22-5-3 / S31803 / 125</x:v>
      </x:c>
      <x:c r="E3" t="str">
        <x:v>API CRA category/grade</x:v>
      </x:c>
      <x:c r="F3" t="str">
        <x:v>API 5CRA group/category, PSL2 LIF (2023)</x:v>
      </x:c>
      <x:c r="G3" t="str">
        <x:v>Duplex 22Cr</x:v>
      </x:c>
      <x:c r="H3" t="str">
        <x:v>CO2 / chloride, project-qualified sour</x:v>
      </x:c>
      <x:c r="I3" t="str">
        <x:v>CRA OCTG seamless pipe / coupling stock subject to API scope</x:v>
      </x:c>
      <x:c r="J3" t="str">
        <x:v>Qualification per ISO 15156-3 / NACE MR0175 required</x:v>
      </x:c>
      <x:c r="K3" t="str">
        <x:v>Improved (verify temperature / chloride limits)</x:v>
      </x:c>
      <x:c r="L3" t="str">
        <x:v>API / not stated</x:v>
      </x:c>
      <x:c r="M3" t="n">
        <x:v>125</x:v>
      </x:c>
      <x:c r="N3" t="str">
        <x:v>S31803</x:v>
      </x:c>
      <x:c r="O3" t="str">
        <x:v>2</x:v>
      </x:c>
      <x:c r="P3" t="str">
        <x:v>22-5-3</x:v>
      </x:c>
      <x:c r="Q3" t="str">
        <x:v>F · duplex CRA</x:v>
      </x:c>
      <x:c r="R3"/>
      <x:c r="S3"/>
      <x:c r="T3" t="str">
        <x:v>RFQ required · no public supplier-specific quote</x:v>
      </x:c>
      <x:c r="U3"/>
      <x:c r="V3" t="str">
        <x:v>https://www.api.org/-/media/Files/Certification/Monogram-APIQR/0_API-Monogram-APIQR/LIFs/API_5CRA_Licensing_Information_Form_20230821.pdf</x:v>
      </x:c>
      <x:c r="W3" t="str">
        <x:v>Mapped against API 2023 LIF; verify API 5CRA 3rd ed (2025)</x:v>
      </x:c>
      <x:c r="X3" t="str">
        <x:v>API licensing form dated 2023; eligible category/UNS/strength combinations may differ in API 5CRA 3rd edition (2025). PSL 2 rows are NOT a purchase qualification certificate.</x:v>
      </x:c>
      <x:c r="Y3" t="str">
        <x:v>2026-10-10</x:v>
      </x:c>
    </x:row>
    <x:row r="4" ht="22" customHeight="1">
      <x:c r="A4" t="str">
        <x:v>OCTG-0015</x:v>
      </x:c>
      <x:c r="B4" t="str">
        <x:v>API reference</x:v>
      </x:c>
      <x:c r="C4" t="str">
        <x:v>Global</x:v>
      </x:c>
      <x:c r="D4" t="str">
        <x:v>22-5-3 / S31803 / 65</x:v>
      </x:c>
      <x:c r="E4" t="str">
        <x:v>API CRA category/grade</x:v>
      </x:c>
      <x:c r="F4" t="str">
        <x:v>API 5CRA group/category, PSL2 LIF (2023)</x:v>
      </x:c>
      <x:c r="G4" t="str">
        <x:v>Duplex 22Cr</x:v>
      </x:c>
      <x:c r="H4" t="str">
        <x:v>CO2 / chloride, project-qualified sour</x:v>
      </x:c>
      <x:c r="I4" t="str">
        <x:v>CRA OCTG seamless pipe / coupling stock subject to API scope</x:v>
      </x:c>
      <x:c r="J4" t="str">
        <x:v>Qualification per ISO 15156-3 / NACE MR0175 required</x:v>
      </x:c>
      <x:c r="K4" t="str">
        <x:v>Improved (verify temperature / chloride limits)</x:v>
      </x:c>
      <x:c r="L4" t="str">
        <x:v>API / not stated</x:v>
      </x:c>
      <x:c r="M4" t="n">
        <x:v>65</x:v>
      </x:c>
      <x:c r="N4" t="str">
        <x:v>S31803</x:v>
      </x:c>
      <x:c r="O4" t="str">
        <x:v>2</x:v>
      </x:c>
      <x:c r="P4" t="str">
        <x:v>22-5-3</x:v>
      </x:c>
      <x:c r="Q4" t="str">
        <x:v>F · duplex CRA</x:v>
      </x:c>
      <x:c r="R4"/>
      <x:c r="S4"/>
      <x:c r="T4" t="str">
        <x:v>RFQ required · no public supplier-specific quote</x:v>
      </x:c>
      <x:c r="U4"/>
      <x:c r="V4" t="str">
        <x:v>https://www.api.org/-/media/Files/Certification/Monogram-APIQR/0_API-Monogram-APIQR/LIFs/API_5CRA_Licensing_Information_Form_20230821.pdf</x:v>
      </x:c>
      <x:c r="W4" t="str">
        <x:v>Mapped against API 2023 LIF; verify API 5CRA 3rd ed (2025)</x:v>
      </x:c>
      <x:c r="X4" t="str">
        <x:v>API licensing form dated 2023; eligible category/UNS/strength combinations may differ in API 5CRA 3rd edition (2025). PSL 2 rows are NOT a purchase qualification certificate.</x:v>
      </x:c>
      <x:c r="Y4" t="str">
        <x:v>2026-10-10</x:v>
      </x:c>
    </x:row>
    <x:row r="5" ht="22" customHeight="1">
      <x:c r="A5" t="str">
        <x:v>OCTG-0016</x:v>
      </x:c>
      <x:c r="B5" t="str">
        <x:v>API reference</x:v>
      </x:c>
      <x:c r="C5" t="str">
        <x:v>Global</x:v>
      </x:c>
      <x:c r="D5" t="str">
        <x:v>22-35-4 / N08135 / 110</x:v>
      </x:c>
      <x:c r="E5" t="str">
        <x:v>API CRA category/grade</x:v>
      </x:c>
      <x:c r="F5" t="str">
        <x:v>API 5CRA group/category, PSL2 LIF (2023)</x:v>
      </x:c>
      <x:c r="G5" t="str">
        <x:v>Fe-base austenitic CRA</x:v>
      </x:c>
      <x:c r="H5" t="str">
        <x:v>Critical CO2 / H2S / chloride (qualify)</x:v>
      </x:c>
      <x:c r="I5" t="str">
        <x:v>CRA OCTG seamless pipe / coupling stock subject to API scope</x:v>
      </x:c>
      <x:c r="J5" t="str">
        <x:v>Qualification per ISO 15156-3 / NACE MR0175 required</x:v>
      </x:c>
      <x:c r="K5" t="str">
        <x:v>Improved (verify temperature / chloride limits)</x:v>
      </x:c>
      <x:c r="L5" t="str">
        <x:v>API / not stated</x:v>
      </x:c>
      <x:c r="M5" t="n">
        <x:v>110</x:v>
      </x:c>
      <x:c r="N5" t="str">
        <x:v>N08135</x:v>
      </x:c>
      <x:c r="O5" t="str">
        <x:v>3</x:v>
      </x:c>
      <x:c r="P5" t="str">
        <x:v>22-35-4</x:v>
      </x:c>
      <x:c r="Q5" t="str">
        <x:v>H · high-Ni Fe-base CRA</x:v>
      </x:c>
      <x:c r="R5"/>
      <x:c r="S5"/>
      <x:c r="T5" t="str">
        <x:v>RFQ required · no public supplier-specific quote</x:v>
      </x:c>
      <x:c r="U5"/>
      <x:c r="V5" t="str">
        <x:v>https://www.api.org/-/media/Files/Certification/Monogram-APIQR/0_API-Monogram-APIQR/LIFs/API_5CRA_Licensing_Information_Form_20230821.pdf</x:v>
      </x:c>
      <x:c r="W5" t="str">
        <x:v>Mapped against API 2023 LIF; verify API 5CRA 3rd ed (2025)</x:v>
      </x:c>
      <x:c r="X5" t="str">
        <x:v>API licensing form dated 2023; eligible category/UNS/strength combinations may differ in API 5CRA 3rd edition (2025). PSL 2 rows are NOT a purchase qualification certificate.</x:v>
      </x:c>
      <x:c r="Y5" t="str">
        <x:v>2026-10-10</x:v>
      </x:c>
    </x:row>
    <x:row r="6" ht="22" customHeight="1">
      <x:c r="A6" t="str">
        <x:v>OCTG-0017</x:v>
      </x:c>
      <x:c r="B6" t="str">
        <x:v>API reference</x:v>
      </x:c>
      <x:c r="C6" t="str">
        <x:v>Global</x:v>
      </x:c>
      <x:c r="D6" t="str">
        <x:v>25-32-3 / N08535 / 110</x:v>
      </x:c>
      <x:c r="E6" t="str">
        <x:v>API CRA category/grade</x:v>
      </x:c>
      <x:c r="F6" t="str">
        <x:v>API 5CRA group/category, PSL2 LIF (2023)</x:v>
      </x:c>
      <x:c r="G6" t="str">
        <x:v>Fe-base austenitic CRA</x:v>
      </x:c>
      <x:c r="H6" t="str">
        <x:v>Critical CO2 / H2S / chloride (qualify)</x:v>
      </x:c>
      <x:c r="I6" t="str">
        <x:v>CRA OCTG seamless pipe / coupling stock subject to API scope</x:v>
      </x:c>
      <x:c r="J6" t="str">
        <x:v>Qualification per ISO 15156-3 / NACE MR0175 required</x:v>
      </x:c>
      <x:c r="K6" t="str">
        <x:v>Improved (verify temperature / chloride limits)</x:v>
      </x:c>
      <x:c r="L6" t="str">
        <x:v>API / not stated</x:v>
      </x:c>
      <x:c r="M6" t="n">
        <x:v>110</x:v>
      </x:c>
      <x:c r="N6" t="str">
        <x:v>N08535</x:v>
      </x:c>
      <x:c r="O6" t="str">
        <x:v>3</x:v>
      </x:c>
      <x:c r="P6" t="str">
        <x:v>25-32-3</x:v>
      </x:c>
      <x:c r="Q6" t="str">
        <x:v>H · high-Ni Fe-base CRA</x:v>
      </x:c>
      <x:c r="R6"/>
      <x:c r="S6"/>
      <x:c r="T6" t="str">
        <x:v>RFQ required · no public supplier-specific quote</x:v>
      </x:c>
      <x:c r="U6"/>
      <x:c r="V6" t="str">
        <x:v>https://www.api.org/-/media/Files/Certification/Monogram-APIQR/0_API-Monogram-APIQR/LIFs/API_5CRA_Licensing_Information_Form_20230821.pdf</x:v>
      </x:c>
      <x:c r="W6" t="str">
        <x:v>Mapped against API 2023 LIF; verify API 5CRA 3rd ed (2025)</x:v>
      </x:c>
      <x:c r="X6" t="str">
        <x:v>API licensing form dated 2023; eligible category/UNS/strength combinations may differ in API 5CRA 3rd edition (2025). PSL 2 rows are NOT a purchase qualification certificate.</x:v>
      </x:c>
      <x:c r="Y6" t="str">
        <x:v>2026-10-10</x:v>
      </x:c>
    </x:row>
    <x:row r="7" ht="22" customHeight="1">
      <x:c r="A7" t="str">
        <x:v>OCTG-0018</x:v>
      </x:c>
      <x:c r="B7" t="str">
        <x:v>API reference</x:v>
      </x:c>
      <x:c r="C7" t="str">
        <x:v>Global</x:v>
      </x:c>
      <x:c r="D7" t="str">
        <x:v>25-32-3 / N08535 / 125</x:v>
      </x:c>
      <x:c r="E7" t="str">
        <x:v>API CRA category/grade</x:v>
      </x:c>
      <x:c r="F7" t="str">
        <x:v>API 5CRA group/category, PSL2 LIF (2023)</x:v>
      </x:c>
      <x:c r="G7" t="str">
        <x:v>Fe-base austenitic CRA</x:v>
      </x:c>
      <x:c r="H7" t="str">
        <x:v>Critical CO2 / H2S / chloride (qualify)</x:v>
      </x:c>
      <x:c r="I7" t="str">
        <x:v>CRA OCTG seamless pipe / coupling stock subject to API scope</x:v>
      </x:c>
      <x:c r="J7" t="str">
        <x:v>Qualification per ISO 15156-3 / NACE MR0175 required</x:v>
      </x:c>
      <x:c r="K7" t="str">
        <x:v>Improved (verify temperature / chloride limits)</x:v>
      </x:c>
      <x:c r="L7" t="str">
        <x:v>API / not stated</x:v>
      </x:c>
      <x:c r="M7" t="n">
        <x:v>125</x:v>
      </x:c>
      <x:c r="N7" t="str">
        <x:v>N08535</x:v>
      </x:c>
      <x:c r="O7" t="str">
        <x:v>3</x:v>
      </x:c>
      <x:c r="P7" t="str">
        <x:v>25-32-3</x:v>
      </x:c>
      <x:c r="Q7" t="str">
        <x:v>H · high-Ni Fe-base CRA</x:v>
      </x:c>
      <x:c r="R7"/>
      <x:c r="S7"/>
      <x:c r="T7" t="str">
        <x:v>RFQ required · no public supplier-specific quote</x:v>
      </x:c>
      <x:c r="U7"/>
      <x:c r="V7" t="str">
        <x:v>https://www.api.org/-/media/Files/Certification/Monogram-APIQR/0_API-Monogram-APIQR/LIFs/API_5CRA_Licensing_Information_Form_20230821.pdf</x:v>
      </x:c>
      <x:c r="W7" t="str">
        <x:v>Mapped against API 2023 LIF; verify API 5CRA 3rd ed (2025)</x:v>
      </x:c>
      <x:c r="X7" t="str">
        <x:v>API licensing form dated 2023; eligible category/UNS/strength combinations may differ in API 5CRA 3rd edition (2025). PSL 2 rows are NOT a purchase qualification certificate.</x:v>
      </x:c>
      <x:c r="Y7" t="str">
        <x:v>2026-10-10</x:v>
      </x:c>
    </x:row>
    <x:row r="8" ht="22" customHeight="1">
      <x:c r="A8" t="str">
        <x:v>OCTG-0019</x:v>
      </x:c>
      <x:c r="B8" t="str">
        <x:v>API reference</x:v>
      </x:c>
      <x:c r="C8" t="str">
        <x:v>Global</x:v>
      </x:c>
      <x:c r="D8" t="str">
        <x:v>27-31-4 / N08028 / 110</x:v>
      </x:c>
      <x:c r="E8" t="str">
        <x:v>API CRA category/grade</x:v>
      </x:c>
      <x:c r="F8" t="str">
        <x:v>API 5CRA group/category, PSL2 LIF (2023)</x:v>
      </x:c>
      <x:c r="G8" t="str">
        <x:v>Fe-base austenitic CRA</x:v>
      </x:c>
      <x:c r="H8" t="str">
        <x:v>Critical CO2 / H2S / chloride (qualify)</x:v>
      </x:c>
      <x:c r="I8" t="str">
        <x:v>CRA OCTG seamless pipe / coupling stock subject to API scope</x:v>
      </x:c>
      <x:c r="J8" t="str">
        <x:v>Qualification per ISO 15156-3 / NACE MR0175 required</x:v>
      </x:c>
      <x:c r="K8" t="str">
        <x:v>Improved (verify temperature / chloride limits)</x:v>
      </x:c>
      <x:c r="L8" t="str">
        <x:v>API / not stated</x:v>
      </x:c>
      <x:c r="M8" t="n">
        <x:v>110</x:v>
      </x:c>
      <x:c r="N8" t="str">
        <x:v>N08028</x:v>
      </x:c>
      <x:c r="O8" t="str">
        <x:v>3</x:v>
      </x:c>
      <x:c r="P8" t="str">
        <x:v>27-31-4</x:v>
      </x:c>
      <x:c r="Q8" t="str">
        <x:v>H · high-Ni Fe-base CRA</x:v>
      </x:c>
      <x:c r="R8"/>
      <x:c r="S8"/>
      <x:c r="T8" t="str">
        <x:v>RFQ required · no public supplier-specific quote</x:v>
      </x:c>
      <x:c r="U8"/>
      <x:c r="V8" t="str">
        <x:v>https://www.api.org/-/media/Files/Certification/Monogram-APIQR/0_API-Monogram-APIQR/LIFs/API_5CRA_Licensing_Information_Form_20230821.pdf</x:v>
      </x:c>
      <x:c r="W8" t="str">
        <x:v>Mapped against API 2023 LIF; verify API 5CRA 3rd ed (2025)</x:v>
      </x:c>
      <x:c r="X8" t="str">
        <x:v>API licensing form dated 2023; eligible category/UNS/strength combinations may differ in API 5CRA 3rd edition (2025). PSL 2 rows are NOT a purchase qualification certificate.</x:v>
      </x:c>
      <x:c r="Y8" t="str">
        <x:v>2026-10-10</x:v>
      </x:c>
    </x:row>
    <x:row r="9" ht="22" customHeight="1">
      <x:c r="A9" t="str">
        <x:v>OCTG-0020</x:v>
      </x:c>
      <x:c r="B9" t="str">
        <x:v>API reference</x:v>
      </x:c>
      <x:c r="C9" t="str">
        <x:v>Global</x:v>
      </x:c>
      <x:c r="D9" t="str">
        <x:v>27-31-4 / N08028 / 125</x:v>
      </x:c>
      <x:c r="E9" t="str">
        <x:v>API CRA category/grade</x:v>
      </x:c>
      <x:c r="F9" t="str">
        <x:v>API 5CRA group/category, PSL2 LIF (2023)</x:v>
      </x:c>
      <x:c r="G9" t="str">
        <x:v>Fe-base austenitic CRA</x:v>
      </x:c>
      <x:c r="H9" t="str">
        <x:v>Critical CO2 / H2S / chloride (qualify)</x:v>
      </x:c>
      <x:c r="I9" t="str">
        <x:v>CRA OCTG seamless pipe / coupling stock subject to API scope</x:v>
      </x:c>
      <x:c r="J9" t="str">
        <x:v>Qualification per ISO 15156-3 / NACE MR0175 required</x:v>
      </x:c>
      <x:c r="K9" t="str">
        <x:v>Improved (verify temperature / chloride limits)</x:v>
      </x:c>
      <x:c r="L9" t="str">
        <x:v>API / not stated</x:v>
      </x:c>
      <x:c r="M9" t="n">
        <x:v>125</x:v>
      </x:c>
      <x:c r="N9" t="str">
        <x:v>N08028</x:v>
      </x:c>
      <x:c r="O9" t="str">
        <x:v>3</x:v>
      </x:c>
      <x:c r="P9" t="str">
        <x:v>27-31-4</x:v>
      </x:c>
      <x:c r="Q9" t="str">
        <x:v>H · high-Ni Fe-base CRA</x:v>
      </x:c>
      <x:c r="R9"/>
      <x:c r="S9"/>
      <x:c r="T9" t="str">
        <x:v>RFQ required · no public supplier-specific quote</x:v>
      </x:c>
      <x:c r="U9"/>
      <x:c r="V9" t="str">
        <x:v>https://www.api.org/-/media/Files/Certification/Monogram-APIQR/0_API-Monogram-APIQR/LIFs/API_5CRA_Licensing_Information_Form_20230821.pdf</x:v>
      </x:c>
      <x:c r="W9" t="str">
        <x:v>Mapped against API 2023 LIF; verify API 5CRA 3rd ed (2025)</x:v>
      </x:c>
      <x:c r="X9" t="str">
        <x:v>API licensing form dated 2023; eligible category/UNS/strength combinations may differ in API 5CRA 3rd edition (2025). PSL 2 rows are NOT a purchase qualification certificate.</x:v>
      </x:c>
      <x:c r="Y9" t="str">
        <x:v>2026-10-10</x:v>
      </x:c>
    </x:row>
    <x:row r="10" ht="22" customHeight="1">
      <x:c r="A10" t="str">
        <x:v>OCTG-0022</x:v>
      </x:c>
      <x:c r="B10" t="str">
        <x:v>API reference</x:v>
      </x:c>
      <x:c r="C10" t="str">
        <x:v>Global</x:v>
      </x:c>
      <x:c r="D10" t="str">
        <x:v>13-1-0 / 110 (PSL1)</x:v>
      </x:c>
      <x:c r="E10" t="str">
        <x:v>API CRA category/grade</x:v>
      </x:c>
      <x:c r="F10" t="str">
        <x:v>API 5CRA PSL1 LIF category (2023)</x:v>
      </x:c>
      <x:c r="G10" t="str">
        <x:v>Martensitic 13Cr</x:v>
      </x:c>
      <x:c r="H10" t="str">
        <x:v>Sweet wet CO2</x:v>
      </x:c>
      <x:c r="I10" t="str">
        <x:v>CRA seamless pipes; validate edition</x:v>
      </x:c>
      <x:c r="J10" t="str">
        <x:v>Not established by grade name</x:v>
      </x:c>
      <x:c r="K10" t="str">
        <x:v>Improved (verify temperature / chloride limits)</x:v>
      </x:c>
      <x:c r="L10" t="str">
        <x:v>API / not stated</x:v>
      </x:c>
      <x:c r="M10" t="n">
        <x:v>110</x:v>
      </x:c>
      <x:c r="N10" t="str"/>
      <x:c r="O10" t="str">
        <x:v>1</x:v>
      </x:c>
      <x:c r="P10" t="str">
        <x:v>13-1-0</x:v>
      </x:c>
      <x:c r="Q10" t="str">
        <x:v>D · 13Cr stainless</x:v>
      </x:c>
      <x:c r="R10"/>
      <x:c r="S10"/>
      <x:c r="T10" t="str">
        <x:v>RFQ required · no public supplier-specific quote</x:v>
      </x:c>
      <x:c r="U10"/>
      <x:c r="V10" t="str">
        <x:v>https://www.api.org/-/media/Files/Certification/Monogram-APIQR/0_API-Monogram-APIQR/LIFs/API_5CRA_Licensing_Information_Form_20230821.pdf</x:v>
      </x:c>
      <x:c r="W10" t="str">
        <x:v>Category listed 2023 LIF; check API 2025 edition</x:v>
      </x:c>
      <x:c r="X10" t="str">
        <x:v>API licensing form dated 2023; eligible category/UNS/strength combinations may differ in API 5CRA 3rd edition (2025). PSL 2 rows are NOT a purchase qualification certificate.</x:v>
      </x:c>
      <x:c r="Y10" t="str">
        <x:v>2026-10-10</x:v>
      </x:c>
    </x:row>
    <x:row r="11" ht="22" customHeight="1">
      <x:c r="A11" t="str">
        <x:v>OCTG-0023</x:v>
      </x:c>
      <x:c r="B11" t="str">
        <x:v>API reference</x:v>
      </x:c>
      <x:c r="C11" t="str">
        <x:v>Global</x:v>
      </x:c>
      <x:c r="D11" t="str">
        <x:v>13-1-0 / 80 (PSL1)</x:v>
      </x:c>
      <x:c r="E11" t="str">
        <x:v>API CRA category/grade</x:v>
      </x:c>
      <x:c r="F11" t="str">
        <x:v>API 5CRA PSL1 LIF category (2023)</x:v>
      </x:c>
      <x:c r="G11" t="str">
        <x:v>Martensitic 13Cr</x:v>
      </x:c>
      <x:c r="H11" t="str">
        <x:v>Sweet wet CO2</x:v>
      </x:c>
      <x:c r="I11" t="str">
        <x:v>CRA seamless pipes; validate edition</x:v>
      </x:c>
      <x:c r="J11" t="str">
        <x:v>Not established by grade name</x:v>
      </x:c>
      <x:c r="K11" t="str">
        <x:v>Improved (verify temperature / chloride limits)</x:v>
      </x:c>
      <x:c r="L11" t="str">
        <x:v>API / not stated</x:v>
      </x:c>
      <x:c r="M11" t="n">
        <x:v>80</x:v>
      </x:c>
      <x:c r="N11" t="str"/>
      <x:c r="O11" t="str">
        <x:v>1</x:v>
      </x:c>
      <x:c r="P11" t="str">
        <x:v>13-1-0</x:v>
      </x:c>
      <x:c r="Q11" t="str">
        <x:v>D · 13Cr stainless</x:v>
      </x:c>
      <x:c r="R11"/>
      <x:c r="S11"/>
      <x:c r="T11" t="str">
        <x:v>RFQ required · no public supplier-specific quote</x:v>
      </x:c>
      <x:c r="U11"/>
      <x:c r="V11" t="str">
        <x:v>https://www.api.org/-/media/Files/Certification/Monogram-APIQR/0_API-Monogram-APIQR/LIFs/API_5CRA_Licensing_Information_Form_20230821.pdf</x:v>
      </x:c>
      <x:c r="W11" t="str">
        <x:v>Category listed 2023 LIF; check API 2025 edition</x:v>
      </x:c>
      <x:c r="X11" t="str">
        <x:v>API licensing form dated 2023; eligible category/UNS/strength combinations may differ in API 5CRA 3rd edition (2025). PSL 2 rows are NOT a purchase qualification certificate.</x:v>
      </x:c>
      <x:c r="Y11" t="str">
        <x:v>2026-10-10</x:v>
      </x:c>
    </x:row>
    <x:row r="12" ht="22" customHeight="1">
      <x:c r="A12" t="str">
        <x:v>OCTG-0024</x:v>
      </x:c>
      <x:c r="B12" t="str">
        <x:v>API reference</x:v>
      </x:c>
      <x:c r="C12" t="str">
        <x:v>Global</x:v>
      </x:c>
      <x:c r="D12" t="str">
        <x:v>13-1-0 / 95 (PSL1)</x:v>
      </x:c>
      <x:c r="E12" t="str">
        <x:v>API CRA category/grade</x:v>
      </x:c>
      <x:c r="F12" t="str">
        <x:v>API 5CRA PSL1 LIF category (2023)</x:v>
      </x:c>
      <x:c r="G12" t="str">
        <x:v>Martensitic 13Cr</x:v>
      </x:c>
      <x:c r="H12" t="str">
        <x:v>Sweet wet CO2</x:v>
      </x:c>
      <x:c r="I12" t="str">
        <x:v>CRA seamless pipes; validate edition</x:v>
      </x:c>
      <x:c r="J12" t="str">
        <x:v>Not established by grade name</x:v>
      </x:c>
      <x:c r="K12" t="str">
        <x:v>Improved (verify temperature / chloride limits)</x:v>
      </x:c>
      <x:c r="L12" t="str">
        <x:v>API / not stated</x:v>
      </x:c>
      <x:c r="M12" t="n">
        <x:v>95</x:v>
      </x:c>
      <x:c r="N12" t="str"/>
      <x:c r="O12" t="str">
        <x:v>1</x:v>
      </x:c>
      <x:c r="P12" t="str">
        <x:v>13-1-0</x:v>
      </x:c>
      <x:c r="Q12" t="str">
        <x:v>D · 13Cr stainless</x:v>
      </x:c>
      <x:c r="R12"/>
      <x:c r="S12"/>
      <x:c r="T12" t="str">
        <x:v>RFQ required · no public supplier-specific quote</x:v>
      </x:c>
      <x:c r="U12"/>
      <x:c r="V12" t="str">
        <x:v>https://www.api.org/-/media/Files/Certification/Monogram-APIQR/0_API-Monogram-APIQR/LIFs/API_5CRA_Licensing_Information_Form_20230821.pdf</x:v>
      </x:c>
      <x:c r="W12" t="str">
        <x:v>Category listed 2023 LIF; check API 2025 edition</x:v>
      </x:c>
      <x:c r="X12" t="str">
        <x:v>API licensing form dated 2023; eligible category/UNS/strength combinations may differ in API 5CRA 3rd edition (2025). PSL 2 rows are NOT a purchase qualification certificate.</x:v>
      </x:c>
      <x:c r="Y12" t="str">
        <x:v>2026-10-10</x:v>
      </x:c>
    </x:row>
    <x:row r="13" ht="22" customHeight="1">
      <x:c r="A13" t="str">
        <x:v>OCTG-0027</x:v>
      </x:c>
      <x:c r="B13" t="str">
        <x:v>API reference</x:v>
      </x:c>
      <x:c r="C13" t="str">
        <x:v>Global</x:v>
      </x:c>
      <x:c r="D13" t="str">
        <x:v>13-5-2 / S41426 / 80</x:v>
      </x:c>
      <x:c r="E13" t="str">
        <x:v>API CRA category/grade</x:v>
      </x:c>
      <x:c r="F13" t="str">
        <x:v>API 5CRA group/category, PSL2 LIF (2023)</x:v>
      </x:c>
      <x:c r="G13" t="str">
        <x:v>Modified / super 13Cr</x:v>
      </x:c>
      <x:c r="H13" t="str">
        <x:v>Limited-H2S CO2 service</x:v>
      </x:c>
      <x:c r="I13" t="str">
        <x:v>CRA OCTG seamless pipe / coupling stock subject to API scope</x:v>
      </x:c>
      <x:c r="J13" t="str">
        <x:v>Qualification per ISO 15156-3 / NACE MR0175 required</x:v>
      </x:c>
      <x:c r="K13" t="str">
        <x:v>Improved (verify temperature / chloride limits)</x:v>
      </x:c>
      <x:c r="L13" t="str">
        <x:v>API / not stated</x:v>
      </x:c>
      <x:c r="M13" t="n">
        <x:v>80</x:v>
      </x:c>
      <x:c r="N13" t="str">
        <x:v>S41426</x:v>
      </x:c>
      <x:c r="O13" t="str">
        <x:v>1</x:v>
      </x:c>
      <x:c r="P13" t="str">
        <x:v>13-5-2</x:v>
      </x:c>
      <x:c r="Q13" t="str">
        <x:v>E · modified/S13Cr</x:v>
      </x:c>
      <x:c r="R13"/>
      <x:c r="S13"/>
      <x:c r="T13" t="str">
        <x:v>RFQ required · no public supplier-specific quote</x:v>
      </x:c>
      <x:c r="U13"/>
      <x:c r="V13" t="str">
        <x:v>https://www.api.org/-/media/Files/Certification/Monogram-APIQR/0_API-Monogram-APIQR/LIFs/API_5CRA_Licensing_Information_Form_20230821.pdf</x:v>
      </x:c>
      <x:c r="W13" t="str">
        <x:v>Mapped against API 2023 LIF; verify API 5CRA 3rd ed (2025)</x:v>
      </x:c>
      <x:c r="X13" t="str">
        <x:v>API licensing form dated 2023; eligible category/UNS/strength combinations may differ in API 5CRA 3rd edition (2025). PSL 2 rows are NOT a purchase qualification certificate.</x:v>
      </x:c>
      <x:c r="Y13" t="str">
        <x:v>2026-10-10</x:v>
      </x:c>
    </x:row>
    <x:row r="14" ht="22" customHeight="1">
      <x:c r="A14" t="str">
        <x:v>OCTG-0028</x:v>
      </x:c>
      <x:c r="B14" t="str">
        <x:v>API reference</x:v>
      </x:c>
      <x:c r="C14" t="str">
        <x:v>Global</x:v>
      </x:c>
      <x:c r="D14" t="str">
        <x:v>13-5-2 / S41426 / 95</x:v>
      </x:c>
      <x:c r="E14" t="str">
        <x:v>API CRA category/grade</x:v>
      </x:c>
      <x:c r="F14" t="str">
        <x:v>API 5CRA group/category, PSL2 LIF (2023)</x:v>
      </x:c>
      <x:c r="G14" t="str">
        <x:v>Modified / super 13Cr</x:v>
      </x:c>
      <x:c r="H14" t="str">
        <x:v>Limited-H2S CO2 service</x:v>
      </x:c>
      <x:c r="I14" t="str">
        <x:v>CRA OCTG seamless pipe / coupling stock subject to API scope</x:v>
      </x:c>
      <x:c r="J14" t="str">
        <x:v>Qualification per ISO 15156-3 / NACE MR0175 required</x:v>
      </x:c>
      <x:c r="K14" t="str">
        <x:v>Improved (verify temperature / chloride limits)</x:v>
      </x:c>
      <x:c r="L14" t="str">
        <x:v>API / not stated</x:v>
      </x:c>
      <x:c r="M14" t="n">
        <x:v>95</x:v>
      </x:c>
      <x:c r="N14" t="str">
        <x:v>S41426</x:v>
      </x:c>
      <x:c r="O14" t="str">
        <x:v>1</x:v>
      </x:c>
      <x:c r="P14" t="str">
        <x:v>13-5-2</x:v>
      </x:c>
      <x:c r="Q14" t="str">
        <x:v>E · modified/S13Cr</x:v>
      </x:c>
      <x:c r="R14"/>
      <x:c r="S14"/>
      <x:c r="T14" t="str">
        <x:v>RFQ required · no public supplier-specific quote</x:v>
      </x:c>
      <x:c r="U14"/>
      <x:c r="V14" t="str">
        <x:v>https://www.api.org/-/media/Files/Certification/Monogram-APIQR/0_API-Monogram-APIQR/LIFs/API_5CRA_Licensing_Information_Form_20230821.pdf</x:v>
      </x:c>
      <x:c r="W14" t="str">
        <x:v>Mapped against API 2023 LIF; verify API 5CRA 3rd ed (2025)</x:v>
      </x:c>
      <x:c r="X14" t="str">
        <x:v>API licensing form dated 2023; eligible category/UNS/strength combinations may differ in API 5CRA 3rd edition (2025). PSL 2 rows are NOT a purchase qualification certificate.</x:v>
      </x:c>
      <x:c r="Y14" t="str">
        <x:v>2026-10-10</x:v>
      </x:c>
    </x:row>
    <x:row r="15" ht="22" customHeight="1">
      <x:c r="A15" t="str">
        <x:v>OCTG-0029</x:v>
      </x:c>
      <x:c r="B15" t="str">
        <x:v>API reference</x:v>
      </x:c>
      <x:c r="C15" t="str">
        <x:v>Global</x:v>
      </x:c>
      <x:c r="D15" t="str">
        <x:v>15-60-16 / N10276 / 110</x:v>
      </x:c>
      <x:c r="E15" t="str">
        <x:v>API CRA category/grade</x:v>
      </x:c>
      <x:c r="F15" t="str">
        <x:v>API 5CRA group/category, PSL2 LIF (2023)</x:v>
      </x:c>
      <x:c r="G15" t="str">
        <x:v>Ni-base CRA</x:v>
      </x:c>
      <x:c r="H15" t="str">
        <x:v>Extreme corrosion / highly alloyed Ni-Cr-Mo (qualify)</x:v>
      </x:c>
      <x:c r="I15" t="str">
        <x:v>CRA OCTG seamless pipe / coupling stock subject to API scope</x:v>
      </x:c>
      <x:c r="J15" t="str">
        <x:v>Qualification per ISO 15156-3 / NACE MR0175 required</x:v>
      </x:c>
      <x:c r="K15" t="str">
        <x:v>Improved (verify temperature / chloride limits)</x:v>
      </x:c>
      <x:c r="L15" t="str">
        <x:v>API / not stated</x:v>
      </x:c>
      <x:c r="M15" t="n">
        <x:v>110</x:v>
      </x:c>
      <x:c r="N15" t="str">
        <x:v>N10276</x:v>
      </x:c>
      <x:c r="O15" t="str">
        <x:v>4</x:v>
      </x:c>
      <x:c r="P15" t="str">
        <x:v>15-60-16</x:v>
      </x:c>
      <x:c r="Q15" t="str">
        <x:v>I · nickel-base CRA</x:v>
      </x:c>
      <x:c r="R15"/>
      <x:c r="S15"/>
      <x:c r="T15" t="str">
        <x:v>RFQ required · no public supplier-specific quote</x:v>
      </x:c>
      <x:c r="U15"/>
      <x:c r="V15" t="str">
        <x:v>https://www.api.org/-/media/Files/Certification/Monogram-APIQR/0_API-Monogram-APIQR/LIFs/API_5CRA_Licensing_Information_Form_20230821.pdf</x:v>
      </x:c>
      <x:c r="W15" t="str">
        <x:v>Mapped against API 2023 LIF; verify API 5CRA 3rd ed (2025)</x:v>
      </x:c>
      <x:c r="X15" t="str">
        <x:v>API licensing form dated 2023; eligible category/UNS/strength combinations may differ in API 5CRA 3rd edition (2025). PSL 2 rows are NOT a purchase qualification certificate.</x:v>
      </x:c>
      <x:c r="Y15" t="str">
        <x:v>2026-10-10</x:v>
      </x:c>
    </x:row>
    <x:row r="16" ht="22" customHeight="1">
      <x:c r="A16" t="str">
        <x:v>OCTG-0030</x:v>
      </x:c>
      <x:c r="B16" t="str">
        <x:v>API reference</x:v>
      </x:c>
      <x:c r="C16" t="str">
        <x:v>Global</x:v>
      </x:c>
      <x:c r="D16" t="str">
        <x:v>15-60-16 / N10276 / 125</x:v>
      </x:c>
      <x:c r="E16" t="str">
        <x:v>API CRA category/grade</x:v>
      </x:c>
      <x:c r="F16" t="str">
        <x:v>API 5CRA group/category, PSL2 LIF (2023)</x:v>
      </x:c>
      <x:c r="G16" t="str">
        <x:v>Ni-base CRA</x:v>
      </x:c>
      <x:c r="H16" t="str">
        <x:v>Extreme corrosion / highly alloyed Ni-Cr-Mo (qualify)</x:v>
      </x:c>
      <x:c r="I16" t="str">
        <x:v>CRA OCTG seamless pipe / coupling stock subject to API scope</x:v>
      </x:c>
      <x:c r="J16" t="str">
        <x:v>Qualification per ISO 15156-3 / NACE MR0175 required</x:v>
      </x:c>
      <x:c r="K16" t="str">
        <x:v>Improved (verify temperature / chloride limits)</x:v>
      </x:c>
      <x:c r="L16" t="str">
        <x:v>API / not stated</x:v>
      </x:c>
      <x:c r="M16" t="n">
        <x:v>125</x:v>
      </x:c>
      <x:c r="N16" t="str">
        <x:v>N10276</x:v>
      </x:c>
      <x:c r="O16" t="str">
        <x:v>4</x:v>
      </x:c>
      <x:c r="P16" t="str">
        <x:v>15-60-16</x:v>
      </x:c>
      <x:c r="Q16" t="str">
        <x:v>I · nickel-base CRA</x:v>
      </x:c>
      <x:c r="R16"/>
      <x:c r="S16"/>
      <x:c r="T16" t="str">
        <x:v>RFQ required · no public supplier-specific quote</x:v>
      </x:c>
      <x:c r="U16"/>
      <x:c r="V16" t="str">
        <x:v>https://www.api.org/-/media/Files/Certification/Monogram-APIQR/0_API-Monogram-APIQR/LIFs/API_5CRA_Licensing_Information_Form_20230821.pdf</x:v>
      </x:c>
      <x:c r="W16" t="str">
        <x:v>Mapped against API 2023 LIF; verify API 5CRA 3rd ed (2025)</x:v>
      </x:c>
      <x:c r="X16" t="str">
        <x:v>API licensing form dated 2023; eligible category/UNS/strength combinations may differ in API 5CRA 3rd edition (2025). PSL 2 rows are NOT a purchase qualification certificate.</x:v>
      </x:c>
      <x:c r="Y16" t="str">
        <x:v>2026-10-10</x:v>
      </x:c>
    </x:row>
    <x:row r="17" ht="22" customHeight="1">
      <x:c r="A17" t="str">
        <x:v>OCTG-0031</x:v>
      </x:c>
      <x:c r="B17" t="str">
        <x:v>API reference</x:v>
      </x:c>
      <x:c r="C17" t="str">
        <x:v>Global</x:v>
      </x:c>
      <x:c r="D17" t="str">
        <x:v>15-60-16 / N10276 / 140</x:v>
      </x:c>
      <x:c r="E17" t="str">
        <x:v>API CRA category/grade</x:v>
      </x:c>
      <x:c r="F17" t="str">
        <x:v>API 5CRA group/category, PSL2 LIF (2023)</x:v>
      </x:c>
      <x:c r="G17" t="str">
        <x:v>Ni-base CRA</x:v>
      </x:c>
      <x:c r="H17" t="str">
        <x:v>Extreme corrosion / highly alloyed Ni-Cr-Mo (qualify)</x:v>
      </x:c>
      <x:c r="I17" t="str">
        <x:v>CRA OCTG seamless pipe / coupling stock subject to API scope</x:v>
      </x:c>
      <x:c r="J17" t="str">
        <x:v>Qualification per ISO 15156-3 / NACE MR0175 required</x:v>
      </x:c>
      <x:c r="K17" t="str">
        <x:v>Improved (verify temperature / chloride limits)</x:v>
      </x:c>
      <x:c r="L17" t="str">
        <x:v>API / not stated</x:v>
      </x:c>
      <x:c r="M17" t="n">
        <x:v>140</x:v>
      </x:c>
      <x:c r="N17" t="str">
        <x:v>N10276</x:v>
      </x:c>
      <x:c r="O17" t="str">
        <x:v>4</x:v>
      </x:c>
      <x:c r="P17" t="str">
        <x:v>15-60-16</x:v>
      </x:c>
      <x:c r="Q17" t="str">
        <x:v>I · nickel-base CRA</x:v>
      </x:c>
      <x:c r="R17"/>
      <x:c r="S17"/>
      <x:c r="T17" t="str">
        <x:v>RFQ required · no public supplier-specific quote</x:v>
      </x:c>
      <x:c r="U17"/>
      <x:c r="V17" t="str">
        <x:v>https://www.api.org/-/media/Files/Certification/Monogram-APIQR/0_API-Monogram-APIQR/LIFs/API_5CRA_Licensing_Information_Form_20230821.pdf</x:v>
      </x:c>
      <x:c r="W17" t="str">
        <x:v>Mapped against API 2023 LIF; verify API 5CRA 3rd ed (2025)</x:v>
      </x:c>
      <x:c r="X17" t="str">
        <x:v>API licensing form dated 2023; eligible category/UNS/strength combinations may differ in API 5CRA 3rd edition (2025). PSL 2 rows are NOT a purchase qualification certificate.</x:v>
      </x:c>
      <x:c r="Y17" t="str">
        <x:v>2026-10-10</x:v>
      </x:c>
    </x:row>
    <x:row r="18" ht="22" customHeight="1">
      <x:c r="A18" t="str">
        <x:v>OCTG-0032</x:v>
      </x:c>
      <x:c r="B18" t="str">
        <x:v>API reference</x:v>
      </x:c>
      <x:c r="C18" t="str">
        <x:v>Global</x:v>
      </x:c>
      <x:c r="D18" t="str">
        <x:v>20-54-9 / N06950 / 110</x:v>
      </x:c>
      <x:c r="E18" t="str">
        <x:v>API CRA category/grade</x:v>
      </x:c>
      <x:c r="F18" t="str">
        <x:v>API 5CRA group/category, PSL2 LIF (2023)</x:v>
      </x:c>
      <x:c r="G18" t="str">
        <x:v>Ni-base CRA</x:v>
      </x:c>
      <x:c r="H18" t="str">
        <x:v>Severe CO2 / H2S / chloride (qualify)</x:v>
      </x:c>
      <x:c r="I18" t="str">
        <x:v>CRA OCTG seamless pipe / coupling stock subject to API scope</x:v>
      </x:c>
      <x:c r="J18" t="str">
        <x:v>Qualification per ISO 15156-3 / NACE MR0175 required</x:v>
      </x:c>
      <x:c r="K18" t="str">
        <x:v>Improved (verify temperature / chloride limits)</x:v>
      </x:c>
      <x:c r="L18" t="str">
        <x:v>API / not stated</x:v>
      </x:c>
      <x:c r="M18" t="n">
        <x:v>110</x:v>
      </x:c>
      <x:c r="N18" t="str">
        <x:v>N06950</x:v>
      </x:c>
      <x:c r="O18" t="str">
        <x:v>4</x:v>
      </x:c>
      <x:c r="P18" t="str">
        <x:v>20-54-9</x:v>
      </x:c>
      <x:c r="Q18" t="str">
        <x:v>I · nickel-base CRA</x:v>
      </x:c>
      <x:c r="R18"/>
      <x:c r="S18"/>
      <x:c r="T18" t="str">
        <x:v>RFQ required · no public supplier-specific quote</x:v>
      </x:c>
      <x:c r="U18"/>
      <x:c r="V18" t="str">
        <x:v>https://www.api.org/-/media/Files/Certification/Monogram-APIQR/0_API-Monogram-APIQR/LIFs/API_5CRA_Licensing_Information_Form_20230821.pdf</x:v>
      </x:c>
      <x:c r="W18" t="str">
        <x:v>Mapped against API 2023 LIF; verify API 5CRA 3rd ed (2025)</x:v>
      </x:c>
      <x:c r="X18" t="str">
        <x:v>API licensing form dated 2023; eligible category/UNS/strength combinations may differ in API 5CRA 3rd edition (2025). PSL 2 rows are NOT a purchase qualification certificate.</x:v>
      </x:c>
      <x:c r="Y18" t="str">
        <x:v>2026-10-10</x:v>
      </x:c>
    </x:row>
    <x:row r="19" ht="22" customHeight="1">
      <x:c r="A19" t="str">
        <x:v>OCTG-0033</x:v>
      </x:c>
      <x:c r="B19" t="str">
        <x:v>API reference</x:v>
      </x:c>
      <x:c r="C19" t="str">
        <x:v>Global</x:v>
      </x:c>
      <x:c r="D19" t="str">
        <x:v>20-54-9 / N06950 / 125</x:v>
      </x:c>
      <x:c r="E19" t="str">
        <x:v>API CRA category/grade</x:v>
      </x:c>
      <x:c r="F19" t="str">
        <x:v>API 5CRA group/category, PSL2 LIF (2023)</x:v>
      </x:c>
      <x:c r="G19" t="str">
        <x:v>Ni-base CRA</x:v>
      </x:c>
      <x:c r="H19" t="str">
        <x:v>Severe CO2 / H2S / chloride (qualify)</x:v>
      </x:c>
      <x:c r="I19" t="str">
        <x:v>CRA OCTG seamless pipe / coupling stock subject to API scope</x:v>
      </x:c>
      <x:c r="J19" t="str">
        <x:v>Qualification per ISO 15156-3 / NACE MR0175 required</x:v>
      </x:c>
      <x:c r="K19" t="str">
        <x:v>Improved (verify temperature / chloride limits)</x:v>
      </x:c>
      <x:c r="L19" t="str">
        <x:v>API / not stated</x:v>
      </x:c>
      <x:c r="M19" t="n">
        <x:v>125</x:v>
      </x:c>
      <x:c r="N19" t="str">
        <x:v>N06950</x:v>
      </x:c>
      <x:c r="O19" t="str">
        <x:v>4</x:v>
      </x:c>
      <x:c r="P19" t="str">
        <x:v>20-54-9</x:v>
      </x:c>
      <x:c r="Q19" t="str">
        <x:v>I · nickel-base CRA</x:v>
      </x:c>
      <x:c r="R19"/>
      <x:c r="S19"/>
      <x:c r="T19" t="str">
        <x:v>RFQ required · no public supplier-specific quote</x:v>
      </x:c>
      <x:c r="U19"/>
      <x:c r="V19" t="str">
        <x:v>https://www.api.org/-/media/Files/Certification/Monogram-APIQR/0_API-Monogram-APIQR/LIFs/API_5CRA_Licensing_Information_Form_20230821.pdf</x:v>
      </x:c>
      <x:c r="W19" t="str">
        <x:v>Mapped against API 2023 LIF; verify API 5CRA 3rd ed (2025)</x:v>
      </x:c>
      <x:c r="X19" t="str">
        <x:v>API licensing form dated 2023; eligible category/UNS/strength combinations may differ in API 5CRA 3rd edition (2025). PSL 2 rows are NOT a purchase qualification certificate.</x:v>
      </x:c>
      <x:c r="Y19" t="str">
        <x:v>2026-10-10</x:v>
      </x:c>
    </x:row>
    <x:row r="20" ht="22" customHeight="1">
      <x:c r="A20" t="str">
        <x:v>OCTG-0034</x:v>
      </x:c>
      <x:c r="B20" t="str">
        <x:v>API reference</x:v>
      </x:c>
      <x:c r="C20" t="str">
        <x:v>Global</x:v>
      </x:c>
      <x:c r="D20" t="str">
        <x:v>21-42-3 / N08825 / 110</x:v>
      </x:c>
      <x:c r="E20" t="str">
        <x:v>API CRA category/grade</x:v>
      </x:c>
      <x:c r="F20" t="str">
        <x:v>API 5CRA group/category, PSL2 LIF (2023)</x:v>
      </x:c>
      <x:c r="G20" t="str">
        <x:v>Ni-base CRA</x:v>
      </x:c>
      <x:c r="H20" t="str">
        <x:v>Severe CO2 / H2S / chloride (qualify)</x:v>
      </x:c>
      <x:c r="I20" t="str">
        <x:v>CRA OCTG seamless pipe / coupling stock subject to API scope</x:v>
      </x:c>
      <x:c r="J20" t="str">
        <x:v>Qualification per ISO 15156-3 / NACE MR0175 required</x:v>
      </x:c>
      <x:c r="K20" t="str">
        <x:v>Improved (verify temperature / chloride limits)</x:v>
      </x:c>
      <x:c r="L20" t="str">
        <x:v>API / not stated</x:v>
      </x:c>
      <x:c r="M20" t="n">
        <x:v>110</x:v>
      </x:c>
      <x:c r="N20" t="str">
        <x:v>N08825</x:v>
      </x:c>
      <x:c r="O20" t="str">
        <x:v>4</x:v>
      </x:c>
      <x:c r="P20" t="str">
        <x:v>21-42-3</x:v>
      </x:c>
      <x:c r="Q20" t="str">
        <x:v>I · nickel-base CRA</x:v>
      </x:c>
      <x:c r="R20"/>
      <x:c r="S20"/>
      <x:c r="T20" t="str">
        <x:v>RFQ required · no public supplier-specific quote</x:v>
      </x:c>
      <x:c r="U20"/>
      <x:c r="V20" t="str">
        <x:v>https://www.api.org/-/media/Files/Certification/Monogram-APIQR/0_API-Monogram-APIQR/LIFs/API_5CRA_Licensing_Information_Form_20230821.pdf</x:v>
      </x:c>
      <x:c r="W20" t="str">
        <x:v>Mapped against API 2023 LIF; verify API 5CRA 3rd ed (2025)</x:v>
      </x:c>
      <x:c r="X20" t="str">
        <x:v>API licensing form dated 2023; eligible category/UNS/strength combinations may differ in API 5CRA 3rd edition (2025). PSL 2 rows are NOT a purchase qualification certificate.</x:v>
      </x:c>
      <x:c r="Y20" t="str">
        <x:v>2026-10-10</x:v>
      </x:c>
    </x:row>
    <x:row r="21" ht="22" customHeight="1">
      <x:c r="A21" t="str">
        <x:v>OCTG-0035</x:v>
      </x:c>
      <x:c r="B21" t="str">
        <x:v>API reference</x:v>
      </x:c>
      <x:c r="C21" t="str">
        <x:v>Global</x:v>
      </x:c>
      <x:c r="D21" t="str">
        <x:v>21-42-3 / N08825 / 125</x:v>
      </x:c>
      <x:c r="E21" t="str">
        <x:v>API CRA category/grade</x:v>
      </x:c>
      <x:c r="F21" t="str">
        <x:v>API 5CRA group/category, PSL2 LIF (2023)</x:v>
      </x:c>
      <x:c r="G21" t="str">
        <x:v>Ni-base CRA</x:v>
      </x:c>
      <x:c r="H21" t="str">
        <x:v>Severe CO2 / H2S / chloride (qualify)</x:v>
      </x:c>
      <x:c r="I21" t="str">
        <x:v>CRA OCTG seamless pipe / coupling stock subject to API scope</x:v>
      </x:c>
      <x:c r="J21" t="str">
        <x:v>Qualification per ISO 15156-3 / NACE MR0175 required</x:v>
      </x:c>
      <x:c r="K21" t="str">
        <x:v>Improved (verify temperature / chloride limits)</x:v>
      </x:c>
      <x:c r="L21" t="str">
        <x:v>API / not stated</x:v>
      </x:c>
      <x:c r="M21" t="n">
        <x:v>125</x:v>
      </x:c>
      <x:c r="N21" t="str">
        <x:v>N08825</x:v>
      </x:c>
      <x:c r="O21" t="str">
        <x:v>4</x:v>
      </x:c>
      <x:c r="P21" t="str">
        <x:v>21-42-3</x:v>
      </x:c>
      <x:c r="Q21" t="str">
        <x:v>I · nickel-base CRA</x:v>
      </x:c>
      <x:c r="R21"/>
      <x:c r="S21"/>
      <x:c r="T21" t="str">
        <x:v>RFQ required · no public supplier-specific quote</x:v>
      </x:c>
      <x:c r="U21"/>
      <x:c r="V21" t="str">
        <x:v>https://www.api.org/-/media/Files/Certification/Monogram-APIQR/0_API-Monogram-APIQR/LIFs/API_5CRA_Licensing_Information_Form_20230821.pdf</x:v>
      </x:c>
      <x:c r="W21" t="str">
        <x:v>Mapped against API 2023 LIF; verify API 5CRA 3rd ed (2025)</x:v>
      </x:c>
      <x:c r="X21" t="str">
        <x:v>API licensing form dated 2023; eligible category/UNS/strength combinations may differ in API 5CRA 3rd edition (2025). PSL 2 rows are NOT a purchase qualification certificate.</x:v>
      </x:c>
      <x:c r="Y21" t="str">
        <x:v>2026-10-10</x:v>
      </x:c>
    </x:row>
    <x:row r="22" ht="22" customHeight="1">
      <x:c r="A22" t="str">
        <x:v>OCTG-0036</x:v>
      </x:c>
      <x:c r="B22" t="str">
        <x:v>API reference</x:v>
      </x:c>
      <x:c r="C22" t="str">
        <x:v>Global</x:v>
      </x:c>
      <x:c r="D22" t="str">
        <x:v>22-50-7 / N06985 / 110</x:v>
      </x:c>
      <x:c r="E22" t="str">
        <x:v>API CRA category/grade</x:v>
      </x:c>
      <x:c r="F22" t="str">
        <x:v>API 5CRA group/category, PSL2 LIF (2023)</x:v>
      </x:c>
      <x:c r="G22" t="str">
        <x:v>Ni-base CRA</x:v>
      </x:c>
      <x:c r="H22" t="str">
        <x:v>Severe CO2 / H2S / chloride (qualify)</x:v>
      </x:c>
      <x:c r="I22" t="str">
        <x:v>CRA OCTG seamless pipe / coupling stock subject to API scope</x:v>
      </x:c>
      <x:c r="J22" t="str">
        <x:v>Qualification per ISO 15156-3 / NACE MR0175 required</x:v>
      </x:c>
      <x:c r="K22" t="str">
        <x:v>Improved (verify temperature / chloride limits)</x:v>
      </x:c>
      <x:c r="L22" t="str">
        <x:v>API / not stated</x:v>
      </x:c>
      <x:c r="M22" t="n">
        <x:v>110</x:v>
      </x:c>
      <x:c r="N22" t="str">
        <x:v>N06985</x:v>
      </x:c>
      <x:c r="O22" t="str">
        <x:v>4</x:v>
      </x:c>
      <x:c r="P22" t="str">
        <x:v>22-50-7</x:v>
      </x:c>
      <x:c r="Q22" t="str">
        <x:v>I · nickel-base CRA</x:v>
      </x:c>
      <x:c r="R22"/>
      <x:c r="S22"/>
      <x:c r="T22" t="str">
        <x:v>RFQ required · no public supplier-specific quote</x:v>
      </x:c>
      <x:c r="U22"/>
      <x:c r="V22" t="str">
        <x:v>https://www.api.org/-/media/Files/Certification/Monogram-APIQR/0_API-Monogram-APIQR/LIFs/API_5CRA_Licensing_Information_Form_20230821.pdf</x:v>
      </x:c>
      <x:c r="W22" t="str">
        <x:v>Mapped against API 2023 LIF; verify API 5CRA 3rd ed (2025)</x:v>
      </x:c>
      <x:c r="X22" t="str">
        <x:v>API licensing form dated 2023; eligible category/UNS/strength combinations may differ in API 5CRA 3rd edition (2025). PSL 2 rows are NOT a purchase qualification certificate.</x:v>
      </x:c>
      <x:c r="Y22" t="str">
        <x:v>2026-10-10</x:v>
      </x:c>
    </x:row>
    <x:row r="23" ht="22" customHeight="1">
      <x:c r="A23" t="str">
        <x:v>OCTG-0037</x:v>
      </x:c>
      <x:c r="B23" t="str">
        <x:v>API reference</x:v>
      </x:c>
      <x:c r="C23" t="str">
        <x:v>Global</x:v>
      </x:c>
      <x:c r="D23" t="str">
        <x:v>22-50-7 / N06985 / 125</x:v>
      </x:c>
      <x:c r="E23" t="str">
        <x:v>API CRA category/grade</x:v>
      </x:c>
      <x:c r="F23" t="str">
        <x:v>API 5CRA group/category, PSL2 LIF (2023)</x:v>
      </x:c>
      <x:c r="G23" t="str">
        <x:v>Ni-base CRA</x:v>
      </x:c>
      <x:c r="H23" t="str">
        <x:v>Severe CO2 / H2S / chloride (qualify)</x:v>
      </x:c>
      <x:c r="I23" t="str">
        <x:v>CRA OCTG seamless pipe / coupling stock subject to API scope</x:v>
      </x:c>
      <x:c r="J23" t="str">
        <x:v>Qualification per ISO 15156-3 / NACE MR0175 required</x:v>
      </x:c>
      <x:c r="K23" t="str">
        <x:v>Improved (verify temperature / chloride limits)</x:v>
      </x:c>
      <x:c r="L23" t="str">
        <x:v>API / not stated</x:v>
      </x:c>
      <x:c r="M23" t="n">
        <x:v>125</x:v>
      </x:c>
      <x:c r="N23" t="str">
        <x:v>N06985</x:v>
      </x:c>
      <x:c r="O23" t="str">
        <x:v>4</x:v>
      </x:c>
      <x:c r="P23" t="str">
        <x:v>22-50-7</x:v>
      </x:c>
      <x:c r="Q23" t="str">
        <x:v>I · nickel-base CRA</x:v>
      </x:c>
      <x:c r="R23"/>
      <x:c r="S23"/>
      <x:c r="T23" t="str">
        <x:v>RFQ required · no public supplier-specific quote</x:v>
      </x:c>
      <x:c r="U23"/>
      <x:c r="V23" t="str">
        <x:v>https://www.api.org/-/media/Files/Certification/Monogram-APIQR/0_API-Monogram-APIQR/LIFs/API_5CRA_Licensing_Information_Form_20230821.pdf</x:v>
      </x:c>
      <x:c r="W23" t="str">
        <x:v>Mapped against API 2023 LIF; verify API 5CRA 3rd ed (2025)</x:v>
      </x:c>
      <x:c r="X23" t="str">
        <x:v>API licensing form dated 2023; eligible category/UNS/strength combinations may differ in API 5CRA 3rd edition (2025). PSL 2 rows are NOT a purchase qualification certificate.</x:v>
      </x:c>
      <x:c r="Y23" t="str">
        <x:v>2026-10-10</x:v>
      </x:c>
    </x:row>
    <x:row r="24" ht="22" customHeight="1">
      <x:c r="A24" t="str">
        <x:v>OCTG-0038</x:v>
      </x:c>
      <x:c r="B24" t="str">
        <x:v>API reference</x:v>
      </x:c>
      <x:c r="C24" t="str">
        <x:v>Global</x:v>
      </x:c>
      <x:c r="D24" t="str">
        <x:v>22-52-11 / 110 (PSL1)</x:v>
      </x:c>
      <x:c r="E24" t="str">
        <x:v>API CRA category/grade</x:v>
      </x:c>
      <x:c r="F24" t="str">
        <x:v>API 5CRA PSL1 LIF category (2023)</x:v>
      </x:c>
      <x:c r="G24" t="str">
        <x:v>Ni-base CRA</x:v>
      </x:c>
      <x:c r="H24" t="str">
        <x:v>Highly corrosive mixed gases</x:v>
      </x:c>
      <x:c r="I24" t="str">
        <x:v>CRA seamless pipes; validate edition</x:v>
      </x:c>
      <x:c r="J24" t="str">
        <x:v>Not established by grade name</x:v>
      </x:c>
      <x:c r="K24" t="str">
        <x:v>Improved (verify temperature / chloride limits)</x:v>
      </x:c>
      <x:c r="L24" t="str">
        <x:v>API / not stated</x:v>
      </x:c>
      <x:c r="M24" t="n">
        <x:v>110</x:v>
      </x:c>
      <x:c r="N24" t="str"/>
      <x:c r="O24" t="str">
        <x:v>4</x:v>
      </x:c>
      <x:c r="P24" t="str">
        <x:v>22-52-11</x:v>
      </x:c>
      <x:c r="Q24" t="str">
        <x:v>I · nickel-base CRA</x:v>
      </x:c>
      <x:c r="R24"/>
      <x:c r="S24"/>
      <x:c r="T24" t="str">
        <x:v>RFQ required · no public supplier-specific quote</x:v>
      </x:c>
      <x:c r="U24"/>
      <x:c r="V24" t="str">
        <x:v>https://www.api.org/-/media/Files/Certification/Monogram-APIQR/0_API-Monogram-APIQR/LIFs/API_5CRA_Licensing_Information_Form_20230821.pdf</x:v>
      </x:c>
      <x:c r="W24" t="str">
        <x:v>Category listed 2023 LIF; check API 2025 edition</x:v>
      </x:c>
      <x:c r="X24" t="str">
        <x:v>API licensing form dated 2023; eligible category/UNS/strength combinations may differ in API 5CRA 3rd edition (2025). PSL 2 rows are NOT a purchase qualification certificate.</x:v>
      </x:c>
      <x:c r="Y24" t="str">
        <x:v>2026-10-10</x:v>
      </x:c>
    </x:row>
    <x:row r="25" ht="22" customHeight="1">
      <x:c r="A25" t="str">
        <x:v>OCTG-0039</x:v>
      </x:c>
      <x:c r="B25" t="str">
        <x:v>API reference</x:v>
      </x:c>
      <x:c r="C25" t="str">
        <x:v>Global</x:v>
      </x:c>
      <x:c r="D25" t="str">
        <x:v>22-52-11 / 125 (PSL1)</x:v>
      </x:c>
      <x:c r="E25" t="str">
        <x:v>API CRA category/grade</x:v>
      </x:c>
      <x:c r="F25" t="str">
        <x:v>API 5CRA PSL1 LIF category (2023)</x:v>
      </x:c>
      <x:c r="G25" t="str">
        <x:v>Ni-base CRA</x:v>
      </x:c>
      <x:c r="H25" t="str">
        <x:v>Highly corrosive mixed gases</x:v>
      </x:c>
      <x:c r="I25" t="str">
        <x:v>CRA seamless pipes; validate edition</x:v>
      </x:c>
      <x:c r="J25" t="str">
        <x:v>Not established by grade name</x:v>
      </x:c>
      <x:c r="K25" t="str">
        <x:v>Improved (verify temperature / chloride limits)</x:v>
      </x:c>
      <x:c r="L25" t="str">
        <x:v>API / not stated</x:v>
      </x:c>
      <x:c r="M25" t="n">
        <x:v>125</x:v>
      </x:c>
      <x:c r="N25" t="str"/>
      <x:c r="O25" t="str">
        <x:v>4</x:v>
      </x:c>
      <x:c r="P25" t="str">
        <x:v>22-52-11</x:v>
      </x:c>
      <x:c r="Q25" t="str">
        <x:v>I · nickel-base CRA</x:v>
      </x:c>
      <x:c r="R25"/>
      <x:c r="S25"/>
      <x:c r="T25" t="str">
        <x:v>RFQ required · no public supplier-specific quote</x:v>
      </x:c>
      <x:c r="U25"/>
      <x:c r="V25" t="str">
        <x:v>https://www.api.org/-/media/Files/Certification/Monogram-APIQR/0_API-Monogram-APIQR/LIFs/API_5CRA_Licensing_Information_Form_20230821.pdf</x:v>
      </x:c>
      <x:c r="W25" t="str">
        <x:v>Category listed 2023 LIF; check API 2025 edition</x:v>
      </x:c>
      <x:c r="X25" t="str">
        <x:v>API licensing form dated 2023; eligible category/UNS/strength combinations may differ in API 5CRA 3rd edition (2025). PSL 2 rows are NOT a purchase qualification certificate.</x:v>
      </x:c>
      <x:c r="Y25" t="str">
        <x:v>2026-10-10</x:v>
      </x:c>
    </x:row>
    <x:row r="26" ht="22" customHeight="1">
      <x:c r="A26" t="str">
        <x:v>OCTG-0040</x:v>
      </x:c>
      <x:c r="B26" t="str">
        <x:v>API reference</x:v>
      </x:c>
      <x:c r="C26" t="str">
        <x:v>Global</x:v>
      </x:c>
      <x:c r="D26" t="str">
        <x:v>22-52-11 / 140 (PSL1)</x:v>
      </x:c>
      <x:c r="E26" t="str">
        <x:v>API CRA category/grade</x:v>
      </x:c>
      <x:c r="F26" t="str">
        <x:v>API 5CRA PSL1 LIF category (2023)</x:v>
      </x:c>
      <x:c r="G26" t="str">
        <x:v>Ni-base CRA</x:v>
      </x:c>
      <x:c r="H26" t="str">
        <x:v>Highly corrosive mixed gases</x:v>
      </x:c>
      <x:c r="I26" t="str">
        <x:v>CRA seamless pipes; validate edition</x:v>
      </x:c>
      <x:c r="J26" t="str">
        <x:v>Not established by grade name</x:v>
      </x:c>
      <x:c r="K26" t="str">
        <x:v>Improved (verify temperature / chloride limits)</x:v>
      </x:c>
      <x:c r="L26" t="str">
        <x:v>API / not stated</x:v>
      </x:c>
      <x:c r="M26" t="n">
        <x:v>140</x:v>
      </x:c>
      <x:c r="N26" t="str"/>
      <x:c r="O26" t="str">
        <x:v>4</x:v>
      </x:c>
      <x:c r="P26" t="str">
        <x:v>22-52-11</x:v>
      </x:c>
      <x:c r="Q26" t="str">
        <x:v>I · nickel-base CRA</x:v>
      </x:c>
      <x:c r="R26"/>
      <x:c r="S26"/>
      <x:c r="T26" t="str">
        <x:v>RFQ required · no public supplier-specific quote</x:v>
      </x:c>
      <x:c r="U26"/>
      <x:c r="V26" t="str">
        <x:v>https://www.api.org/-/media/Files/Certification/Monogram-APIQR/0_API-Monogram-APIQR/LIFs/API_5CRA_Licensing_Information_Form_20230821.pdf</x:v>
      </x:c>
      <x:c r="W26" t="str">
        <x:v>Category listed 2023 LIF; check API 2025 edition</x:v>
      </x:c>
      <x:c r="X26" t="str">
        <x:v>API licensing form dated 2023; eligible category/UNS/strength combinations may differ in API 5CRA 3rd edition (2025). PSL 2 rows are NOT a purchase qualification certificate.</x:v>
      </x:c>
      <x:c r="Y26" t="str">
        <x:v>2026-10-10</x:v>
      </x:c>
    </x:row>
    <x:row r="27" ht="22" customHeight="1">
      <x:c r="A27" t="str">
        <x:v>OCTG-0041</x:v>
      </x:c>
      <x:c r="B27" t="str">
        <x:v>API reference</x:v>
      </x:c>
      <x:c r="C27" t="str">
        <x:v>Global</x:v>
      </x:c>
      <x:c r="D27" t="str">
        <x:v>25-50-6 / N06255 / 110</x:v>
      </x:c>
      <x:c r="E27" t="str">
        <x:v>API CRA category/grade</x:v>
      </x:c>
      <x:c r="F27" t="str">
        <x:v>API 5CRA group/category, PSL2 LIF (2023)</x:v>
      </x:c>
      <x:c r="G27" t="str">
        <x:v>Ni-base CRA</x:v>
      </x:c>
      <x:c r="H27" t="str">
        <x:v>Severe CO2 / H2S / chloride (qualify)</x:v>
      </x:c>
      <x:c r="I27" t="str">
        <x:v>CRA OCTG seamless pipe / coupling stock subject to API scope</x:v>
      </x:c>
      <x:c r="J27" t="str">
        <x:v>Qualification per ISO 15156-3 / NACE MR0175 required</x:v>
      </x:c>
      <x:c r="K27" t="str">
        <x:v>Improved (verify temperature / chloride limits)</x:v>
      </x:c>
      <x:c r="L27" t="str">
        <x:v>API / not stated</x:v>
      </x:c>
      <x:c r="M27" t="n">
        <x:v>110</x:v>
      </x:c>
      <x:c r="N27" t="str">
        <x:v>N06255</x:v>
      </x:c>
      <x:c r="O27" t="str">
        <x:v>4</x:v>
      </x:c>
      <x:c r="P27" t="str">
        <x:v>25-50-6</x:v>
      </x:c>
      <x:c r="Q27" t="str">
        <x:v>I · nickel-base CRA</x:v>
      </x:c>
      <x:c r="R27"/>
      <x:c r="S27"/>
      <x:c r="T27" t="str">
        <x:v>RFQ required · no public supplier-specific quote</x:v>
      </x:c>
      <x:c r="U27"/>
      <x:c r="V27" t="str">
        <x:v>https://www.api.org/-/media/Files/Certification/Monogram-APIQR/0_API-Monogram-APIQR/LIFs/API_5CRA_Licensing_Information_Form_20230821.pdf</x:v>
      </x:c>
      <x:c r="W27" t="str">
        <x:v>Mapped against API 2023 LIF; verify API 5CRA 3rd ed (2025)</x:v>
      </x:c>
      <x:c r="X27" t="str">
        <x:v>API licensing form dated 2023; eligible category/UNS/strength combinations may differ in API 5CRA 3rd edition (2025). PSL 2 rows are NOT a purchase qualification certificate.</x:v>
      </x:c>
      <x:c r="Y27" t="str">
        <x:v>2026-10-10</x:v>
      </x:c>
    </x:row>
    <x:row r="28" ht="22" customHeight="1">
      <x:c r="A28" t="str">
        <x:v>OCTG-0042</x:v>
      </x:c>
      <x:c r="B28" t="str">
        <x:v>API reference</x:v>
      </x:c>
      <x:c r="C28" t="str">
        <x:v>Global</x:v>
      </x:c>
      <x:c r="D28" t="str">
        <x:v>25-50-6 / N06255 / 125</x:v>
      </x:c>
      <x:c r="E28" t="str">
        <x:v>API CRA category/grade</x:v>
      </x:c>
      <x:c r="F28" t="str">
        <x:v>API 5CRA group/category, PSL2 LIF (2023)</x:v>
      </x:c>
      <x:c r="G28" t="str">
        <x:v>Ni-base CRA</x:v>
      </x:c>
      <x:c r="H28" t="str">
        <x:v>Severe CO2 / H2S / chloride (qualify)</x:v>
      </x:c>
      <x:c r="I28" t="str">
        <x:v>CRA OCTG seamless pipe / coupling stock subject to API scope</x:v>
      </x:c>
      <x:c r="J28" t="str">
        <x:v>Qualification per ISO 15156-3 / NACE MR0175 required</x:v>
      </x:c>
      <x:c r="K28" t="str">
        <x:v>Improved (verify temperature / chloride limits)</x:v>
      </x:c>
      <x:c r="L28" t="str">
        <x:v>API / not stated</x:v>
      </x:c>
      <x:c r="M28" t="n">
        <x:v>125</x:v>
      </x:c>
      <x:c r="N28" t="str">
        <x:v>N06255</x:v>
      </x:c>
      <x:c r="O28" t="str">
        <x:v>4</x:v>
      </x:c>
      <x:c r="P28" t="str">
        <x:v>25-50-6</x:v>
      </x:c>
      <x:c r="Q28" t="str">
        <x:v>I · nickel-base CRA</x:v>
      </x:c>
      <x:c r="R28"/>
      <x:c r="S28"/>
      <x:c r="T28" t="str">
        <x:v>RFQ required · no public supplier-specific quote</x:v>
      </x:c>
      <x:c r="U28"/>
      <x:c r="V28" t="str">
        <x:v>https://www.api.org/-/media/Files/Certification/Monogram-APIQR/0_API-Monogram-APIQR/LIFs/API_5CRA_Licensing_Information_Form_20230821.pdf</x:v>
      </x:c>
      <x:c r="W28" t="str">
        <x:v>Mapped against API 2023 LIF; verify API 5CRA 3rd ed (2025)</x:v>
      </x:c>
      <x:c r="X28" t="str">
        <x:v>API licensing form dated 2023; eligible category/UNS/strength combinations may differ in API 5CRA 3rd edition (2025). PSL 2 rows are NOT a purchase qualification certificate.</x:v>
      </x:c>
      <x:c r="Y28" t="str">
        <x:v>2026-10-10</x:v>
      </x:c>
    </x:row>
    <x:row r="29" ht="22" customHeight="1">
      <x:c r="A29" t="str">
        <x:v>OCTG-0043</x:v>
      </x:c>
      <x:c r="B29" t="str">
        <x:v>API reference</x:v>
      </x:c>
      <x:c r="C29" t="str">
        <x:v>Global</x:v>
      </x:c>
      <x:c r="D29" t="str">
        <x:v>25-50-6 / N06975 / 110</x:v>
      </x:c>
      <x:c r="E29" t="str">
        <x:v>API CRA category/grade</x:v>
      </x:c>
      <x:c r="F29" t="str">
        <x:v>API 5CRA group/category, PSL2 LIF (2023)</x:v>
      </x:c>
      <x:c r="G29" t="str">
        <x:v>Ni-base CRA</x:v>
      </x:c>
      <x:c r="H29" t="str">
        <x:v>Severe CO2 / H2S / chloride (qualify)</x:v>
      </x:c>
      <x:c r="I29" t="str">
        <x:v>CRA OCTG seamless pipe / coupling stock subject to API scope</x:v>
      </x:c>
      <x:c r="J29" t="str">
        <x:v>Qualification per ISO 15156-3 / NACE MR0175 required</x:v>
      </x:c>
      <x:c r="K29" t="str">
        <x:v>Improved (verify temperature / chloride limits)</x:v>
      </x:c>
      <x:c r="L29" t="str">
        <x:v>API / not stated</x:v>
      </x:c>
      <x:c r="M29" t="n">
        <x:v>110</x:v>
      </x:c>
      <x:c r="N29" t="str">
        <x:v>N06975</x:v>
      </x:c>
      <x:c r="O29" t="str">
        <x:v>4</x:v>
      </x:c>
      <x:c r="P29" t="str">
        <x:v>25-50-6</x:v>
      </x:c>
      <x:c r="Q29" t="str">
        <x:v>I · nickel-base CRA</x:v>
      </x:c>
      <x:c r="R29"/>
      <x:c r="S29"/>
      <x:c r="T29" t="str">
        <x:v>RFQ required · no public supplier-specific quote</x:v>
      </x:c>
      <x:c r="U29"/>
      <x:c r="V29" t="str">
        <x:v>https://www.api.org/-/media/Files/Certification/Monogram-APIQR/0_API-Monogram-APIQR/LIFs/API_5CRA_Licensing_Information_Form_20230821.pdf</x:v>
      </x:c>
      <x:c r="W29" t="str">
        <x:v>Mapped against API 2023 LIF; verify API 5CRA 3rd ed (2025)</x:v>
      </x:c>
      <x:c r="X29" t="str">
        <x:v>API licensing form dated 2023; eligible category/UNS/strength combinations may differ in API 5CRA 3rd edition (2025). PSL 2 rows are NOT a purchase qualification certificate.</x:v>
      </x:c>
      <x:c r="Y29" t="str">
        <x:v>2026-10-10</x:v>
      </x:c>
    </x:row>
    <x:row r="30" ht="22" customHeight="1">
      <x:c r="A30" t="str">
        <x:v>OCTG-0044</x:v>
      </x:c>
      <x:c r="B30" t="str">
        <x:v>API reference</x:v>
      </x:c>
      <x:c r="C30" t="str">
        <x:v>Global</x:v>
      </x:c>
      <x:c r="D30" t="str">
        <x:v>25-50-6 / N06975 / 125</x:v>
      </x:c>
      <x:c r="E30" t="str">
        <x:v>API CRA category/grade</x:v>
      </x:c>
      <x:c r="F30" t="str">
        <x:v>API 5CRA group/category, PSL2 LIF (2023)</x:v>
      </x:c>
      <x:c r="G30" t="str">
        <x:v>Ni-base CRA</x:v>
      </x:c>
      <x:c r="H30" t="str">
        <x:v>Severe CO2 / H2S / chloride (qualify)</x:v>
      </x:c>
      <x:c r="I30" t="str">
        <x:v>CRA OCTG seamless pipe / coupling stock subject to API scope</x:v>
      </x:c>
      <x:c r="J30" t="str">
        <x:v>Qualification per ISO 15156-3 / NACE MR0175 required</x:v>
      </x:c>
      <x:c r="K30" t="str">
        <x:v>Improved (verify temperature / chloride limits)</x:v>
      </x:c>
      <x:c r="L30" t="str">
        <x:v>API / not stated</x:v>
      </x:c>
      <x:c r="M30" t="n">
        <x:v>125</x:v>
      </x:c>
      <x:c r="N30" t="str">
        <x:v>N06975</x:v>
      </x:c>
      <x:c r="O30" t="str">
        <x:v>4</x:v>
      </x:c>
      <x:c r="P30" t="str">
        <x:v>25-50-6</x:v>
      </x:c>
      <x:c r="Q30" t="str">
        <x:v>I · nickel-base CRA</x:v>
      </x:c>
      <x:c r="R30"/>
      <x:c r="S30"/>
      <x:c r="T30" t="str">
        <x:v>RFQ required · no public supplier-specific quote</x:v>
      </x:c>
      <x:c r="U30"/>
      <x:c r="V30" t="str">
        <x:v>https://www.api.org/-/media/Files/Certification/Monogram-APIQR/0_API-Monogram-APIQR/LIFs/API_5CRA_Licensing_Information_Form_20230821.pdf</x:v>
      </x:c>
      <x:c r="W30" t="str">
        <x:v>Mapped against API 2023 LIF; verify API 5CRA 3rd ed (2025)</x:v>
      </x:c>
      <x:c r="X30" t="str">
        <x:v>API licensing form dated 2023; eligible category/UNS/strength combinations may differ in API 5CRA 3rd edition (2025). PSL 2 rows are NOT a purchase qualification certificate.</x:v>
      </x:c>
      <x:c r="Y30" t="str">
        <x:v>2026-10-10</x:v>
      </x:c>
    </x:row>
    <x:row r="31" ht="22" customHeight="1">
      <x:c r="A31" t="str">
        <x:v>OCTG-0045</x:v>
      </x:c>
      <x:c r="B31" t="str">
        <x:v>API reference</x:v>
      </x:c>
      <x:c r="C31" t="str">
        <x:v>Global</x:v>
      </x:c>
      <x:c r="D31" t="str">
        <x:v>25-7-3 / S31260 / 110</x:v>
      </x:c>
      <x:c r="E31" t="str">
        <x:v>API CRA category/grade</x:v>
      </x:c>
      <x:c r="F31" t="str">
        <x:v>API 5CRA group/category, PSL2 LIF (2023)</x:v>
      </x:c>
      <x:c r="G31" t="str">
        <x:v>Super duplex 25Cr</x:v>
      </x:c>
      <x:c r="H31" t="str">
        <x:v>High CO2 / chloride, project-qualified sour</x:v>
      </x:c>
      <x:c r="I31" t="str">
        <x:v>CRA OCTG seamless pipe / coupling stock subject to API scope</x:v>
      </x:c>
      <x:c r="J31" t="str">
        <x:v>Qualification per ISO 15156-3 / NACE MR0175 required</x:v>
      </x:c>
      <x:c r="K31" t="str">
        <x:v>Improved (verify temperature / chloride limits)</x:v>
      </x:c>
      <x:c r="L31" t="str">
        <x:v>API / not stated</x:v>
      </x:c>
      <x:c r="M31" t="n">
        <x:v>110</x:v>
      </x:c>
      <x:c r="N31" t="str">
        <x:v>S31260</x:v>
      </x:c>
      <x:c r="O31" t="str">
        <x:v>2</x:v>
      </x:c>
      <x:c r="P31" t="str">
        <x:v>25-7-3</x:v>
      </x:c>
      <x:c r="Q31" t="str">
        <x:v>G · super duplex CRA</x:v>
      </x:c>
      <x:c r="R31"/>
      <x:c r="S31"/>
      <x:c r="T31" t="str">
        <x:v>RFQ required · no public supplier-specific quote</x:v>
      </x:c>
      <x:c r="U31"/>
      <x:c r="V31" t="str">
        <x:v>https://www.api.org/-/media/Files/Certification/Monogram-APIQR/0_API-Monogram-APIQR/LIFs/API_5CRA_Licensing_Information_Form_20230821.pdf</x:v>
      </x:c>
      <x:c r="W31" t="str">
        <x:v>Mapped against API 2023 LIF; verify API 5CRA 3rd ed (2025)</x:v>
      </x:c>
      <x:c r="X31" t="str">
        <x:v>API licensing form dated 2023; eligible category/UNS/strength combinations may differ in API 5CRA 3rd edition (2025). PSL 2 rows are NOT a purchase qualification certificate.</x:v>
      </x:c>
      <x:c r="Y31" t="str">
        <x:v>2026-10-10</x:v>
      </x:c>
    </x:row>
    <x:row r="32" ht="22" customHeight="1">
      <x:c r="A32" t="str">
        <x:v>OCTG-0046</x:v>
      </x:c>
      <x:c r="B32" t="str">
        <x:v>API reference</x:v>
      </x:c>
      <x:c r="C32" t="str">
        <x:v>Global</x:v>
      </x:c>
      <x:c r="D32" t="str">
        <x:v>25-7-3 / S31260 / 125</x:v>
      </x:c>
      <x:c r="E32" t="str">
        <x:v>API CRA category/grade</x:v>
      </x:c>
      <x:c r="F32" t="str">
        <x:v>API 5CRA group/category, PSL2 LIF (2023)</x:v>
      </x:c>
      <x:c r="G32" t="str">
        <x:v>Super duplex 25Cr</x:v>
      </x:c>
      <x:c r="H32" t="str">
        <x:v>High CO2 / chloride, project-qualified sour</x:v>
      </x:c>
      <x:c r="I32" t="str">
        <x:v>CRA OCTG seamless pipe / coupling stock subject to API scope</x:v>
      </x:c>
      <x:c r="J32" t="str">
        <x:v>Qualification per ISO 15156-3 / NACE MR0175 required</x:v>
      </x:c>
      <x:c r="K32" t="str">
        <x:v>Improved (verify temperature / chloride limits)</x:v>
      </x:c>
      <x:c r="L32" t="str">
        <x:v>API / not stated</x:v>
      </x:c>
      <x:c r="M32" t="n">
        <x:v>125</x:v>
      </x:c>
      <x:c r="N32" t="str">
        <x:v>S31260</x:v>
      </x:c>
      <x:c r="O32" t="str">
        <x:v>2</x:v>
      </x:c>
      <x:c r="P32" t="str">
        <x:v>25-7-3</x:v>
      </x:c>
      <x:c r="Q32" t="str">
        <x:v>G · super duplex CRA</x:v>
      </x:c>
      <x:c r="R32"/>
      <x:c r="S32"/>
      <x:c r="T32" t="str">
        <x:v>RFQ required · no public supplier-specific quote</x:v>
      </x:c>
      <x:c r="U32"/>
      <x:c r="V32" t="str">
        <x:v>https://www.api.org/-/media/Files/Certification/Monogram-APIQR/0_API-Monogram-APIQR/LIFs/API_5CRA_Licensing_Information_Form_20230821.pdf</x:v>
      </x:c>
      <x:c r="W32" t="str">
        <x:v>Mapped against API 2023 LIF; verify API 5CRA 3rd ed (2025)</x:v>
      </x:c>
      <x:c r="X32" t="str">
        <x:v>API licensing form dated 2023; eligible category/UNS/strength combinations may differ in API 5CRA 3rd edition (2025). PSL 2 rows are NOT a purchase qualification certificate.</x:v>
      </x:c>
      <x:c r="Y32" t="str">
        <x:v>2026-10-10</x:v>
      </x:c>
    </x:row>
    <x:row r="33" ht="22" customHeight="1">
      <x:c r="A33" t="str">
        <x:v>OCTG-0047</x:v>
      </x:c>
      <x:c r="B33" t="str">
        <x:v>API reference</x:v>
      </x:c>
      <x:c r="C33" t="str">
        <x:v>Global</x:v>
      </x:c>
      <x:c r="D33" t="str">
        <x:v>25-7-3 / S31260 / 75</x:v>
      </x:c>
      <x:c r="E33" t="str">
        <x:v>API CRA category/grade</x:v>
      </x:c>
      <x:c r="F33" t="str">
        <x:v>API 5CRA group/category, PSL2 LIF (2023)</x:v>
      </x:c>
      <x:c r="G33" t="str">
        <x:v>Super duplex 25Cr</x:v>
      </x:c>
      <x:c r="H33" t="str">
        <x:v>High CO2 / chloride, project-qualified sour</x:v>
      </x:c>
      <x:c r="I33" t="str">
        <x:v>CRA OCTG seamless pipe / coupling stock subject to API scope</x:v>
      </x:c>
      <x:c r="J33" t="str">
        <x:v>Qualification per ISO 15156-3 / NACE MR0175 required</x:v>
      </x:c>
      <x:c r="K33" t="str">
        <x:v>Improved (verify temperature / chloride limits)</x:v>
      </x:c>
      <x:c r="L33" t="str">
        <x:v>API / not stated</x:v>
      </x:c>
      <x:c r="M33" t="n">
        <x:v>75</x:v>
      </x:c>
      <x:c r="N33" t="str">
        <x:v>S31260</x:v>
      </x:c>
      <x:c r="O33" t="str">
        <x:v>2</x:v>
      </x:c>
      <x:c r="P33" t="str">
        <x:v>25-7-3</x:v>
      </x:c>
      <x:c r="Q33" t="str">
        <x:v>G · super duplex CRA</x:v>
      </x:c>
      <x:c r="R33"/>
      <x:c r="S33"/>
      <x:c r="T33" t="str">
        <x:v>RFQ required · no public supplier-specific quote</x:v>
      </x:c>
      <x:c r="U33"/>
      <x:c r="V33" t="str">
        <x:v>https://www.api.org/-/media/Files/Certification/Monogram-APIQR/0_API-Monogram-APIQR/LIFs/API_5CRA_Licensing_Information_Form_20230821.pdf</x:v>
      </x:c>
      <x:c r="W33" t="str">
        <x:v>Mapped against API 2023 LIF; verify API 5CRA 3rd ed (2025)</x:v>
      </x:c>
      <x:c r="X33" t="str">
        <x:v>API licensing form dated 2023; eligible category/UNS/strength combinations may differ in API 5CRA 3rd edition (2025). PSL 2 rows are NOT a purchase qualification certificate.</x:v>
      </x:c>
      <x:c r="Y33" t="str">
        <x:v>2026-10-10</x:v>
      </x:c>
    </x:row>
    <x:row r="34" ht="22" customHeight="1">
      <x:c r="A34" t="str">
        <x:v>OCTG-0048</x:v>
      </x:c>
      <x:c r="B34" t="str">
        <x:v>API reference</x:v>
      </x:c>
      <x:c r="C34" t="str">
        <x:v>Global</x:v>
      </x:c>
      <x:c r="D34" t="str">
        <x:v>25-7-4 / S32750 / 110</x:v>
      </x:c>
      <x:c r="E34" t="str">
        <x:v>API CRA category/grade</x:v>
      </x:c>
      <x:c r="F34" t="str">
        <x:v>API 5CRA group/category, PSL2 LIF (2023)</x:v>
      </x:c>
      <x:c r="G34" t="str">
        <x:v>Super duplex 25Cr</x:v>
      </x:c>
      <x:c r="H34" t="str">
        <x:v>High CO2 / chloride, project-qualified sour</x:v>
      </x:c>
      <x:c r="I34" t="str">
        <x:v>CRA OCTG seamless pipe / coupling stock subject to API scope</x:v>
      </x:c>
      <x:c r="J34" t="str">
        <x:v>Qualification per ISO 15156-3 / NACE MR0175 required</x:v>
      </x:c>
      <x:c r="K34" t="str">
        <x:v>Improved (verify temperature / chloride limits)</x:v>
      </x:c>
      <x:c r="L34" t="str">
        <x:v>API / not stated</x:v>
      </x:c>
      <x:c r="M34" t="n">
        <x:v>110</x:v>
      </x:c>
      <x:c r="N34" t="str">
        <x:v>S32750</x:v>
      </x:c>
      <x:c r="O34" t="str">
        <x:v>2</x:v>
      </x:c>
      <x:c r="P34" t="str">
        <x:v>25-7-4</x:v>
      </x:c>
      <x:c r="Q34" t="str">
        <x:v>G · super duplex CRA</x:v>
      </x:c>
      <x:c r="R34"/>
      <x:c r="S34"/>
      <x:c r="T34" t="str">
        <x:v>RFQ required · no public supplier-specific quote</x:v>
      </x:c>
      <x:c r="U34"/>
      <x:c r="V34" t="str">
        <x:v>https://www.api.org/-/media/Files/Certification/Monogram-APIQR/0_API-Monogram-APIQR/LIFs/API_5CRA_Licensing_Information_Form_20230821.pdf</x:v>
      </x:c>
      <x:c r="W34" t="str">
        <x:v>Mapped against API 2023 LIF; verify API 5CRA 3rd ed (2025)</x:v>
      </x:c>
      <x:c r="X34" t="str">
        <x:v>API licensing form dated 2023; eligible category/UNS/strength combinations may differ in API 5CRA 3rd edition (2025). PSL 2 rows are NOT a purchase qualification certificate.</x:v>
      </x:c>
      <x:c r="Y34" t="str">
        <x:v>2026-10-10</x:v>
      </x:c>
    </x:row>
    <x:row r="35" ht="22" customHeight="1">
      <x:c r="A35" t="str">
        <x:v>OCTG-0049</x:v>
      </x:c>
      <x:c r="B35" t="str">
        <x:v>API reference</x:v>
      </x:c>
      <x:c r="C35" t="str">
        <x:v>Global</x:v>
      </x:c>
      <x:c r="D35" t="str">
        <x:v>25-7-4 / S32750 / 125</x:v>
      </x:c>
      <x:c r="E35" t="str">
        <x:v>API CRA category/grade</x:v>
      </x:c>
      <x:c r="F35" t="str">
        <x:v>API 5CRA group/category, PSL2 LIF (2023)</x:v>
      </x:c>
      <x:c r="G35" t="str">
        <x:v>Super duplex 25Cr</x:v>
      </x:c>
      <x:c r="H35" t="str">
        <x:v>High CO2 / chloride, project-qualified sour</x:v>
      </x:c>
      <x:c r="I35" t="str">
        <x:v>CRA OCTG seamless pipe / coupling stock subject to API scope</x:v>
      </x:c>
      <x:c r="J35" t="str">
        <x:v>Qualification per ISO 15156-3 / NACE MR0175 required</x:v>
      </x:c>
      <x:c r="K35" t="str">
        <x:v>Improved (verify temperature / chloride limits)</x:v>
      </x:c>
      <x:c r="L35" t="str">
        <x:v>API / not stated</x:v>
      </x:c>
      <x:c r="M35" t="n">
        <x:v>125</x:v>
      </x:c>
      <x:c r="N35" t="str">
        <x:v>S32750</x:v>
      </x:c>
      <x:c r="O35" t="str">
        <x:v>2</x:v>
      </x:c>
      <x:c r="P35" t="str">
        <x:v>25-7-4</x:v>
      </x:c>
      <x:c r="Q35" t="str">
        <x:v>G · super duplex CRA</x:v>
      </x:c>
      <x:c r="R35"/>
      <x:c r="S35"/>
      <x:c r="T35" t="str">
        <x:v>RFQ required · no public supplier-specific quote</x:v>
      </x:c>
      <x:c r="U35"/>
      <x:c r="V35" t="str">
        <x:v>https://www.api.org/-/media/Files/Certification/Monogram-APIQR/0_API-Monogram-APIQR/LIFs/API_5CRA_Licensing_Information_Form_20230821.pdf</x:v>
      </x:c>
      <x:c r="W35" t="str">
        <x:v>Mapped against API 2023 LIF; verify API 5CRA 3rd ed (2025)</x:v>
      </x:c>
      <x:c r="X35" t="str">
        <x:v>API licensing form dated 2023; eligible category/UNS/strength combinations may differ in API 5CRA 3rd edition (2025). PSL 2 rows are NOT a purchase qualification certificate.</x:v>
      </x:c>
      <x:c r="Y35" t="str">
        <x:v>2026-10-10</x:v>
      </x:c>
    </x:row>
    <x:row r="36" ht="22" customHeight="1">
      <x:c r="A36" t="str">
        <x:v>OCTG-0050</x:v>
      </x:c>
      <x:c r="B36" t="str">
        <x:v>API reference</x:v>
      </x:c>
      <x:c r="C36" t="str">
        <x:v>Global</x:v>
      </x:c>
      <x:c r="D36" t="str">
        <x:v>25-7-4 / S32750 / 80</x:v>
      </x:c>
      <x:c r="E36" t="str">
        <x:v>API CRA category/grade</x:v>
      </x:c>
      <x:c r="F36" t="str">
        <x:v>API 5CRA group/category, PSL2 LIF (2023)</x:v>
      </x:c>
      <x:c r="G36" t="str">
        <x:v>Super duplex 25Cr</x:v>
      </x:c>
      <x:c r="H36" t="str">
        <x:v>High CO2 / chloride, project-qualified sour</x:v>
      </x:c>
      <x:c r="I36" t="str">
        <x:v>CRA OCTG seamless pipe / coupling stock subject to API scope</x:v>
      </x:c>
      <x:c r="J36" t="str">
        <x:v>Qualification per ISO 15156-3 / NACE MR0175 required</x:v>
      </x:c>
      <x:c r="K36" t="str">
        <x:v>Improved (verify temperature / chloride limits)</x:v>
      </x:c>
      <x:c r="L36" t="str">
        <x:v>API / not stated</x:v>
      </x:c>
      <x:c r="M36" t="n">
        <x:v>80</x:v>
      </x:c>
      <x:c r="N36" t="str">
        <x:v>S32750</x:v>
      </x:c>
      <x:c r="O36" t="str">
        <x:v>2</x:v>
      </x:c>
      <x:c r="P36" t="str">
        <x:v>25-7-4</x:v>
      </x:c>
      <x:c r="Q36" t="str">
        <x:v>G · super duplex CRA</x:v>
      </x:c>
      <x:c r="R36"/>
      <x:c r="S36"/>
      <x:c r="T36" t="str">
        <x:v>RFQ required · no public supplier-specific quote</x:v>
      </x:c>
      <x:c r="U36"/>
      <x:c r="V36" t="str">
        <x:v>https://www.api.org/-/media/Files/Certification/Monogram-APIQR/0_API-Monogram-APIQR/LIFs/API_5CRA_Licensing_Information_Form_20230821.pdf</x:v>
      </x:c>
      <x:c r="W36" t="str">
        <x:v>Mapped against API 2023 LIF; verify API 5CRA 3rd ed (2025)</x:v>
      </x:c>
      <x:c r="X36" t="str">
        <x:v>API licensing form dated 2023; eligible category/UNS/strength combinations may differ in API 5CRA 3rd edition (2025). PSL 2 rows are NOT a purchase qualification certificate.</x:v>
      </x:c>
      <x:c r="Y36" t="str">
        <x:v>2026-10-10</x:v>
      </x:c>
    </x:row>
    <x:row r="37" ht="22" customHeight="1">
      <x:c r="A37" t="str">
        <x:v>OCTG-0051</x:v>
      </x:c>
      <x:c r="B37" t="str">
        <x:v>API reference</x:v>
      </x:c>
      <x:c r="C37" t="str">
        <x:v>Global</x:v>
      </x:c>
      <x:c r="D37" t="str">
        <x:v>25-7-4 / S32750 / 90</x:v>
      </x:c>
      <x:c r="E37" t="str">
        <x:v>API CRA category/grade</x:v>
      </x:c>
      <x:c r="F37" t="str">
        <x:v>API 5CRA group/category, PSL2 LIF (2023)</x:v>
      </x:c>
      <x:c r="G37" t="str">
        <x:v>Super duplex 25Cr</x:v>
      </x:c>
      <x:c r="H37" t="str">
        <x:v>High CO2 / chloride, project-qualified sour</x:v>
      </x:c>
      <x:c r="I37" t="str">
        <x:v>CRA OCTG seamless pipe / coupling stock subject to API scope</x:v>
      </x:c>
      <x:c r="J37" t="str">
        <x:v>Qualification per ISO 15156-3 / NACE MR0175 required</x:v>
      </x:c>
      <x:c r="K37" t="str">
        <x:v>Improved (verify temperature / chloride limits)</x:v>
      </x:c>
      <x:c r="L37" t="str">
        <x:v>API / not stated</x:v>
      </x:c>
      <x:c r="M37" t="n">
        <x:v>90</x:v>
      </x:c>
      <x:c r="N37" t="str">
        <x:v>S32750</x:v>
      </x:c>
      <x:c r="O37" t="str">
        <x:v>2</x:v>
      </x:c>
      <x:c r="P37" t="str">
        <x:v>25-7-4</x:v>
      </x:c>
      <x:c r="Q37" t="str">
        <x:v>G · super duplex CRA</x:v>
      </x:c>
      <x:c r="R37"/>
      <x:c r="S37"/>
      <x:c r="T37" t="str">
        <x:v>RFQ required · no public supplier-specific quote</x:v>
      </x:c>
      <x:c r="U37"/>
      <x:c r="V37" t="str">
        <x:v>https://www.api.org/-/media/Files/Certification/Monogram-APIQR/0_API-Monogram-APIQR/LIFs/API_5CRA_Licensing_Information_Form_20230821.pdf</x:v>
      </x:c>
      <x:c r="W37" t="str">
        <x:v>Mapped against API 2023 LIF; verify API 5CRA 3rd ed (2025)</x:v>
      </x:c>
      <x:c r="X37" t="str">
        <x:v>API licensing form dated 2023; eligible category/UNS/strength combinations may differ in API 5CRA 3rd edition (2025). PSL 2 rows are NOT a purchase qualification certificate.</x:v>
      </x:c>
      <x:c r="Y37" t="str">
        <x:v>2026-10-10</x:v>
      </x:c>
    </x:row>
    <x:row r="38" ht="22" customHeight="1">
      <x:c r="A38" t="str">
        <x:v>OCTG-0052</x:v>
      </x:c>
      <x:c r="B38" t="str">
        <x:v>API reference</x:v>
      </x:c>
      <x:c r="C38" t="str">
        <x:v>Global</x:v>
      </x:c>
      <x:c r="D38" t="str">
        <x:v>25-7-4 / S32760 / 110</x:v>
      </x:c>
      <x:c r="E38" t="str">
        <x:v>API CRA category/grade</x:v>
      </x:c>
      <x:c r="F38" t="str">
        <x:v>API 5CRA group/category, PSL2 LIF (2023)</x:v>
      </x:c>
      <x:c r="G38" t="str">
        <x:v>Super duplex 25Cr</x:v>
      </x:c>
      <x:c r="H38" t="str">
        <x:v>High CO2 / chloride, project-qualified sour</x:v>
      </x:c>
      <x:c r="I38" t="str">
        <x:v>CRA OCTG seamless pipe / coupling stock subject to API scope</x:v>
      </x:c>
      <x:c r="J38" t="str">
        <x:v>Qualification per ISO 15156-3 / NACE MR0175 required</x:v>
      </x:c>
      <x:c r="K38" t="str">
        <x:v>Improved (verify temperature / chloride limits)</x:v>
      </x:c>
      <x:c r="L38" t="str">
        <x:v>API / not stated</x:v>
      </x:c>
      <x:c r="M38" t="n">
        <x:v>110</x:v>
      </x:c>
      <x:c r="N38" t="str">
        <x:v>S32760</x:v>
      </x:c>
      <x:c r="O38" t="str">
        <x:v>2</x:v>
      </x:c>
      <x:c r="P38" t="str">
        <x:v>25-7-4</x:v>
      </x:c>
      <x:c r="Q38" t="str">
        <x:v>G · super duplex CRA</x:v>
      </x:c>
      <x:c r="R38"/>
      <x:c r="S38"/>
      <x:c r="T38" t="str">
        <x:v>RFQ required · no public supplier-specific quote</x:v>
      </x:c>
      <x:c r="U38"/>
      <x:c r="V38" t="str">
        <x:v>https://www.api.org/-/media/Files/Certification/Monogram-APIQR/0_API-Monogram-APIQR/LIFs/API_5CRA_Licensing_Information_Form_20230821.pdf</x:v>
      </x:c>
      <x:c r="W38" t="str">
        <x:v>Mapped against API 2023 LIF; verify API 5CRA 3rd ed (2025)</x:v>
      </x:c>
      <x:c r="X38" t="str">
        <x:v>API licensing form dated 2023; eligible category/UNS/strength combinations may differ in API 5CRA 3rd edition (2025). PSL 2 rows are NOT a purchase qualification certificate.</x:v>
      </x:c>
      <x:c r="Y38" t="str">
        <x:v>2026-10-10</x:v>
      </x:c>
    </x:row>
    <x:row r="39" ht="22" customHeight="1">
      <x:c r="A39" t="str">
        <x:v>OCTG-0053</x:v>
      </x:c>
      <x:c r="B39" t="str">
        <x:v>API reference</x:v>
      </x:c>
      <x:c r="C39" t="str">
        <x:v>Global</x:v>
      </x:c>
      <x:c r="D39" t="str">
        <x:v>25-7-4 / S32760 / 125</x:v>
      </x:c>
      <x:c r="E39" t="str">
        <x:v>API CRA category/grade</x:v>
      </x:c>
      <x:c r="F39" t="str">
        <x:v>API 5CRA group/category, PSL2 LIF (2023)</x:v>
      </x:c>
      <x:c r="G39" t="str">
        <x:v>Super duplex 25Cr</x:v>
      </x:c>
      <x:c r="H39" t="str">
        <x:v>High CO2 / chloride, project-qualified sour</x:v>
      </x:c>
      <x:c r="I39" t="str">
        <x:v>CRA OCTG seamless pipe / coupling stock subject to API scope</x:v>
      </x:c>
      <x:c r="J39" t="str">
        <x:v>Qualification per ISO 15156-3 / NACE MR0175 required</x:v>
      </x:c>
      <x:c r="K39" t="str">
        <x:v>Improved (verify temperature / chloride limits)</x:v>
      </x:c>
      <x:c r="L39" t="str">
        <x:v>API / not stated</x:v>
      </x:c>
      <x:c r="M39" t="n">
        <x:v>125</x:v>
      </x:c>
      <x:c r="N39" t="str">
        <x:v>S32760</x:v>
      </x:c>
      <x:c r="O39" t="str">
        <x:v>2</x:v>
      </x:c>
      <x:c r="P39" t="str">
        <x:v>25-7-4</x:v>
      </x:c>
      <x:c r="Q39" t="str">
        <x:v>G · super duplex CRA</x:v>
      </x:c>
      <x:c r="R39"/>
      <x:c r="S39"/>
      <x:c r="T39" t="str">
        <x:v>RFQ required · no public supplier-specific quote</x:v>
      </x:c>
      <x:c r="U39"/>
      <x:c r="V39" t="str">
        <x:v>https://www.api.org/-/media/Files/Certification/Monogram-APIQR/0_API-Monogram-APIQR/LIFs/API_5CRA_Licensing_Information_Form_20230821.pdf</x:v>
      </x:c>
      <x:c r="W39" t="str">
        <x:v>Mapped against API 2023 LIF; verify API 5CRA 3rd ed (2025)</x:v>
      </x:c>
      <x:c r="X39" t="str">
        <x:v>API licensing form dated 2023; eligible category/UNS/strength combinations may differ in API 5CRA 3rd edition (2025). PSL 2 rows are NOT a purchase qualification certificate.</x:v>
      </x:c>
      <x:c r="Y39" t="str">
        <x:v>2026-10-10</x:v>
      </x:c>
    </x:row>
    <x:row r="40" ht="22" customHeight="1">
      <x:c r="A40" t="str">
        <x:v>OCTG-0054</x:v>
      </x:c>
      <x:c r="B40" t="str">
        <x:v>API reference</x:v>
      </x:c>
      <x:c r="C40" t="str">
        <x:v>Global</x:v>
      </x:c>
      <x:c r="D40" t="str">
        <x:v>25-7-4 / S32760 / 80</x:v>
      </x:c>
      <x:c r="E40" t="str">
        <x:v>API CRA category/grade</x:v>
      </x:c>
      <x:c r="F40" t="str">
        <x:v>API 5CRA group/category, PSL2 LIF (2023)</x:v>
      </x:c>
      <x:c r="G40" t="str">
        <x:v>Super duplex 25Cr</x:v>
      </x:c>
      <x:c r="H40" t="str">
        <x:v>High CO2 / chloride, project-qualified sour</x:v>
      </x:c>
      <x:c r="I40" t="str">
        <x:v>CRA OCTG seamless pipe / coupling stock subject to API scope</x:v>
      </x:c>
      <x:c r="J40" t="str">
        <x:v>Qualification per ISO 15156-3 / NACE MR0175 required</x:v>
      </x:c>
      <x:c r="K40" t="str">
        <x:v>Improved (verify temperature / chloride limits)</x:v>
      </x:c>
      <x:c r="L40" t="str">
        <x:v>API / not stated</x:v>
      </x:c>
      <x:c r="M40" t="n">
        <x:v>80</x:v>
      </x:c>
      <x:c r="N40" t="str">
        <x:v>S32760</x:v>
      </x:c>
      <x:c r="O40" t="str">
        <x:v>2</x:v>
      </x:c>
      <x:c r="P40" t="str">
        <x:v>25-7-4</x:v>
      </x:c>
      <x:c r="Q40" t="str">
        <x:v>G · super duplex CRA</x:v>
      </x:c>
      <x:c r="R40"/>
      <x:c r="S40"/>
      <x:c r="T40" t="str">
        <x:v>RFQ required · no public supplier-specific quote</x:v>
      </x:c>
      <x:c r="U40"/>
      <x:c r="V40" t="str">
        <x:v>https://www.api.org/-/media/Files/Certification/Monogram-APIQR/0_API-Monogram-APIQR/LIFs/API_5CRA_Licensing_Information_Form_20230821.pdf</x:v>
      </x:c>
      <x:c r="W40" t="str">
        <x:v>Mapped against API 2023 LIF; verify API 5CRA 3rd ed (2025)</x:v>
      </x:c>
      <x:c r="X40" t="str">
        <x:v>API licensing form dated 2023; eligible category/UNS/strength combinations may differ in API 5CRA 3rd edition (2025). PSL 2 rows are NOT a purchase qualification certificate.</x:v>
      </x:c>
      <x:c r="Y40" t="str">
        <x:v>2026-10-10</x:v>
      </x:c>
    </x:row>
    <x:row r="41" ht="22" customHeight="1">
      <x:c r="A41" t="str">
        <x:v>OCTG-0055</x:v>
      </x:c>
      <x:c r="B41" t="str">
        <x:v>API reference</x:v>
      </x:c>
      <x:c r="C41" t="str">
        <x:v>Global</x:v>
      </x:c>
      <x:c r="D41" t="str">
        <x:v>25-7-4 / S32760 / 90</x:v>
      </x:c>
      <x:c r="E41" t="str">
        <x:v>API CRA category/grade</x:v>
      </x:c>
      <x:c r="F41" t="str">
        <x:v>API 5CRA group/category, PSL2 LIF (2023)</x:v>
      </x:c>
      <x:c r="G41" t="str">
        <x:v>Super duplex 25Cr</x:v>
      </x:c>
      <x:c r="H41" t="str">
        <x:v>High CO2 / chloride, project-qualified sour</x:v>
      </x:c>
      <x:c r="I41" t="str">
        <x:v>CRA OCTG seamless pipe / coupling stock subject to API scope</x:v>
      </x:c>
      <x:c r="J41" t="str">
        <x:v>Qualification per ISO 15156-3 / NACE MR0175 required</x:v>
      </x:c>
      <x:c r="K41" t="str">
        <x:v>Improved (verify temperature / chloride limits)</x:v>
      </x:c>
      <x:c r="L41" t="str">
        <x:v>API / not stated</x:v>
      </x:c>
      <x:c r="M41" t="n">
        <x:v>90</x:v>
      </x:c>
      <x:c r="N41" t="str">
        <x:v>S32760</x:v>
      </x:c>
      <x:c r="O41" t="str">
        <x:v>2</x:v>
      </x:c>
      <x:c r="P41" t="str">
        <x:v>25-7-4</x:v>
      </x:c>
      <x:c r="Q41" t="str">
        <x:v>G · super duplex CRA</x:v>
      </x:c>
      <x:c r="R41"/>
      <x:c r="S41"/>
      <x:c r="T41" t="str">
        <x:v>RFQ required · no public supplier-specific quote</x:v>
      </x:c>
      <x:c r="U41"/>
      <x:c r="V41" t="str">
        <x:v>https://www.api.org/-/media/Files/Certification/Monogram-APIQR/0_API-Monogram-APIQR/LIFs/API_5CRA_Licensing_Information_Form_20230821.pdf</x:v>
      </x:c>
      <x:c r="W41" t="str">
        <x:v>Mapped against API 2023 LIF; verify API 5CRA 3rd ed (2025)</x:v>
      </x:c>
      <x:c r="X41" t="str">
        <x:v>API licensing form dated 2023; eligible category/UNS/strength combinations may differ in API 5CRA 3rd edition (2025). PSL 2 rows are NOT a purchase qualification certificate.</x:v>
      </x:c>
      <x:c r="Y41" t="str">
        <x:v>2026-10-10</x:v>
      </x:c>
    </x:row>
    <x:row r="42" ht="22" customHeight="1">
      <x:c r="A42" t="str">
        <x:v>OCTG-0056</x:v>
      </x:c>
      <x:c r="B42" t="str">
        <x:v>API reference</x:v>
      </x:c>
      <x:c r="C42" t="str">
        <x:v>Global</x:v>
      </x:c>
      <x:c r="D42" t="str">
        <x:v>25-7-4 / S39274 / 110</x:v>
      </x:c>
      <x:c r="E42" t="str">
        <x:v>API CRA category/grade</x:v>
      </x:c>
      <x:c r="F42" t="str">
        <x:v>API 5CRA group/category, PSL2 LIF (2023)</x:v>
      </x:c>
      <x:c r="G42" t="str">
        <x:v>Super duplex 25Cr</x:v>
      </x:c>
      <x:c r="H42" t="str">
        <x:v>High CO2 / chloride, project-qualified sour</x:v>
      </x:c>
      <x:c r="I42" t="str">
        <x:v>CRA OCTG seamless pipe / coupling stock subject to API scope</x:v>
      </x:c>
      <x:c r="J42" t="str">
        <x:v>Qualification per ISO 15156-3 / NACE MR0175 required</x:v>
      </x:c>
      <x:c r="K42" t="str">
        <x:v>Improved (verify temperature / chloride limits)</x:v>
      </x:c>
      <x:c r="L42" t="str">
        <x:v>API / not stated</x:v>
      </x:c>
      <x:c r="M42" t="n">
        <x:v>110</x:v>
      </x:c>
      <x:c r="N42" t="str">
        <x:v>S39274</x:v>
      </x:c>
      <x:c r="O42" t="str">
        <x:v>2</x:v>
      </x:c>
      <x:c r="P42" t="str">
        <x:v>25-7-4</x:v>
      </x:c>
      <x:c r="Q42" t="str">
        <x:v>G · super duplex CRA</x:v>
      </x:c>
      <x:c r="R42"/>
      <x:c r="S42"/>
      <x:c r="T42" t="str">
        <x:v>RFQ required · no public supplier-specific quote</x:v>
      </x:c>
      <x:c r="U42"/>
      <x:c r="V42" t="str">
        <x:v>https://www.api.org/-/media/Files/Certification/Monogram-APIQR/0_API-Monogram-APIQR/LIFs/API_5CRA_Licensing_Information_Form_20230821.pdf</x:v>
      </x:c>
      <x:c r="W42" t="str">
        <x:v>Mapped against API 2023 LIF; verify API 5CRA 3rd ed (2025)</x:v>
      </x:c>
      <x:c r="X42" t="str">
        <x:v>API licensing form dated 2023; eligible category/UNS/strength combinations may differ in API 5CRA 3rd edition (2025). PSL 2 rows are NOT a purchase qualification certificate.</x:v>
      </x:c>
      <x:c r="Y42" t="str">
        <x:v>2026-10-10</x:v>
      </x:c>
    </x:row>
    <x:row r="43" ht="22" customHeight="1">
      <x:c r="A43" t="str">
        <x:v>OCTG-0057</x:v>
      </x:c>
      <x:c r="B43" t="str">
        <x:v>API reference</x:v>
      </x:c>
      <x:c r="C43" t="str">
        <x:v>Global</x:v>
      </x:c>
      <x:c r="D43" t="str">
        <x:v>25-7-4 / S39274 / 125</x:v>
      </x:c>
      <x:c r="E43" t="str">
        <x:v>API CRA category/grade</x:v>
      </x:c>
      <x:c r="F43" t="str">
        <x:v>API 5CRA group/category, PSL2 LIF (2023)</x:v>
      </x:c>
      <x:c r="G43" t="str">
        <x:v>Super duplex 25Cr</x:v>
      </x:c>
      <x:c r="H43" t="str">
        <x:v>High CO2 / chloride, project-qualified sour</x:v>
      </x:c>
      <x:c r="I43" t="str">
        <x:v>CRA OCTG seamless pipe / coupling stock subject to API scope</x:v>
      </x:c>
      <x:c r="J43" t="str">
        <x:v>Qualification per ISO 15156-3 / NACE MR0175 required</x:v>
      </x:c>
      <x:c r="K43" t="str">
        <x:v>Improved (verify temperature / chloride limits)</x:v>
      </x:c>
      <x:c r="L43" t="str">
        <x:v>API / not stated</x:v>
      </x:c>
      <x:c r="M43" t="n">
        <x:v>125</x:v>
      </x:c>
      <x:c r="N43" t="str">
        <x:v>S39274</x:v>
      </x:c>
      <x:c r="O43" t="str">
        <x:v>2</x:v>
      </x:c>
      <x:c r="P43" t="str">
        <x:v>25-7-4</x:v>
      </x:c>
      <x:c r="Q43" t="str">
        <x:v>G · super duplex CRA</x:v>
      </x:c>
      <x:c r="R43"/>
      <x:c r="S43"/>
      <x:c r="T43" t="str">
        <x:v>RFQ required · no public supplier-specific quote</x:v>
      </x:c>
      <x:c r="U43"/>
      <x:c r="V43" t="str">
        <x:v>https://www.api.org/-/media/Files/Certification/Monogram-APIQR/0_API-Monogram-APIQR/LIFs/API_5CRA_Licensing_Information_Form_20230821.pdf</x:v>
      </x:c>
      <x:c r="W43" t="str">
        <x:v>Mapped against API 2023 LIF; verify API 5CRA 3rd ed (2025)</x:v>
      </x:c>
      <x:c r="X43" t="str">
        <x:v>API licensing form dated 2023; eligible category/UNS/strength combinations may differ in API 5CRA 3rd edition (2025). PSL 2 rows are NOT a purchase qualification certificate.</x:v>
      </x:c>
      <x:c r="Y43" t="str">
        <x:v>2026-10-10</x:v>
      </x:c>
    </x:row>
    <x:row r="44" ht="22" customHeight="1">
      <x:c r="A44" t="str">
        <x:v>OCTG-0058</x:v>
      </x:c>
      <x:c r="B44" t="str">
        <x:v>API reference</x:v>
      </x:c>
      <x:c r="C44" t="str">
        <x:v>Global</x:v>
      </x:c>
      <x:c r="D44" t="str">
        <x:v>25-7-4 / S39274 / 80</x:v>
      </x:c>
      <x:c r="E44" t="str">
        <x:v>API CRA category/grade</x:v>
      </x:c>
      <x:c r="F44" t="str">
        <x:v>API 5CRA group/category, PSL2 LIF (2023)</x:v>
      </x:c>
      <x:c r="G44" t="str">
        <x:v>Super duplex 25Cr</x:v>
      </x:c>
      <x:c r="H44" t="str">
        <x:v>High CO2 / chloride, project-qualified sour</x:v>
      </x:c>
      <x:c r="I44" t="str">
        <x:v>CRA OCTG seamless pipe / coupling stock subject to API scope</x:v>
      </x:c>
      <x:c r="J44" t="str">
        <x:v>Qualification per ISO 15156-3 / NACE MR0175 required</x:v>
      </x:c>
      <x:c r="K44" t="str">
        <x:v>Improved (verify temperature / chloride limits)</x:v>
      </x:c>
      <x:c r="L44" t="str">
        <x:v>API / not stated</x:v>
      </x:c>
      <x:c r="M44" t="n">
        <x:v>80</x:v>
      </x:c>
      <x:c r="N44" t="str">
        <x:v>S39274</x:v>
      </x:c>
      <x:c r="O44" t="str">
        <x:v>2</x:v>
      </x:c>
      <x:c r="P44" t="str">
        <x:v>25-7-4</x:v>
      </x:c>
      <x:c r="Q44" t="str">
        <x:v>G · super duplex CRA</x:v>
      </x:c>
      <x:c r="R44"/>
      <x:c r="S44"/>
      <x:c r="T44" t="str">
        <x:v>RFQ required · no public supplier-specific quote</x:v>
      </x:c>
      <x:c r="U44"/>
      <x:c r="V44" t="str">
        <x:v>https://www.api.org/-/media/Files/Certification/Monogram-APIQR/0_API-Monogram-APIQR/LIFs/API_5CRA_Licensing_Information_Form_20230821.pdf</x:v>
      </x:c>
      <x:c r="W44" t="str">
        <x:v>Mapped against API 2023 LIF; verify API 5CRA 3rd ed (2025)</x:v>
      </x:c>
      <x:c r="X44" t="str">
        <x:v>API licensing form dated 2023; eligible category/UNS/strength combinations may differ in API 5CRA 3rd edition (2025). PSL 2 rows are NOT a purchase qualification certificate.</x:v>
      </x:c>
      <x:c r="Y44" t="str">
        <x:v>2026-10-10</x:v>
      </x:c>
    </x:row>
    <x:row r="45" ht="22" customHeight="1">
      <x:c r="A45" t="str">
        <x:v>OCTG-0059</x:v>
      </x:c>
      <x:c r="B45" t="str">
        <x:v>API reference</x:v>
      </x:c>
      <x:c r="C45" t="str">
        <x:v>Global</x:v>
      </x:c>
      <x:c r="D45" t="str">
        <x:v>25-7-4 / S39274 / 90</x:v>
      </x:c>
      <x:c r="E45" t="str">
        <x:v>API CRA category/grade</x:v>
      </x:c>
      <x:c r="F45" t="str">
        <x:v>API 5CRA group/category, PSL2 LIF (2023)</x:v>
      </x:c>
      <x:c r="G45" t="str">
        <x:v>Super duplex 25Cr</x:v>
      </x:c>
      <x:c r="H45" t="str">
        <x:v>High CO2 / chloride, project-qualified sour</x:v>
      </x:c>
      <x:c r="I45" t="str">
        <x:v>CRA OCTG seamless pipe / coupling stock subject to API scope</x:v>
      </x:c>
      <x:c r="J45" t="str">
        <x:v>Qualification per ISO 15156-3 / NACE MR0175 required</x:v>
      </x:c>
      <x:c r="K45" t="str">
        <x:v>Improved (verify temperature / chloride limits)</x:v>
      </x:c>
      <x:c r="L45" t="str">
        <x:v>API / not stated</x:v>
      </x:c>
      <x:c r="M45" t="n">
        <x:v>90</x:v>
      </x:c>
      <x:c r="N45" t="str">
        <x:v>S39274</x:v>
      </x:c>
      <x:c r="O45" t="str">
        <x:v>2</x:v>
      </x:c>
      <x:c r="P45" t="str">
        <x:v>25-7-4</x:v>
      </x:c>
      <x:c r="Q45" t="str">
        <x:v>G · super duplex CRA</x:v>
      </x:c>
      <x:c r="R45"/>
      <x:c r="S45"/>
      <x:c r="T45" t="str">
        <x:v>RFQ required · no public supplier-specific quote</x:v>
      </x:c>
      <x:c r="U45"/>
      <x:c r="V45" t="str">
        <x:v>https://www.api.org/-/media/Files/Certification/Monogram-APIQR/0_API-Monogram-APIQR/LIFs/API_5CRA_Licensing_Information_Form_20230821.pdf</x:v>
      </x:c>
      <x:c r="W45" t="str">
        <x:v>Mapped against API 2023 LIF; verify API 5CRA 3rd ed (2025)</x:v>
      </x:c>
      <x:c r="X45" t="str">
        <x:v>API licensing form dated 2023; eligible category/UNS/strength combinations may differ in API 5CRA 3rd edition (2025). PSL 2 rows are NOT a purchase qualification certificate.</x:v>
      </x:c>
      <x:c r="Y45" t="str">
        <x:v>2026-10-10</x:v>
      </x:c>
    </x:row>
    <x:row r="46" ht="22" customHeight="1">
      <x:c r="A46" t="str">
        <x:v>OCTG-0060</x:v>
      </x:c>
      <x:c r="B46" t="str">
        <x:v>API reference</x:v>
      </x:c>
      <x:c r="C46" t="str">
        <x:v>Global</x:v>
      </x:c>
      <x:c r="D46" t="str">
        <x:v>26-6-3 / 110 (PSL1)</x:v>
      </x:c>
      <x:c r="E46" t="str">
        <x:v>API CRA category/grade</x:v>
      </x:c>
      <x:c r="F46" t="str">
        <x:v>API 5CRA PSL1 LIF category (2023)</x:v>
      </x:c>
      <x:c r="G46" t="str">
        <x:v>Super duplex 25Cr</x:v>
      </x:c>
      <x:c r="H46" t="str">
        <x:v>Wet CO2/chloride</x:v>
      </x:c>
      <x:c r="I46" t="str">
        <x:v>CRA seamless pipes; validate edition</x:v>
      </x:c>
      <x:c r="J46" t="str">
        <x:v>Not established by grade name</x:v>
      </x:c>
      <x:c r="K46" t="str">
        <x:v>Improved (verify temperature / chloride limits)</x:v>
      </x:c>
      <x:c r="L46" t="str">
        <x:v>API / not stated</x:v>
      </x:c>
      <x:c r="M46" t="n">
        <x:v>110</x:v>
      </x:c>
      <x:c r="N46" t="str"/>
      <x:c r="O46" t="str">
        <x:v>2</x:v>
      </x:c>
      <x:c r="P46" t="str">
        <x:v>26-6-3</x:v>
      </x:c>
      <x:c r="Q46" t="str">
        <x:v>G · super duplex CRA</x:v>
      </x:c>
      <x:c r="R46"/>
      <x:c r="S46"/>
      <x:c r="T46" t="str">
        <x:v>RFQ required · no public supplier-specific quote</x:v>
      </x:c>
      <x:c r="U46"/>
      <x:c r="V46" t="str">
        <x:v>https://www.api.org/-/media/Files/Certification/Monogram-APIQR/0_API-Monogram-APIQR/LIFs/API_5CRA_Licensing_Information_Form_20230821.pdf</x:v>
      </x:c>
      <x:c r="W46" t="str">
        <x:v>Category listed 2023 LIF; check API 2025 edition</x:v>
      </x:c>
      <x:c r="X46" t="str">
        <x:v>API licensing form dated 2023; eligible category/UNS/strength combinations may differ in API 5CRA 3rd edition (2025). PSL 2 rows are NOT a purchase qualification certificate.</x:v>
      </x:c>
      <x:c r="Y46" t="str">
        <x:v>2026-10-10</x:v>
      </x:c>
    </x:row>
    <x:row r="47" ht="22" customHeight="1">
      <x:c r="A47" t="str">
        <x:v>OCTG-0061</x:v>
      </x:c>
      <x:c r="B47" t="str">
        <x:v>API reference</x:v>
      </x:c>
      <x:c r="C47" t="str">
        <x:v>Global</x:v>
      </x:c>
      <x:c r="D47" t="str">
        <x:v>26-6-3 / 125 (PSL1)</x:v>
      </x:c>
      <x:c r="E47" t="str">
        <x:v>API CRA category/grade</x:v>
      </x:c>
      <x:c r="F47" t="str">
        <x:v>API 5CRA PSL1 LIF category (2023)</x:v>
      </x:c>
      <x:c r="G47" t="str">
        <x:v>Super duplex 25Cr</x:v>
      </x:c>
      <x:c r="H47" t="str">
        <x:v>Wet CO2/chloride</x:v>
      </x:c>
      <x:c r="I47" t="str">
        <x:v>CRA seamless pipes; validate edition</x:v>
      </x:c>
      <x:c r="J47" t="str">
        <x:v>Not established by grade name</x:v>
      </x:c>
      <x:c r="K47" t="str">
        <x:v>Improved (verify temperature / chloride limits)</x:v>
      </x:c>
      <x:c r="L47" t="str">
        <x:v>API / not stated</x:v>
      </x:c>
      <x:c r="M47" t="n">
        <x:v>125</x:v>
      </x:c>
      <x:c r="N47" t="str"/>
      <x:c r="O47" t="str">
        <x:v>2</x:v>
      </x:c>
      <x:c r="P47" t="str">
        <x:v>26-6-3</x:v>
      </x:c>
      <x:c r="Q47" t="str">
        <x:v>G · super duplex CRA</x:v>
      </x:c>
      <x:c r="R47"/>
      <x:c r="S47"/>
      <x:c r="T47" t="str">
        <x:v>RFQ required · no public supplier-specific quote</x:v>
      </x:c>
      <x:c r="U47"/>
      <x:c r="V47" t="str">
        <x:v>https://www.api.org/-/media/Files/Certification/Monogram-APIQR/0_API-Monogram-APIQR/LIFs/API_5CRA_Licensing_Information_Form_20230821.pdf</x:v>
      </x:c>
      <x:c r="W47" t="str">
        <x:v>Category listed 2023 LIF; check API 2025 edition</x:v>
      </x:c>
      <x:c r="X47" t="str">
        <x:v>API licensing form dated 2023; eligible category/UNS/strength combinations may differ in API 5CRA 3rd edition (2025). PSL 2 rows are NOT a purchase qualification certificate.</x:v>
      </x:c>
      <x:c r="Y47" t="str">
        <x:v>2026-10-10</x:v>
      </x:c>
    </x:row>
    <x:row r="48" ht="22" customHeight="1">
      <x:c r="A48" t="str">
        <x:v>OCTG-0062</x:v>
      </x:c>
      <x:c r="B48" t="str">
        <x:v>API reference</x:v>
      </x:c>
      <x:c r="C48" t="str">
        <x:v>Global</x:v>
      </x:c>
      <x:c r="D48" t="str">
        <x:v>26-6-3 / 140 (PSL1)</x:v>
      </x:c>
      <x:c r="E48" t="str">
        <x:v>API CRA category/grade</x:v>
      </x:c>
      <x:c r="F48" t="str">
        <x:v>API 5CRA PSL1 LIF category (2023)</x:v>
      </x:c>
      <x:c r="G48" t="str">
        <x:v>Super duplex 25Cr</x:v>
      </x:c>
      <x:c r="H48" t="str">
        <x:v>Wet CO2/chloride</x:v>
      </x:c>
      <x:c r="I48" t="str">
        <x:v>CRA seamless pipes; validate edition</x:v>
      </x:c>
      <x:c r="J48" t="str">
        <x:v>Not established by grade name</x:v>
      </x:c>
      <x:c r="K48" t="str">
        <x:v>Improved (verify temperature / chloride limits)</x:v>
      </x:c>
      <x:c r="L48" t="str">
        <x:v>API / not stated</x:v>
      </x:c>
      <x:c r="M48" t="n">
        <x:v>140</x:v>
      </x:c>
      <x:c r="N48" t="str"/>
      <x:c r="O48" t="str">
        <x:v>2</x:v>
      </x:c>
      <x:c r="P48" t="str">
        <x:v>26-6-3</x:v>
      </x:c>
      <x:c r="Q48" t="str">
        <x:v>G · super duplex CRA</x:v>
      </x:c>
      <x:c r="R48"/>
      <x:c r="S48"/>
      <x:c r="T48" t="str">
        <x:v>RFQ required · no public supplier-specific quote</x:v>
      </x:c>
      <x:c r="U48"/>
      <x:c r="V48" t="str">
        <x:v>https://www.api.org/-/media/Files/Certification/Monogram-APIQR/0_API-Monogram-APIQR/LIFs/API_5CRA_Licensing_Information_Form_20230821.pdf</x:v>
      </x:c>
      <x:c r="W48" t="str">
        <x:v>Category listed 2023 LIF; check API 2025 edition</x:v>
      </x:c>
      <x:c r="X48" t="str">
        <x:v>API licensing form dated 2023; eligible category/UNS/strength combinations may differ in API 5CRA 3rd edition (2025). PSL 2 rows are NOT a purchase qualification certificate.</x:v>
      </x:c>
      <x:c r="Y48" t="str">
        <x:v>2026-10-10</x:v>
      </x:c>
    </x:row>
    <x:row r="49" ht="22" customHeight="1">
      <x:c r="A49" t="str">
        <x:v>OCTG-0063</x:v>
      </x:c>
      <x:c r="B49" t="str">
        <x:v>API reference</x:v>
      </x:c>
      <x:c r="C49" t="str">
        <x:v>Global</x:v>
      </x:c>
      <x:c r="D49" t="str">
        <x:v>26-6-3 / 80 (PSL1)</x:v>
      </x:c>
      <x:c r="E49" t="str">
        <x:v>API CRA category/grade</x:v>
      </x:c>
      <x:c r="F49" t="str">
        <x:v>API 5CRA PSL1 LIF category (2023)</x:v>
      </x:c>
      <x:c r="G49" t="str">
        <x:v>Super duplex 25Cr</x:v>
      </x:c>
      <x:c r="H49" t="str">
        <x:v>Wet CO2/chloride</x:v>
      </x:c>
      <x:c r="I49" t="str">
        <x:v>CRA seamless pipes; validate edition</x:v>
      </x:c>
      <x:c r="J49" t="str">
        <x:v>Not established by grade name</x:v>
      </x:c>
      <x:c r="K49" t="str">
        <x:v>Improved (verify temperature / chloride limits)</x:v>
      </x:c>
      <x:c r="L49" t="str">
        <x:v>API / not stated</x:v>
      </x:c>
      <x:c r="M49" t="n">
        <x:v>80</x:v>
      </x:c>
      <x:c r="N49" t="str"/>
      <x:c r="O49" t="str">
        <x:v>2</x:v>
      </x:c>
      <x:c r="P49" t="str">
        <x:v>26-6-3</x:v>
      </x:c>
      <x:c r="Q49" t="str">
        <x:v>G · super duplex CRA</x:v>
      </x:c>
      <x:c r="R49"/>
      <x:c r="S49"/>
      <x:c r="T49" t="str">
        <x:v>RFQ required · no public supplier-specific quote</x:v>
      </x:c>
      <x:c r="U49"/>
      <x:c r="V49" t="str">
        <x:v>https://www.api.org/-/media/Files/Certification/Monogram-APIQR/0_API-Monogram-APIQR/LIFs/API_5CRA_Licensing_Information_Form_20230821.pdf</x:v>
      </x:c>
      <x:c r="W49" t="str">
        <x:v>Category listed 2023 LIF; check API 2025 edition</x:v>
      </x:c>
      <x:c r="X49" t="str">
        <x:v>API licensing form dated 2023; eligible category/UNS/strength combinations may differ in API 5CRA 3rd edition (2025). PSL 2 rows are NOT a purchase qualification certificate.</x:v>
      </x:c>
      <x:c r="Y49" t="str">
        <x:v>2026-10-10</x:v>
      </x:c>
    </x:row>
    <x:row r="50" ht="22" customHeight="1">
      <x:c r="A50" t="str">
        <x:v>OCTG-0064</x:v>
      </x:c>
      <x:c r="B50" t="str">
        <x:v>API reference</x:v>
      </x:c>
      <x:c r="C50" t="str">
        <x:v>Global</x:v>
      </x:c>
      <x:c r="D50" t="str">
        <x:v>26-6-3 / 90 (PSL1)</x:v>
      </x:c>
      <x:c r="E50" t="str">
        <x:v>API CRA category/grade</x:v>
      </x:c>
      <x:c r="F50" t="str">
        <x:v>API 5CRA PSL1 LIF category (2023)</x:v>
      </x:c>
      <x:c r="G50" t="str">
        <x:v>Super duplex 25Cr</x:v>
      </x:c>
      <x:c r="H50" t="str">
        <x:v>Wet CO2/chloride</x:v>
      </x:c>
      <x:c r="I50" t="str">
        <x:v>CRA seamless pipes; validate edition</x:v>
      </x:c>
      <x:c r="J50" t="str">
        <x:v>Not established by grade name</x:v>
      </x:c>
      <x:c r="K50" t="str">
        <x:v>Improved (verify temperature / chloride limits)</x:v>
      </x:c>
      <x:c r="L50" t="str">
        <x:v>API / not stated</x:v>
      </x:c>
      <x:c r="M50" t="n">
        <x:v>90</x:v>
      </x:c>
      <x:c r="N50" t="str"/>
      <x:c r="O50" t="str">
        <x:v>2</x:v>
      </x:c>
      <x:c r="P50" t="str">
        <x:v>26-6-3</x:v>
      </x:c>
      <x:c r="Q50" t="str">
        <x:v>G · super duplex CRA</x:v>
      </x:c>
      <x:c r="R50"/>
      <x:c r="S50"/>
      <x:c r="T50" t="str">
        <x:v>RFQ required · no public supplier-specific quote</x:v>
      </x:c>
      <x:c r="U50"/>
      <x:c r="V50" t="str">
        <x:v>https://www.api.org/-/media/Files/Certification/Monogram-APIQR/0_API-Monogram-APIQR/LIFs/API_5CRA_Licensing_Information_Form_20230821.pdf</x:v>
      </x:c>
      <x:c r="W50" t="str">
        <x:v>Category listed 2023 LIF; check API 2025 edition</x:v>
      </x:c>
      <x:c r="X50" t="str">
        <x:v>API licensing form dated 2023; eligible category/UNS/strength combinations may differ in API 5CRA 3rd edition (2025). PSL 2 rows are NOT a purchase qualification certificate.</x:v>
      </x:c>
      <x:c r="Y50" t="str">
        <x:v>2026-10-10</x:v>
      </x:c>
    </x:row>
  </x:sheetData>
  <x:pageMargins left="0.7" right="0.7" top="0.75" bottom="0.75" header="0.3" footer="0.3"/>
  <x:tableParts count="1">
    <x:tablePart xmlns:r="http://schemas.openxmlformats.org/officeDocument/2006/relationships" r:id="Rdd7c1438929945a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23" hidden="0" customWidth="1"/>
    <x:col min="4" max="4" width="24" hidden="0" customWidth="1"/>
    <x:col min="5" max="5" width="17" hidden="0" customWidth="1"/>
    <x:col min="6" max="6" width="17" hidden="0" customWidth="1"/>
    <x:col min="7" max="7" width="19" hidden="0" customWidth="1"/>
    <x:col min="8" max="8" width="75" hidden="0" customWidth="1"/>
    <x:col min="9" max="9" width="66" hidden="0" customWidth="1"/>
  </x:cols>
  <x:sheetData>
    <x:row r="1" ht="38" customHeight="1">
      <x:c r="A1" s="5" t="str">
        <x:v>Market/Basis</x:v>
      </x:c>
      <x:c r="B1" s="5" t="str">
        <x:v>Observation</x:v>
      </x:c>
      <x:c r="C1" s="5" t="str">
        <x:v>Grade</x:v>
      </x:c>
      <x:c r="D1" s="5" t="str">
        <x:v>Product</x:v>
      </x:c>
      <x:c r="E1" s="5" t="str">
        <x:v>Low price</x:v>
      </x:c>
      <x:c r="F1" s="5" t="str">
        <x:v>High price</x:v>
      </x:c>
      <x:c r="G1" s="5" t="str">
        <x:v>Price units</x:v>
      </x:c>
      <x:c r="H1" s="5" t="str">
        <x:v>Important qualifications</x:v>
      </x:c>
      <x:c r="I1" s="5" t="str">
        <x:v>Source URL</x:v>
      </x:c>
    </x:row>
    <x:row r="2" ht="22" customHeight="1">
      <x:c r="A2" t="str">
        <x:v>China FOB indicative</x:v>
      </x:c>
      <x:c r="B2" t="str">
        <x:v>2026</x:v>
      </x:c>
      <x:c r="C2" t="str">
        <x:v>J55</x:v>
      </x:c>
      <x:c r="D2" t="str">
        <x:v>Generic API 5CT</x:v>
      </x:c>
      <x:c r="E2" s="10" t="n">
        <x:v>650</x:v>
      </x:c>
      <x:c r="F2" s="10" t="n">
        <x:v>800</x:v>
      </x:c>
      <x:c r="G2" t="str">
        <x:v>USD/metric ton</x:v>
      </x:c>
      <x:c r="H2" t="str">
        <x:v>General FOB China benchmark, not supplier quote</x:v>
      </x:c>
      <x:c r="I2" t="str">
        <x:v>https://xbangsupply.com/en/articles/seamless-steel-pipe-price-per-ton-2026/</x:v>
      </x:c>
    </x:row>
    <x:row r="3" ht="22" customHeight="1">
      <x:c r="A3" t="str">
        <x:v>China FOB indicative</x:v>
      </x:c>
      <x:c r="B3" t="str">
        <x:v>2026</x:v>
      </x:c>
      <x:c r="C3" t="str">
        <x:v>K55</x:v>
      </x:c>
      <x:c r="D3" t="str">
        <x:v>Generic API 5CT</x:v>
      </x:c>
      <x:c r="E3" s="10" t="n">
        <x:v>680</x:v>
      </x:c>
      <x:c r="F3" s="10" t="n">
        <x:v>830</x:v>
      </x:c>
      <x:c r="G3" t="str">
        <x:v>USD/metric ton</x:v>
      </x:c>
      <x:c r="H3" t="str">
        <x:v>General FOB China benchmark, not supplier quote</x:v>
      </x:c>
      <x:c r="I3" t="str">
        <x:v>https://xbangsupply.com/en/articles/seamless-steel-pipe-price-per-ton-2026/</x:v>
      </x:c>
    </x:row>
    <x:row r="4" ht="22" customHeight="1">
      <x:c r="A4" t="str">
        <x:v>China FOB indicative</x:v>
      </x:c>
      <x:c r="B4" t="str">
        <x:v>2026</x:v>
      </x:c>
      <x:c r="C4" t="str">
        <x:v>N80</x:v>
      </x:c>
      <x:c r="D4" t="str">
        <x:v>Generic API 5CT</x:v>
      </x:c>
      <x:c r="E4" s="10" t="n">
        <x:v>750</x:v>
      </x:c>
      <x:c r="F4" s="10" t="n">
        <x:v>920</x:v>
      </x:c>
      <x:c r="G4" t="str">
        <x:v>USD/metric ton</x:v>
      </x:c>
      <x:c r="H4" t="str">
        <x:v>General FOB China benchmark, not supplier quote</x:v>
      </x:c>
      <x:c r="I4" t="str">
        <x:v>https://xbangsupply.com/en/articles/seamless-steel-pipe-price-per-ton-2026/</x:v>
      </x:c>
    </x:row>
    <x:row r="5" ht="22" customHeight="1">
      <x:c r="A5" t="str">
        <x:v>China FOB indicative</x:v>
      </x:c>
      <x:c r="B5" t="str">
        <x:v>2026</x:v>
      </x:c>
      <x:c r="C5" t="str">
        <x:v>L80</x:v>
      </x:c>
      <x:c r="D5" t="str">
        <x:v>Generic API 5CT</x:v>
      </x:c>
      <x:c r="E5" s="10" t="n">
        <x:v>850</x:v>
      </x:c>
      <x:c r="F5" s="10" t="n">
        <x:v>1050</x:v>
      </x:c>
      <x:c r="G5" t="str">
        <x:v>USD/metric ton</x:v>
      </x:c>
      <x:c r="H5" t="str">
        <x:v>Carbon low-alloy L80; 9Cr and 13Cr are different</x:v>
      </x:c>
      <x:c r="I5" t="str">
        <x:v>https://xbangsupply.com/en/articles/seamless-steel-pipe-price-per-ton-2026/</x:v>
      </x:c>
    </x:row>
    <x:row r="6" ht="22" customHeight="1">
      <x:c r="A6" t="str">
        <x:v>China FOB indicative</x:v>
      </x:c>
      <x:c r="B6" t="str">
        <x:v>2026</x:v>
      </x:c>
      <x:c r="C6" t="str">
        <x:v>P110</x:v>
      </x:c>
      <x:c r="D6" t="str">
        <x:v>Generic API 5CT</x:v>
      </x:c>
      <x:c r="E6" s="10" t="n">
        <x:v>950</x:v>
      </x:c>
      <x:c r="F6" s="10" t="n">
        <x:v>1200</x:v>
      </x:c>
      <x:c r="G6" t="str">
        <x:v>USD/metric ton</x:v>
      </x:c>
      <x:c r="H6" t="str">
        <x:v>General FOB China benchmark, not supplier quote</x:v>
      </x:c>
      <x:c r="I6" t="str">
        <x:v>https://xbangsupply.com/en/articles/seamless-steel-pipe-price-per-ton-2026/</x:v>
      </x:c>
    </x:row>
    <x:row r="7" ht="22" customHeight="1">
      <x:c r="A7" t="str">
        <x:v>Tube/Pipe association</x:v>
      </x:c>
      <x:c r="B7" t="str">
        <x:v>2026 Q1</x:v>
      </x:c>
      <x:c r="C7" t="str">
        <x:v>P110 casing 5.5in</x:v>
      </x:c>
      <x:c r="D7" t="str">
        <x:v>Representative market</x:v>
      </x:c>
      <x:c r="E7" s="10" t="n">
        <x:v>1800</x:v>
      </x:c>
      <x:c r="F7" s="10" t="n">
        <x:v>1800</x:v>
      </x:c>
      <x:c r="G7" t="str">
        <x:v>USD/metric ton</x:v>
      </x:c>
      <x:c r="H7" t="str">
        <x:v>Approx. price for selected published market benchmark; different region and basis from China FOB</x:v>
      </x:c>
      <x:c r="I7" t="str">
        <x:v>https://www.itatube.org/market_overview_0426.php</x:v>
      </x:c>
    </x:row>
    <x:row r="8" ht="22" customHeight="1">
      <x:c r="A8" t="str">
        <x:v>US distributor spot</x:v>
      </x:c>
      <x:c r="B8" t="str">
        <x:v>July 2026</x:v>
      </x:c>
      <x:c r="C8" t="str">
        <x:v>J55 tubing 2-3/8in</x:v>
      </x:c>
      <x:c r="D8" t="str">
        <x:v>2-3/8in tubing</x:v>
      </x:c>
      <x:c r="E8" s="10" t="n">
        <x:v>3.3</x:v>
      </x:c>
      <x:c r="F8" s="10" t="n">
        <x:v>4.2</x:v>
      </x:c>
      <x:c r="G8" t="str">
        <x:v>USD/foot</x:v>
      </x:c>
      <x:c r="H8" t="str">
        <x:v>Requires actual lb/ft to convert into USD/t; no conversion implied</x:v>
      </x:c>
      <x:c r="I8" t="str">
        <x:v>https://njoilfieldservices.blogspot.com/2026/07/</x:v>
      </x:c>
    </x:row>
    <x:row r="9" ht="22" customHeight="1">
      <x:c r="A9" t="str">
        <x:v>US distributor spot</x:v>
      </x:c>
      <x:c r="B9" t="str">
        <x:v>July 2026</x:v>
      </x:c>
      <x:c r="C9" t="str">
        <x:v>J55 tubing 2-7/8in</x:v>
      </x:c>
      <x:c r="D9" t="str">
        <x:v>2-7/8in tubing</x:v>
      </x:c>
      <x:c r="E9" s="10" t="n">
        <x:v>4.5</x:v>
      </x:c>
      <x:c r="F9" s="10" t="n">
        <x:v>5.6</x:v>
      </x:c>
      <x:c r="G9" t="str">
        <x:v>USD/foot</x:v>
      </x:c>
      <x:c r="H9" t="str">
        <x:v>Different pipe size; not comparable to bare material unit cost</x:v>
      </x:c>
      <x:c r="I9" t="str">
        <x:v>https://njoilfieldservices.blogspot.com/2026/07/</x:v>
      </x:c>
    </x:row>
    <x:row r="10" ht="22" customHeight="1">
      <x:c r="A10" t="str">
        <x:v>US distributor spot</x:v>
      </x:c>
      <x:c r="B10" t="str">
        <x:v>July 2026</x:v>
      </x:c>
      <x:c r="C10" t="str">
        <x:v>L80 tubing 2-7/8in</x:v>
      </x:c>
      <x:c r="D10" t="str">
        <x:v>2-7/8in tubing</x:v>
      </x:c>
      <x:c r="E10" s="10" t="n">
        <x:v>5.8</x:v>
      </x:c>
      <x:c r="F10" s="10" t="n">
        <x:v>7.2</x:v>
      </x:c>
      <x:c r="G10" t="str">
        <x:v>USD/foot</x:v>
      </x:c>
      <x:c r="H10" t="str">
        <x:v>Distributor spot, not producer mill quotation</x:v>
      </x:c>
      <x:c r="I10" t="str">
        <x:v>https://njoilfieldservices.blogspot.com/2026/07/</x:v>
      </x:c>
    </x:row>
    <x:row r="11" ht="22" customHeight="1">
      <x:c r="A11" t="str">
        <x:v>US distributor spot</x:v>
      </x:c>
      <x:c r="B11" t="str">
        <x:v>July 2026</x:v>
      </x:c>
      <x:c r="C11" t="str">
        <x:v>L80 tubing 3-1/2in</x:v>
      </x:c>
      <x:c r="D11" t="str">
        <x:v>3-1/2in tubing</x:v>
      </x:c>
      <x:c r="E11" s="10" t="n">
        <x:v>7.2</x:v>
      </x:c>
      <x:c r="F11" s="10" t="n">
        <x:v>8.8</x:v>
      </x:c>
      <x:c r="G11" t="str">
        <x:v>USD/foot</x:v>
      </x:c>
      <x:c r="H11" t="str">
        <x:v>Distributor spot, not producer mill quotation</x:v>
      </x:c>
      <x:c r="I11" t="str">
        <x:v>https://njoilfieldservices.blogspot.com/2026/07/</x:v>
      </x:c>
    </x:row>
    <x:row r="12" ht="22" customHeight="1">
      <x:c r="A12" t="str">
        <x:v>US distributor spot</x:v>
      </x:c>
      <x:c r="B12" t="str">
        <x:v>July 2026</x:v>
      </x:c>
      <x:c r="C12" t="str">
        <x:v>J55 casing 4-1/2in</x:v>
      </x:c>
      <x:c r="D12" t="str">
        <x:v>4-1/2in casing</x:v>
      </x:c>
      <x:c r="E12" s="10" t="n">
        <x:v>8.5</x:v>
      </x:c>
      <x:c r="F12" s="10" t="n">
        <x:v>10.5</x:v>
      </x:c>
      <x:c r="G12" t="str">
        <x:v>USD/foot</x:v>
      </x:c>
      <x:c r="H12" t="str">
        <x:v>Distributor spot, not producer mill quotation</x:v>
      </x:c>
      <x:c r="I12" t="str">
        <x:v>https://njoilfieldservices.blogspot.com/2026/07/</x:v>
      </x:c>
    </x:row>
    <x:row r="13" ht="22" customHeight="1">
      <x:c r="A13" t="str">
        <x:v>US distributor spot</x:v>
      </x:c>
      <x:c r="B13" t="str">
        <x:v>July 2026</x:v>
      </x:c>
      <x:c r="C13" t="str">
        <x:v>L80 casing 4-1/2in</x:v>
      </x:c>
      <x:c r="D13" t="str">
        <x:v>4-1/2in casing</x:v>
      </x:c>
      <x:c r="E13" s="10" t="n">
        <x:v>10.5</x:v>
      </x:c>
      <x:c r="F13" s="10" t="n">
        <x:v>12.8</x:v>
      </x:c>
      <x:c r="G13" t="str">
        <x:v>USD/foot</x:v>
      </x:c>
      <x:c r="H13" t="str">
        <x:v>Distributor spot, not producer mill quotation</x:v>
      </x:c>
      <x:c r="I13" t="str">
        <x:v>https://njoilfieldservices.blogspot.com/2026/07/</x:v>
      </x:c>
    </x:row>
    <x:row r="14" ht="22" customHeight="1">
      <x:c r="A14" t="str">
        <x:v>US distributor spot</x:v>
      </x:c>
      <x:c r="B14" t="str">
        <x:v>July 2026</x:v>
      </x:c>
      <x:c r="C14" t="str">
        <x:v>J55 casing 5-1/2in</x:v>
      </x:c>
      <x:c r="D14" t="str">
        <x:v>5-1/2in casing</x:v>
      </x:c>
      <x:c r="E14" s="10" t="n">
        <x:v>10.5</x:v>
      </x:c>
      <x:c r="F14" s="10" t="n">
        <x:v>12.8</x:v>
      </x:c>
      <x:c r="G14" t="str">
        <x:v>USD/foot</x:v>
      </x:c>
      <x:c r="H14" t="str">
        <x:v>Distributor spot, not producer mill quotation</x:v>
      </x:c>
      <x:c r="I14" t="str">
        <x:v>https://njoilfieldservices.blogspot.com/2026/07/</x:v>
      </x:c>
    </x:row>
    <x:row r="15" ht="22" customHeight="1">
      <x:c r="A15" t="str">
        <x:v>US distributor spot</x:v>
      </x:c>
      <x:c r="B15" t="str">
        <x:v>July 2026</x:v>
      </x:c>
      <x:c r="C15" t="str">
        <x:v>L80 casing 5-1/2in</x:v>
      </x:c>
      <x:c r="D15" t="str">
        <x:v>5-1/2in casing</x:v>
      </x:c>
      <x:c r="E15" s="10" t="n">
        <x:v>12.8</x:v>
      </x:c>
      <x:c r="F15" s="10" t="n">
        <x:v>15.5</x:v>
      </x:c>
      <x:c r="G15" t="str">
        <x:v>USD/foot</x:v>
      </x:c>
      <x:c r="H15" t="str">
        <x:v>Distributor spot, not producer mill quotation</x:v>
      </x:c>
      <x:c r="I15" t="str">
        <x:v>https://njoilfieldservices.blogspot.com/2026/07/</x:v>
      </x:c>
    </x:row>
    <x:row r="16" ht="22" customHeight="1">
      <x:c r="A16" t="str">
        <x:v>US distributor spot</x:v>
      </x:c>
      <x:c r="B16" t="str">
        <x:v>July 2026</x:v>
      </x:c>
      <x:c r="C16" t="str">
        <x:v>P110 casing 5-1/2in</x:v>
      </x:c>
      <x:c r="D16" t="str">
        <x:v>5-1/2in casing</x:v>
      </x:c>
      <x:c r="E16" s="10" t="n">
        <x:v>15.5</x:v>
      </x:c>
      <x:c r="F16" s="10" t="n">
        <x:v>18.5</x:v>
      </x:c>
      <x:c r="G16" t="str">
        <x:v>USD/foot</x:v>
      </x:c>
      <x:c r="H16" t="str">
        <x:v>Distributor spot, not producer mill quotation</x:v>
      </x:c>
      <x:c r="I16" t="str">
        <x:v>https://njoilfieldservices.blogspot.com/2026/07/</x:v>
      </x:c>
    </x:row>
    <x:row r="17" ht="22" customHeight="1">
      <x:c r="A17" t="str">
        <x:v>US distributor spot</x:v>
      </x:c>
      <x:c r="B17" t="str">
        <x:v>July 2026</x:v>
      </x:c>
      <x:c r="C17" t="str">
        <x:v>J55 casing 7in</x:v>
      </x:c>
      <x:c r="D17" t="str">
        <x:v>7in casing</x:v>
      </x:c>
      <x:c r="E17" s="10" t="n">
        <x:v>18</x:v>
      </x:c>
      <x:c r="F17" s="10" t="n">
        <x:v>22</x:v>
      </x:c>
      <x:c r="G17" t="str">
        <x:v>USD/foot</x:v>
      </x:c>
      <x:c r="H17" t="str">
        <x:v>Distributor spot, not producer mill quotation</x:v>
      </x:c>
      <x:c r="I17" t="str">
        <x:v>https://njoilfieldservices.blogspot.com/2026/07/</x:v>
      </x:c>
    </x:row>
    <x:row r="18" ht="22" customHeight="1">
      <x:c r="A18" t="str">
        <x:v>US distributor spot</x:v>
      </x:c>
      <x:c r="B18" t="str">
        <x:v>July 2026</x:v>
      </x:c>
      <x:c r="C18" t="str">
        <x:v>P110 casing 7in</x:v>
      </x:c>
      <x:c r="D18" t="str">
        <x:v>7in casing</x:v>
      </x:c>
      <x:c r="E18" s="10" t="n">
        <x:v>24</x:v>
      </x:c>
      <x:c r="F18" s="10" t="n">
        <x:v>29</x:v>
      </x:c>
      <x:c r="G18" t="str">
        <x:v>USD/foot</x:v>
      </x:c>
      <x:c r="H18" t="str">
        <x:v>Distributor spot, not producer mill quotation</x:v>
      </x:c>
      <x:c r="I18" t="str">
        <x:v>https://njoilfieldservices.blogspot.com/2026/07/</x:v>
      </x:c>
    </x:row>
  </x:sheetData>
  <x:pageMargins left="0.7" right="0.7" top="0.75" bottom="0.75" header="0.3" footer="0.3"/>
  <x:tableParts count="1">
    <x:tablePart xmlns:r="http://schemas.openxmlformats.org/officeDocument/2006/relationships" r:id="R45d645b8a0824c8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6" hidden="0" customWidth="1"/>
    <x:col min="3" max="3" width="16" hidden="0" customWidth="1"/>
    <x:col min="4" max="4" width="22" hidden="0" customWidth="1"/>
    <x:col min="5" max="5" width="24" hidden="0" customWidth="1"/>
    <x:col min="6" max="6" width="21" hidden="0" customWidth="1"/>
    <x:col min="7" max="7" width="66" hidden="0" customWidth="1"/>
    <x:col min="8" max="8" width="65" hidden="0" customWidth="1"/>
  </x:cols>
  <x:sheetData>
    <x:row r="1" ht="32" customHeight="1">
      <x:c r="A1" s="5" t="str">
        <x:v>Supplier</x:v>
      </x:c>
      <x:c r="B1" s="5" t="str">
        <x:v>Region</x:v>
      </x:c>
      <x:c r="C1" s="5" t="str">
        <x:v>Records</x:v>
      </x:c>
      <x:c r="D1" s="5" t="str">
        <x:v>Direct proprietary</x:v>
      </x:c>
      <x:c r="E1" s="5" t="str">
        <x:v>API / supplier listed</x:v>
      </x:c>
      <x:c r="F1" s="5" t="str">
        <x:v>CRA family records</x:v>
      </x:c>
      <x:c r="G1" s="5" t="str">
        <x:v>Source / catalog</x:v>
      </x:c>
      <x:c r="H1" s="5" t="str">
        <x:v>Coverage detail</x:v>
      </x:c>
    </x:row>
    <x:row r="2" ht="24" customHeight="1">
      <x:c r="A2" t="str">
        <x:v>Tenaris</x:v>
      </x:c>
      <x:c r="B2" t="str">
        <x:v>Global / Italy</x:v>
      </x:c>
      <x:c r="C2" t="n">
        <x:v>84</x:v>
      </x:c>
      <x:c r="D2" t="n">
        <x:v>71</x:v>
      </x:c>
      <x:c r="E2" t="n">
        <x:v>0</x:v>
      </x:c>
      <x:c r="F2" t="n">
        <x:v>13</x:v>
      </x:c>
      <x:c r="G2" t="str">
        <x:v>https://www.tenaris.com/en/products-and-services/octg/steel-grades/</x:v>
      </x:c>
      <x:c r="H2" t="str">
        <x:v>Catalog-listed; non-exhaustive across non-public/custom grades</x:v>
      </x:c>
    </x:row>
    <x:row r="3" ht="24" customHeight="1">
      <x:c r="A3" t="str">
        <x:v>voestalpine Tubulars</x:v>
      </x:c>
      <x:c r="B3" t="str">
        <x:v>Austria</x:v>
      </x:c>
      <x:c r="C3" t="n">
        <x:v>69</x:v>
      </x:c>
      <x:c r="D3" t="n">
        <x:v>69</x:v>
      </x:c>
      <x:c r="E3" t="n">
        <x:v>0</x:v>
      </x:c>
      <x:c r="F3" t="n">
        <x:v>0</x:v>
      </x:c>
      <x:c r="G3" t="str">
        <x:v>https://www.voestalpine.com/tubulars/en/products/Proprietary-Grades/</x:v>
      </x:c>
      <x:c r="H3" t="str">
        <x:v>Catalog-listed; non-exhaustive across non-public/custom grades</x:v>
      </x:c>
    </x:row>
    <x:row r="4" ht="24" customHeight="1">
      <x:c r="A4" t="str">
        <x:v>Vallourec</x:v>
      </x:c>
      <x:c r="B4" t="str">
        <x:v>Global / France</x:v>
      </x:c>
      <x:c r="C4" t="n">
        <x:v>68</x:v>
      </x:c>
      <x:c r="D4" t="n">
        <x:v>68</x:v>
      </x:c>
      <x:c r="E4" t="n">
        <x:v>0</x:v>
      </x:c>
      <x:c r="F4" t="n">
        <x:v>0</x:v>
      </x:c>
      <x:c r="G4" t="str">
        <x:v>https://solutions.vallourec.com/product/high-collapse/</x:v>
      </x:c>
      <x:c r="H4" t="str">
        <x:v>Catalog-listed; non-exhaustive across non-public/custom grades</x:v>
      </x:c>
    </x:row>
    <x:row r="5" ht="24" customHeight="1">
      <x:c r="A5" t="str">
        <x:v>Nippon Steel</x:v>
      </x:c>
      <x:c r="B5" t="str">
        <x:v>Japan</x:v>
      </x:c>
      <x:c r="C5" t="n">
        <x:v>50</x:v>
      </x:c>
      <x:c r="D5" t="n">
        <x:v>50</x:v>
      </x:c>
      <x:c r="E5" t="n">
        <x:v>0</x:v>
      </x:c>
      <x:c r="F5" t="n">
        <x:v>16</x:v>
      </x:c>
      <x:c r="G5" t="str">
        <x:v>https://www.tubular.nipponsteel.com/octg-material/application-list/sour-service</x:v>
      </x:c>
      <x:c r="H5" t="str">
        <x:v>Catalog-listed; non-exhaustive across non-public/custom grades</x:v>
      </x:c>
    </x:row>
    <x:row r="6" ht="24" customHeight="1">
      <x:c r="A6" t="str">
        <x:v>JFE Steel</x:v>
      </x:c>
      <x:c r="B6" t="str">
        <x:v>Japan</x:v>
      </x:c>
      <x:c r="C6" t="n">
        <x:v>36</x:v>
      </x:c>
      <x:c r="D6" t="n">
        <x:v>36</x:v>
      </x:c>
      <x:c r="E6" t="n">
        <x:v>0</x:v>
      </x:c>
      <x:c r="F6" t="n">
        <x:v>0</x:v>
      </x:c>
      <x:c r="G6" t="str">
        <x:v>https://www.jfe-steel.co.jp/en/products/energy/octg/material/grade_table.html</x:v>
      </x:c>
      <x:c r="H6" t="str">
        <x:v>Catalog-listed; non-exhaustive across non-public/custom grades</x:v>
      </x:c>
    </x:row>
    <x:row r="7" ht="24" customHeight="1">
      <x:c r="A7" t="str">
        <x:v>U. S. Steel Tubular</x:v>
      </x:c>
      <x:c r="B7" t="str">
        <x:v>United States</x:v>
      </x:c>
      <x:c r="C7" t="n">
        <x:v>12</x:v>
      </x:c>
      <x:c r="D7" t="n">
        <x:v>12</x:v>
      </x:c>
      <x:c r="E7" t="n">
        <x:v>0</x:v>
      </x:c>
      <x:c r="F7" t="n">
        <x:v>0</x:v>
      </x:c>
      <x:c r="G7" t="str">
        <x:v>https://www.ussteel.com/customers/products/tubular/octg</x:v>
      </x:c>
      <x:c r="H7" t="str">
        <x:v>Catalog-listed; non-exhaustive across non-public/custom grades</x:v>
      </x:c>
    </x:row>
    <x:row r="8" ht="24" customHeight="1">
      <x:c r="A8" t="str">
        <x:v>ArcelorMittal</x:v>
      </x:c>
      <x:c r="B8" t="str">
        <x:v>Global</x:v>
      </x:c>
      <x:c r="C8" t="n">
        <x:v>12</x:v>
      </x:c>
      <x:c r="D8" t="n">
        <x:v>0</x:v>
      </x:c>
      <x:c r="E8" t="n">
        <x:v>12</x:v>
      </x:c>
      <x:c r="F8" t="n">
        <x:v>0</x:v>
      </x:c>
      <x:c r="G8" t="str">
        <x:v>https://projects.arcelormittal.com/energy/products-services/product-range/pipes-tubulars</x:v>
      </x:c>
      <x:c r="H8" t="str">
        <x:v>Catalog-listed; non-exhaustive across non-public/custom grades</x:v>
      </x:c>
    </x:row>
    <x:row r="9" ht="24" customHeight="1">
      <x:c r="A9" t="str">
        <x:v>Tianjin Pipe (TPCO)</x:v>
      </x:c>
      <x:c r="B9" t="str">
        <x:v>China</x:v>
      </x:c>
      <x:c r="C9" t="n">
        <x:v>11</x:v>
      </x:c>
      <x:c r="D9" t="n">
        <x:v>0</x:v>
      </x:c>
      <x:c r="E9" t="n">
        <x:v>0</x:v>
      </x:c>
      <x:c r="F9" t="n">
        <x:v>5</x:v>
      </x:c>
      <x:c r="G9" t="str">
        <x:v>https://www.tpco.com.cn/system/2017/08/30/014009466.shtml</x:v>
      </x:c>
      <x:c r="H9" t="str">
        <x:v>Catalog-listed; non-exhaustive across non-public/custom grades</x:v>
      </x:c>
    </x:row>
    <x:row r="10" ht="24" customHeight="1">
      <x:c r="A10" t="str">
        <x:v>Interpipe</x:v>
      </x:c>
      <x:c r="B10" t="str">
        <x:v>Ukraine</x:v>
      </x:c>
      <x:c r="C10" t="n">
        <x:v>11</x:v>
      </x:c>
      <x:c r="D10" t="n">
        <x:v>0</x:v>
      </x:c>
      <x:c r="E10" t="n">
        <x:v>11</x:v>
      </x:c>
      <x:c r="F10" t="n">
        <x:v>0</x:v>
      </x:c>
      <x:c r="G10" t="str">
        <x:v>https://interpipe.biz/en/esg/environment/green_supplies/</x:v>
      </x:c>
      <x:c r="H10" t="str">
        <x:v>Catalog-listed; non-exhaustive across non-public/custom grades</x:v>
      </x:c>
    </x:row>
    <x:row r="11" ht="24" customHeight="1">
      <x:c r="A11" t="str">
        <x:v>Borusan Mannesmann</x:v>
      </x:c>
      <x:c r="B11" t="str">
        <x:v>Türkiye / United States</x:v>
      </x:c>
      <x:c r="C11" t="n">
        <x:v>10</x:v>
      </x:c>
      <x:c r="D11" t="n">
        <x:v>10</x:v>
      </x:c>
      <x:c r="E11" t="n">
        <x:v>0</x:v>
      </x:c>
      <x:c r="F11" t="n">
        <x:v>0</x:v>
      </x:c>
      <x:c r="G11" t="str">
        <x:v>https://www.borusanmannesmann.com/media/2139/octg2018-web.pdf</x:v>
      </x:c>
      <x:c r="H11" t="str">
        <x:v>Catalog-listed; non-exhaustive across non-public/custom grades</x:v>
      </x:c>
    </x:row>
    <x:row r="12" ht="24" customHeight="1">
      <x:c r="A12" t="str">
        <x:v>TMK</x:v>
      </x:c>
      <x:c r="B12" t="str">
        <x:v>Russia</x:v>
      </x:c>
      <x:c r="C12" t="n">
        <x:v>7</x:v>
      </x:c>
      <x:c r="D12" t="n">
        <x:v>7</x:v>
      </x:c>
      <x:c r="E12" t="n">
        <x:v>0</x:v>
      </x:c>
      <x:c r="F12" t="n">
        <x:v>0</x:v>
      </x:c>
      <x:c r="G12" t="str">
        <x:v>https://www.tmk-group.com/media_en/files/292/65/Presentation_CMD1014.pdf</x:v>
      </x:c>
      <x:c r="H12" t="str">
        <x:v>Catalog-listed; non-exhaustive across non-public/custom grades</x:v>
      </x:c>
    </x:row>
    <x:row r="13" ht="24" customHeight="1">
      <x:c r="A13" t="str">
        <x:v>Jindal SAW / Jindal Tubular</x:v>
      </x:c>
      <x:c r="B13" t="str">
        <x:v>India / United States</x:v>
      </x:c>
      <x:c r="C13" t="n">
        <x:v>6</x:v>
      </x:c>
      <x:c r="D13" t="n">
        <x:v>0</x:v>
      </x:c>
      <x:c r="E13" t="n">
        <x:v>0</x:v>
      </x:c>
      <x:c r="F13" t="n">
        <x:v>0</x:v>
      </x:c>
      <x:c r="G13" t="str">
        <x:v>https://jindalsaw.com/business-operations/products/pipes-helical-longitudinal-submerged-arc-welding/</x:v>
      </x:c>
      <x:c r="H13" t="str">
        <x:v>Catalog-listed; non-exhaustive across non-public/custom grades</x:v>
      </x:c>
    </x:row>
    <x:row r="14" ht="24" customHeight="1">
      <x:c r="A14" t="str">
        <x:v>Jindal Pipes</x:v>
      </x:c>
      <x:c r="B14" t="str">
        <x:v>India</x:v>
      </x:c>
      <x:c r="C14" t="n">
        <x:v>4</x:v>
      </x:c>
      <x:c r="D14" t="n">
        <x:v>0</x:v>
      </x:c>
      <x:c r="E14" t="n">
        <x:v>4</x:v>
      </x:c>
      <x:c r="F14" t="n">
        <x:v>0</x:v>
      </x:c>
      <x:c r="G14" t="str">
        <x:v>https://www.jindal.com/jpl/casing-tubing-pipe.html</x:v>
      </x:c>
      <x:c r="H14" t="str">
        <x:v>Catalog-listed; non-exhaustive across non-public/custom grades</x:v>
      </x:c>
    </x:row>
    <x:row r="15" ht="24" customHeight="1">
      <x:c r="A15" t="str">
        <x:v>Tianjin Huajin</x:v>
      </x:c>
      <x:c r="B15" t="str">
        <x:v>China</x:v>
      </x:c>
      <x:c r="C15" t="n">
        <x:v>4</x:v>
      </x:c>
      <x:c r="D15" t="n">
        <x:v>4</x:v>
      </x:c>
      <x:c r="E15" t="n">
        <x:v>0</x:v>
      </x:c>
      <x:c r="F15" t="n">
        <x:v>0</x:v>
      </x:c>
      <x:c r="G15" t="str">
        <x:v>https://www.huajinpipe.com/en/col.jsp?id=117</x:v>
      </x:c>
      <x:c r="H15" t="str">
        <x:v>Catalog-listed; non-exhaustive across non-public/custom grades</x:v>
      </x:c>
    </x:row>
    <x:row r="16" ht="24" customHeight="1">
      <x:c r="A16" t="str">
        <x:v>SeAH Steel</x:v>
      </x:c>
      <x:c r="B16" t="str">
        <x:v>South Korea</x:v>
      </x:c>
      <x:c r="C16" t="n">
        <x:v>2</x:v>
      </x:c>
      <x:c r="D16" t="n">
        <x:v>2</x:v>
      </x:c>
      <x:c r="E16" t="n">
        <x:v>0</x:v>
      </x:c>
      <x:c r="F16" t="n">
        <x:v>0</x:v>
      </x:c>
      <x:c r="G16" t="str">
        <x:v>https://www.seahsteel.co.kr/eng/application/oil-gas.asp</x:v>
      </x:c>
      <x:c r="H16" t="str">
        <x:v>Catalog-listed; non-exhaustive across non-public/custom grades</x:v>
      </x:c>
    </x:row>
  </x:sheetData>
  <x:pageMargins left="0.7" right="0.7" top="0.75" bottom="0.75" header="0.3" footer="0.3"/>
  <x:tableParts count="1">
    <x:tablePart xmlns:r="http://schemas.openxmlformats.org/officeDocument/2006/relationships" r:id="Rb2399b733d6e4d7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7" hidden="0" customWidth="1"/>
    <x:col min="2" max="2" width="102" hidden="0" customWidth="1"/>
    <x:col min="3" max="3" width="27" hidden="0" customWidth="1"/>
    <x:col min="4" max="4" width="18" hidden="0" customWidth="1"/>
  </x:cols>
  <x:sheetData>
    <x:row r="1" ht="38" customHeight="1">
      <x:c r="A1" s="5" t="str">
        <x:v>Reference</x:v>
      </x:c>
      <x:c r="B1" s="5" t="str">
        <x:v>Full URL</x:v>
      </x:c>
      <x:c r="C1" s="5" t="str">
        <x:v>Evidence type</x:v>
      </x:c>
      <x:c r="D1" s="5" t="str">
        <x:v>Access date</x:v>
      </x:c>
    </x:row>
    <x:row r="2" ht="22" customHeight="1">
      <x:c r="A2" t="str">
        <x:v>API 5CT standard change and 3Cr</x:v>
      </x:c>
      <x:c r="B2" t="str">
        <x:v>https://www.api.org/products-and-services/standards/important-standards-announcements/spec5ct-tradepress</x:v>
      </x:c>
      <x:c r="C2" t="str">
        <x:v>Supplier official</x:v>
      </x:c>
      <x:c r="D2" t="str">
        <x:v>2026-10-10</x:v>
      </x:c>
    </x:row>
    <x:row r="3" ht="22" customHeight="1">
      <x:c r="A3" t="str">
        <x:v>API 5CRA licensing information 2023</x:v>
      </x:c>
      <x:c r="B3" t="str">
        <x:v>https://www.api.org/-/media/Files/Certification/Monogram-APIQR/0_API-Monogram-APIQR/LIFs/API_5CRA_Licensing_Information_Form_20230821.pdf</x:v>
      </x:c>
      <x:c r="C3" t="str">
        <x:v>Supplier official</x:v>
      </x:c>
      <x:c r="D3" t="str">
        <x:v>2026-10-10</x:v>
      </x:c>
    </x:row>
    <x:row r="4" ht="22" customHeight="1">
      <x:c r="A4" t="str">
        <x:v>API latest update / 5CRA 3rd ed 2025</x:v>
      </x:c>
      <x:c r="B4" t="str">
        <x:v>https://www.api.org/products-and-services/api-monogram-and-apiqr/latest-updates</x:v>
      </x:c>
      <x:c r="C4" t="str">
        <x:v>Supplier official</x:v>
      </x:c>
      <x:c r="D4" t="str">
        <x:v>2026-10-10</x:v>
      </x:c>
    </x:row>
    <x:row r="5" ht="22" customHeight="1">
      <x:c r="A5" t="str">
        <x:v>ISO 13680:2024 CRA scope</x:v>
      </x:c>
      <x:c r="B5" t="str">
        <x:v>https://committee.iso.org/standard/87722.html</x:v>
      </x:c>
      <x:c r="C5" t="str">
        <x:v>Supplier official</x:v>
      </x:c>
      <x:c r="D5" t="str">
        <x:v>2026-10-10</x:v>
      </x:c>
    </x:row>
    <x:row r="6" ht="22" customHeight="1">
      <x:c r="A6" t="str">
        <x:v>Tenaris steel grades table</x:v>
      </x:c>
      <x:c r="B6" t="str">
        <x:v>https://www.tenaris.com/en/products-and-services/octg/steel-grades/</x:v>
      </x:c>
      <x:c r="C6" t="str">
        <x:v>Supplier official</x:v>
      </x:c>
      <x:c r="D6" t="str">
        <x:v>2026-10-10</x:v>
      </x:c>
    </x:row>
    <x:row r="7" ht="22" customHeight="1">
      <x:c r="A7" t="str">
        <x:v>Vallourec sour service</x:v>
      </x:c>
      <x:c r="B7" t="str">
        <x:v>https://solutions.vallourec.com/product/sour-service/</x:v>
      </x:c>
      <x:c r="C7" t="str">
        <x:v>Supplier official</x:v>
      </x:c>
      <x:c r="D7" t="str">
        <x:v>2026-10-10</x:v>
      </x:c>
    </x:row>
    <x:row r="8" ht="22" customHeight="1">
      <x:c r="A8" t="str">
        <x:v>Vallourec collapse</x:v>
      </x:c>
      <x:c r="B8" t="str">
        <x:v>https://solutions.vallourec.com/product/high-collapse/</x:v>
      </x:c>
      <x:c r="C8" t="str">
        <x:v>Supplier official</x:v>
      </x:c>
      <x:c r="D8" t="str">
        <x:v>2026-10-10</x:v>
      </x:c>
    </x:row>
    <x:row r="9" ht="22" customHeight="1">
      <x:c r="A9" t="str">
        <x:v>Vallourec 13Cr/S13Cr</x:v>
      </x:c>
      <x:c r="B9" t="str">
        <x:v>https://solutions.vallourec.com/product/13cr-and-super-13cr/</x:v>
      </x:c>
      <x:c r="C9" t="str">
        <x:v>Supplier official</x:v>
      </x:c>
      <x:c r="D9" t="str">
        <x:v>2026-10-10</x:v>
      </x:c>
    </x:row>
    <x:row r="10" ht="22" customHeight="1">
      <x:c r="A10" t="str">
        <x:v>Vallourec high strength</x:v>
      </x:c>
      <x:c r="B10" t="str">
        <x:v>https://solutions.vallourec.com/product/high-strength/</x:v>
      </x:c>
      <x:c r="C10" t="str">
        <x:v>Supplier official</x:v>
      </x:c>
      <x:c r="D10" t="str">
        <x:v>2026-10-10</x:v>
      </x:c>
    </x:row>
    <x:row r="11" ht="22" customHeight="1">
      <x:c r="A11" t="str">
        <x:v>Nippon Steel sour</x:v>
      </x:c>
      <x:c r="B11" t="str">
        <x:v>https://www.tubular.nipponsteel.com/octg-material/application-list/sour-service</x:v>
      </x:c>
      <x:c r="C11" t="str">
        <x:v>Supplier official</x:v>
      </x:c>
      <x:c r="D11" t="str">
        <x:v>2026-10-10</x:v>
      </x:c>
    </x:row>
    <x:row r="12" ht="22" customHeight="1">
      <x:c r="A12" t="str">
        <x:v>Nippon Steel sour + collapse</x:v>
      </x:c>
      <x:c r="B12" t="str">
        <x:v>https://www.tubular.nipponsteel.com/octg-material/application-list/high-collapse-sour-service</x:v>
      </x:c>
      <x:c r="C12" t="str">
        <x:v>Supplier official</x:v>
      </x:c>
      <x:c r="D12" t="str">
        <x:v>2026-10-10</x:v>
      </x:c>
    </x:row>
    <x:row r="13" ht="22" customHeight="1">
      <x:c r="A13" t="str">
        <x:v>Nippon Steel high strength</x:v>
      </x:c>
      <x:c r="B13" t="str">
        <x:v>https://www.tubular.nipponsteel.com/octg-material/application-list/high-collapse-high-strength</x:v>
      </x:c>
      <x:c r="C13" t="str">
        <x:v>Supplier official</x:v>
      </x:c>
      <x:c r="D13" t="str">
        <x:v>2026-10-10</x:v>
      </x:c>
    </x:row>
    <x:row r="14" ht="22" customHeight="1">
      <x:c r="A14" t="str">
        <x:v>Nippon Steel Cr grades</x:v>
      </x:c>
      <x:c r="B14" t="str">
        <x:v>https://www.tubular.nipponsteel.com/octg-material/application-list/martensitic-stainless-steel</x:v>
      </x:c>
      <x:c r="C14" t="str">
        <x:v>Supplier official</x:v>
      </x:c>
      <x:c r="D14" t="str">
        <x:v>2026-10-10</x:v>
      </x:c>
    </x:row>
    <x:row r="15" ht="22" customHeight="1">
      <x:c r="A15" t="str">
        <x:v>Nippon Steel duplex</x:v>
      </x:c>
      <x:c r="B15" t="str">
        <x:v>https://www.tubular.nipponsteel.com/octg-material/application-list/duplex-stainless-steel</x:v>
      </x:c>
      <x:c r="C15" t="str">
        <x:v>Supplier official</x:v>
      </x:c>
      <x:c r="D15" t="str">
        <x:v>2026-10-10</x:v>
      </x:c>
    </x:row>
    <x:row r="16" ht="22" customHeight="1">
      <x:c r="A16" t="str">
        <x:v>Nippon Steel nickel grades</x:v>
      </x:c>
      <x:c r="B16" t="str">
        <x:v>https://www.tubular.nipponsteel.com/octg-material/application-list/nickel-alloy</x:v>
      </x:c>
      <x:c r="C16" t="str">
        <x:v>Supplier official</x:v>
      </x:c>
      <x:c r="D16" t="str">
        <x:v>2026-10-10</x:v>
      </x:c>
    </x:row>
    <x:row r="17" ht="22" customHeight="1">
      <x:c r="A17" t="str">
        <x:v>JFE available grade table</x:v>
      </x:c>
      <x:c r="B17" t="str">
        <x:v>https://www.jfe-steel.co.jp/en/products/energy/octg/material/grade_table.html</x:v>
      </x:c>
      <x:c r="C17" t="str">
        <x:v>Supplier official</x:v>
      </x:c>
      <x:c r="D17" t="str">
        <x:v>2026-10-10</x:v>
      </x:c>
    </x:row>
    <x:row r="18" ht="22" customHeight="1">
      <x:c r="A18" t="str">
        <x:v>JFE 13Cr</x:v>
      </x:c>
      <x:c r="B18" t="str">
        <x:v>https://www.jfe-steel.co.jp/en/products/energy/octg/material/13cr_ms.html</x:v>
      </x:c>
      <x:c r="C18" t="str">
        <x:v>Supplier official</x:v>
      </x:c>
      <x:c r="D18" t="str">
        <x:v>2026-10-10</x:v>
      </x:c>
    </x:row>
    <x:row r="19" ht="22" customHeight="1">
      <x:c r="A19" t="str">
        <x:v>JFE 15/17Cr</x:v>
      </x:c>
      <x:c r="B19" t="str">
        <x:v>https://www.jfe-steel.co.jp/en/products/energy/octg/material/uhp_ht.html</x:v>
      </x:c>
      <x:c r="C19" t="str">
        <x:v>Supplier official</x:v>
      </x:c>
      <x:c r="D19" t="str">
        <x:v>2026-10-10</x:v>
      </x:c>
    </x:row>
    <x:row r="20" ht="22" customHeight="1">
      <x:c r="A20" t="str">
        <x:v>voestalpine proprietary grades</x:v>
      </x:c>
      <x:c r="B20" t="str">
        <x:v>https://www.voestalpine.com/tubulars/en/products/Proprietary-Grades/</x:v>
      </x:c>
      <x:c r="C20" t="str">
        <x:v>Supplier official</x:v>
      </x:c>
      <x:c r="D20" t="str">
        <x:v>2026-10-10</x:v>
      </x:c>
    </x:row>
    <x:row r="21" ht="22" customHeight="1">
      <x:c r="A21" t="str">
        <x:v>voestalpine 2025 5CT update</x:v>
      </x:c>
      <x:c r="B21" t="str">
        <x:v>https://www.voestalpine.com/tubulars/en/news-events/changes-to-standards-for-proprietary-grades/</x:v>
      </x:c>
      <x:c r="C21" t="str">
        <x:v>Supplier official</x:v>
      </x:c>
      <x:c r="D21" t="str">
        <x:v>2026-10-10</x:v>
      </x:c>
    </x:row>
    <x:row r="22" ht="22" customHeight="1">
      <x:c r="A22" t="str">
        <x:v>US Steel tubular grades</x:v>
      </x:c>
      <x:c r="B22" t="str">
        <x:v>https://www.ussteel.com/customers/products/tubular/octg</x:v>
      </x:c>
      <x:c r="C22" t="str">
        <x:v>Supplier official</x:v>
      </x:c>
      <x:c r="D22" t="str">
        <x:v>2026-10-10</x:v>
      </x:c>
    </x:row>
    <x:row r="23" ht="22" customHeight="1">
      <x:c r="A23" t="str">
        <x:v>Borusan OCTG catalogue</x:v>
      </x:c>
      <x:c r="B23" t="str">
        <x:v>https://www.borusanmannesmann.com/media/2139/octg2018-web.pdf</x:v>
      </x:c>
      <x:c r="C23" t="str">
        <x:v>Supplier official</x:v>
      </x:c>
      <x:c r="D23" t="str">
        <x:v>2026-10-10</x:v>
      </x:c>
    </x:row>
    <x:row r="24" ht="22" customHeight="1">
      <x:c r="A24" t="str">
        <x:v>SeAH OCTG</x:v>
      </x:c>
      <x:c r="B24" t="str">
        <x:v>https://www.seahsteel.co.kr/eng/application/oil-gas.asp</x:v>
      </x:c>
      <x:c r="C24" t="str">
        <x:v>Supplier official</x:v>
      </x:c>
      <x:c r="D24" t="str">
        <x:v>2026-10-10</x:v>
      </x:c>
    </x:row>
    <x:row r="25" ht="22" customHeight="1">
      <x:c r="A25" t="str">
        <x:v>TMK technical catalog</x:v>
      </x:c>
      <x:c r="B25" t="str">
        <x:v>https://www.tmk-group.com/Product_catalogs/download/iUyDU2WGsXF83Z51hREsAjBWQi97Jkisx7cNQO9Zz9Ws1V0HOX8SPFWWsaCf</x:v>
      </x:c>
      <x:c r="C25" t="str">
        <x:v>Supplier official</x:v>
      </x:c>
      <x:c r="D25" t="str">
        <x:v>2026-10-10</x:v>
      </x:c>
    </x:row>
    <x:row r="26" ht="22" customHeight="1">
      <x:c r="A26" t="str">
        <x:v>TMK proprietary grades reference</x:v>
      </x:c>
      <x:c r="B26" t="str">
        <x:v>https://www.tmk-group.com/media_en/files/292/65/Presentation_CMD1014.pdf</x:v>
      </x:c>
      <x:c r="C26" t="str">
        <x:v>Supplier official</x:v>
      </x:c>
      <x:c r="D26" t="str">
        <x:v>2026-10-10</x:v>
      </x:c>
    </x:row>
    <x:row r="27" ht="22" customHeight="1">
      <x:c r="A27" t="str">
        <x:v>TPCO proprietary families</x:v>
      </x:c>
      <x:c r="B27" t="str">
        <x:v>https://www.tpco.com.cn/system/2017/08/30/014009466.shtml</x:v>
      </x:c>
      <x:c r="C27" t="str">
        <x:v>Supplier official</x:v>
      </x:c>
      <x:c r="D27" t="str">
        <x:v>2026-10-10</x:v>
      </x:c>
    </x:row>
    <x:row r="28" ht="22" customHeight="1">
      <x:c r="A28" t="str">
        <x:v>Jindal SAW</x:v>
      </x:c>
      <x:c r="B28" t="str">
        <x:v>https://jindalsaw.com/business-operations/products/pipes-helical-longitudinal-submerged-arc-welding/</x:v>
      </x:c>
      <x:c r="C28" t="str">
        <x:v>Supplier official</x:v>
      </x:c>
      <x:c r="D28" t="str">
        <x:v>2026-10-10</x:v>
      </x:c>
    </x:row>
    <x:row r="29" ht="22" customHeight="1">
      <x:c r="A29" t="str">
        <x:v>Jindal Pipes</x:v>
      </x:c>
      <x:c r="B29" t="str">
        <x:v>https://www.jindal.com/jpl/casing-tubing-pipe.html</x:v>
      </x:c>
      <x:c r="C29" t="str">
        <x:v>Supplier official</x:v>
      </x:c>
      <x:c r="D29" t="str">
        <x:v>2026-10-10</x:v>
      </x:c>
    </x:row>
    <x:row r="30" ht="22" customHeight="1">
      <x:c r="A30" t="str">
        <x:v>ArcelorMittal OCTG</x:v>
      </x:c>
      <x:c r="B30" t="str">
        <x:v>https://projects.arcelormittal.com/energy/products-services/product-range/pipes-tubulars</x:v>
      </x:c>
      <x:c r="C30" t="str">
        <x:v>Supplier official</x:v>
      </x:c>
      <x:c r="D30" t="str">
        <x:v>2026-10-10</x:v>
      </x:c>
    </x:row>
    <x:row r="31" ht="22" customHeight="1">
      <x:c r="A31" t="str">
        <x:v>Interpipe OCTG</x:v>
      </x:c>
      <x:c r="B31" t="str">
        <x:v>https://interpipe.biz/en/oil-gas-production/</x:v>
      </x:c>
      <x:c r="C31" t="str">
        <x:v>Supplier official</x:v>
      </x:c>
      <x:c r="D31" t="str">
        <x:v>2026-10-10</x:v>
      </x:c>
    </x:row>
    <x:row r="32" ht="22" customHeight="1">
      <x:c r="A32" t="str">
        <x:v>Interpipe grade range</x:v>
      </x:c>
      <x:c r="B32" t="str">
        <x:v>https://interpipe.biz/en/esg/environment/green_supplies/</x:v>
      </x:c>
      <x:c r="C32" t="str">
        <x:v>Supplier official</x:v>
      </x:c>
      <x:c r="D32" t="str">
        <x:v>2026-10-10</x:v>
      </x:c>
    </x:row>
    <x:row r="33" ht="22" customHeight="1">
      <x:c r="A33" t="str">
        <x:v>Huajin sour</x:v>
      </x:c>
      <x:c r="B33" t="str">
        <x:v>https://www.huajinpipe.com/en/col.jsp?id=117</x:v>
      </x:c>
      <x:c r="C33" t="str">
        <x:v>Supplier official</x:v>
      </x:c>
      <x:c r="D33" t="str">
        <x:v>2026-10-10</x:v>
      </x:c>
    </x:row>
    <x:row r="34" ht="22" customHeight="1">
      <x:c r="A34" t="str">
        <x:v>2026 China FOB benchmark</x:v>
      </x:c>
      <x:c r="B34" t="str">
        <x:v>https://xbangsupply.com/en/articles/seamless-steel-pipe-price-per-ton-2026/</x:v>
      </x:c>
      <x:c r="C34" t="str">
        <x:v>Third-party pricing</x:v>
      </x:c>
      <x:c r="D34" t="str">
        <x:v>2026-10-10</x:v>
      </x:c>
    </x:row>
    <x:row r="35" ht="22" customHeight="1">
      <x:c r="A35" t="str">
        <x:v>2026 Pipe Association market</x:v>
      </x:c>
      <x:c r="B35" t="str">
        <x:v>https://www.itatube.org/market_overview_0426.php</x:v>
      </x:c>
      <x:c r="C35" t="str">
        <x:v>Third-party pricing</x:v>
      </x:c>
      <x:c r="D35" t="str">
        <x:v>2026-10-10</x:v>
      </x:c>
    </x:row>
    <x:row r="36" ht="22" customHeight="1">
      <x:c r="A36" t="str">
        <x:v>2026 US distributor spot</x:v>
      </x:c>
      <x:c r="B36" t="str">
        <x:v>https://njoilfieldservices.blogspot.com/2026/07/</x:v>
      </x:c>
      <x:c r="C36" t="str">
        <x:v>Third-party pricing</x:v>
      </x:c>
      <x:c r="D36" t="str">
        <x:v>2026-10-10</x:v>
      </x:c>
    </x:row>
    <x:row r="37" ht="22" customHeight="1">
      <x:c r="A37" t="str">
        <x:v>Argus OCTG sample market</x:v>
      </x:c>
      <x:c r="B37" t="str">
        <x:v>https://www.argusmedia.com/-/media/project/argusmedia/mainsite/english/documents-and-files/sample-reports/argus-pipe-logix-octg-outlook.pdf?rev=-1</x:v>
      </x:c>
      <x:c r="C37" t="str">
        <x:v>Third-party pricing</x:v>
      </x:c>
      <x:c r="D37" t="str">
        <x:v>2026-10-10</x:v>
      </x:c>
    </x:row>
  </x:sheetData>
  <x:pageMargins left="0.7" right="0.7" top="0.75" bottom="0.75" header="0.3" footer="0.3"/>
  <x:tableParts count="1">
    <x:tablePart xmlns:r="http://schemas.openxmlformats.org/officeDocument/2006/relationships" r:id="R71558b2d1307401c"/>
  </x:tableParts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38" hidden="0" customWidth="1"/>
    <x:col min="4" max="4" width="37" hidden="0" customWidth="1"/>
    <x:col min="5" max="5" width="16" hidden="0" customWidth="1"/>
    <x:col min="6" max="6" width="16" hidden="0" customWidth="1"/>
  </x:cols>
  <x:sheetData>
    <x:row r="1" ht="38" customHeight="1">
      <x:c r="A1" s="14" t="str">
        <x:v>COST ESTIMATOR | size-specific OCTG string</x:v>
      </x:c>
      <x:c r="B1" s="14"/>
      <x:c r="C1" s="14"/>
      <x:c r="D1" s="14"/>
      <x:c r="E1" s="14"/>
      <x:c r="F1" s="14"/>
    </x:row>
    <x:row r="3" ht="33" customHeight="1">
      <x:c r="A3" s="19" t="str">
        <x:v>Enter a real supplier price, weight, length and quantity. Calculator excludes taxes and other undisclosed charges.</x:v>
      </x:c>
      <x:c r="B3" s="19"/>
      <x:c r="C3" s="19"/>
      <x:c r="D3" s="19"/>
      <x:c r="E3" s="19"/>
      <x:c r="F3" s="19"/>
    </x:row>
    <x:row r="5" ht="26" customHeight="1">
      <x:c r="A5" t="str">
        <x:v>Grade / supplier label</x:v>
      </x:c>
      <x:c r="B5" s="23" t="str">
        <x:v>Example: P110 - supplier RFQ</x:v>
      </x:c>
      <x:c r="D5" s="40" t="str">
        <x:v>PRICE COMPARISON RULE</x:v>
      </x:c>
      <x:c r="E5" s="40"/>
      <x:c r="F5" s="40"/>
    </x:row>
    <x:row r="6" ht="26" customHeight="1">
      <x:c r="A6" t="str">
        <x:v>Nominal weight (lb/ft)</x:v>
      </x:c>
      <x:c r="B6" s="34" t="n">
        <x:v>23</x:v>
      </x:c>
      <x:c r="D6" s="42" t="str">
        <x:v>Weight (lb/ft) depends on OD and wall.</x:v>
      </x:c>
      <x:c r="E6" s="42"/>
      <x:c r="F6" s="42"/>
    </x:row>
    <x:row r="7" ht="26" customHeight="1">
      <x:c r="A7" t="str">
        <x:v>Length per joint (m)</x:v>
      </x:c>
      <x:c r="B7" s="34" t="n">
        <x:v>12.2</x:v>
      </x:c>
      <x:c r="D7" s="42" t="str">
        <x:v>USD/t cannot directly equal USD/ft.</x:v>
      </x:c>
      <x:c r="E7" s="42"/>
      <x:c r="F7" s="42"/>
    </x:row>
    <x:row r="8" ht="26" customHeight="1">
      <x:c r="A8" t="str">
        <x:v>Number of joints</x:v>
      </x:c>
      <x:c r="B8" s="34" t="n">
        <x:v>100</x:v>
      </x:c>
    </x:row>
    <x:row r="9" ht="26" customHeight="1">
      <x:c r="A9" t="str">
        <x:v>Quoted pipe price (USD/t)</x:v>
      </x:c>
      <x:c r="B9" s="34" t="n">
        <x:v>1800</x:v>
      </x:c>
    </x:row>
    <x:row r="10" ht="26" customHeight="1">
      <x:c r="A10" t="str">
        <x:v>Threading / testing %</x:v>
      </x:c>
      <x:c r="B10" s="32" t="n">
        <x:v>12</x:v>
      </x:c>
    </x:row>
    <x:row r="11" ht="26" customHeight="1">
      <x:c r="A11" t="str">
        <x:v>Freight / delivery (USD/t)</x:v>
      </x:c>
      <x:c r="B11" s="23" t="n">
        <x:v>200</x:v>
      </x:c>
    </x:row>
    <x:row r="14" ht="26" customHeight="1">
      <x:c r="A14" t="str">
        <x:v>Total installed length (m)</x:v>
      </x:c>
      <x:c r="B14" t="n">
        <x:f>B7*B8</x:f>
        <x:v>1220</x:v>
      </x:c>
    </x:row>
    <x:row r="15" ht="26" customHeight="1">
      <x:c r="A15" t="str">
        <x:v>Total nominal pipe mass (t)</x:v>
      </x:c>
      <x:c r="B15" s="10" t="n">
        <x:f>B6*3.280839895*B7*B8*0.45359237/1000</x:f>
        <x:v>41.75788025639465</x:v>
      </x:c>
    </x:row>
    <x:row r="16" ht="26" customHeight="1">
      <x:c r="A16" t="str">
        <x:v>Pipe material cost (USD)</x:v>
      </x:c>
      <x:c r="B16" s="10" t="n">
        <x:f>B15*B9</x:f>
        <x:v>75164.18446151038</x:v>
      </x:c>
    </x:row>
    <x:row r="17" ht="26" customHeight="1">
      <x:c r="A17" t="str">
        <x:v>Thread / testing allowance (USD)</x:v>
      </x:c>
      <x:c r="B17" s="10" t="n">
        <x:f>B16*B10/100</x:f>
        <x:v>9019.702135381245</x:v>
      </x:c>
    </x:row>
    <x:row r="18" ht="26" customHeight="1">
      <x:c r="A18" t="str">
        <x:v>Freight allowance (USD)</x:v>
      </x:c>
      <x:c r="B18" s="10" t="n">
        <x:f>B15*B11</x:f>
        <x:v>8351.57605127893</x:v>
      </x:c>
    </x:row>
    <x:row r="19" ht="28" customHeight="1">
      <x:c r="A19" s="27" t="str">
        <x:v>Indicative total (USD)</x:v>
      </x:c>
      <x:c r="B19" s="30" t="n">
        <x:f>SUM(B16:B18)</x:f>
        <x:v>92535.46264817055</x:v>
      </x:c>
    </x:row>
    <x:row r="20" ht="28" customHeight="1">
      <x:c r="A20" s="27" t="str">
        <x:v>Indicative cost (USD/m)</x:v>
      </x:c>
      <x:c r="B20" s="30" t="n">
        <x:f>IF(B14&gt;0,B19/B14,0)</x:f>
        <x:v>75.84873987554963</x:v>
      </x:c>
    </x:row>
    <x:row r="23" ht="30" customHeight="1">
      <x:c r="A23" s="37" t="str">
        <x:v>Replace illustration values with actual comparable quotes: same OD, wall, grade, connection, test class and delivery basis.</x:v>
      </x:c>
      <x:c r="B23" s="37"/>
      <x:c r="C23" s="37"/>
      <x:c r="D23" s="37"/>
      <x:c r="E23" s="37"/>
      <x:c r="F23" s="37"/>
    </x:row>
  </x:sheetData>
  <x:mergeCells>
    <x:mergeCell ref="A1:F1"/>
    <x:mergeCell ref="A3:F3"/>
    <x:mergeCell ref="A23:F2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10" hidden="0" customWidth="1"/>
  </x:cols>
  <x:sheetData>
    <x:row r="1" ht="38" customHeight="1">
      <x:c r="A1" s="14" t="str">
        <x:v>GLOBAL OCTG | USER GUIDE &amp; TECHNICAL CAVEATS</x:v>
      </x:c>
      <x:c r="B1" s="14"/>
      <x:c r="C1" s="14"/>
      <x:c r="D1" s="14"/>
      <x:c r="E1" s="14"/>
      <x:c r="F1" s="14"/>
      <x:c r="G1" s="14"/>
      <x:c r="H1" s="14"/>
    </x:row>
    <x:row r="3" ht="34" customHeight="1">
      <x:c r="A3" s="5" t="str">
        <x:v>TOPIC</x:v>
      </x:c>
      <x:c r="B3" s="5" t="str">
        <x:v>DATASET NOTES</x:v>
      </x:c>
    </x:row>
    <x:row r="4" ht="43" customHeight="1">
      <x:c r="A4" s="46" t="str">
        <x:v>Dataset version</x:v>
      </x:c>
      <x:c r="B4" s="44" t="str">
        <x:v>10 October 2026. Source-backed snapshot of public supplier catalogues; product availability changes.</x:v>
      </x:c>
    </x:row>
    <x:row r="5" ht="43" customHeight="1">
      <x:c r="A5" s="46" t="str">
        <x:v>What is included</x:v>
      </x:c>
      <x:c r="B5" s="44" t="str">
        <x:v>450 individual supplier/grade records: 15 manufacturers plus API 5CT and API 5CRA reference records.</x:v>
      </x:c>
    </x:row>
    <x:row r="6" ht="43" customHeight="1">
      <x:c r="A6" s="46" t="str">
        <x:v>Use the database</x:v>
      </x:c>
      <x:c r="B6" s="44" t="str">
        <x:v>Open MASTER GRADES. Use Excel table-column dropdowns to filter by supplier, grade, family, corrosion/sour service, SMYS, API group, cost tier, or source.</x:v>
      </x:c>
    </x:row>
    <x:row r="7" ht="43" customHeight="1">
      <x:c r="A7" s="46" t="str">
        <x:v>API 5CT reference</x:v>
      </x:c>
      <x:c r="B7" s="44" t="str">
        <x:v>API 5CT generic grades separate from proprietary designations. M65 is withdrawn; L80-3Cr introduced in newer edition. Check applicable contract edition and errata.</x:v>
      </x:c>
    </x:row>
    <x:row r="8" ht="43" customHeight="1">
      <x:c r="A8" s="46" t="str">
        <x:v>API 5CRA reference</x:v>
      </x:c>
      <x:c r="B8" s="44" t="str">
        <x:v>API 5CRA PSL/category/UNS mapping based on the API's August 2023 licensing matrix. API 5CRA 3rd edition was released in 2025: reconfirm grade/category and current requirements before specifying.</x:v>
      </x:c>
    </x:row>
    <x:row r="9" ht="43" customHeight="1">
      <x:c r="A9" s="46" t="str">
        <x:v>API 5CRA Group 5</x:v>
      </x:c>
      <x:c r="B9" s="44" t="str">
        <x:v>Some group 5 age-hardened nickel products are bar-only and NOT casing/tubing; excluded as OCTG grades.</x:v>
      </x:c>
    </x:row>
    <x:row r="10" ht="43" customHeight="1">
      <x:c r="A10" s="46" t="str">
        <x:v>Grade interpretation</x:v>
      </x:c>
      <x:c r="B10" s="44" t="str">
        <x:v>Names on supplier websites may signify a grade, family, minimum yield, or proprietary trademark. Rows report public grade designations and distinguish general family membership.</x:v>
      </x:c>
    </x:row>
    <x:row r="11" ht="43" customHeight="1">
      <x:c r="A11" s="46" t="str">
        <x:v>Grade / NACE acceptance</x:v>
      </x:c>
      <x:c r="B11" s="44" t="str">
        <x:v>Sour-service marketing does not mean automatic acceptance under NACE MR0175 / ISO 15156. Verify H2S partial pressure, pH, chloride, temperature, elemental sulfur, stress and environmental limits.</x:v>
      </x:c>
    </x:row>
    <x:row r="12" ht="43" customHeight="1">
      <x:c r="A12" s="46" t="str">
        <x:v>High collapse</x:v>
      </x:c>
      <x:c r="B12" s="44" t="str">
        <x:v>Only treat explicit high-collapse grades as such; a minimum yield strength alone is insufficient for collapse-rating acceptance.</x:v>
      </x:c>
    </x:row>
    <x:row r="13" ht="43" customHeight="1">
      <x:c r="A13" s="46" t="str">
        <x:v>Pricing evidence</x:v>
      </x:c>
      <x:c r="B13" s="44" t="str">
        <x:v>Actual mill OCTG grade-specific prices depend on size, connection, delivery quantity, origin, logistics, and commercial terms; proprietary items therefore show RFQ.</x:v>
      </x:c>
    </x:row>
    <x:row r="14" ht="43" customHeight="1">
      <x:c r="A14" s="46" t="str">
        <x:v>Price tiers</x:v>
      </x:c>
      <x:c r="B14" s="44" t="str">
        <x:v>A through I is a qualitative procurement-screening ranking, NOT a quantified material-price ratio or substitute for a supplier quote.</x:v>
      </x:c>
    </x:row>
    <x:row r="15" ht="43" customHeight="1">
      <x:c r="A15" s="46" t="str">
        <x:v>Public benchmarks</x:v>
      </x:c>
      <x:c r="B15" s="44" t="str">
        <x:v>PRICE BENCHMARKS contains separately sourced market examples in USD/t and USD/ft; do not conflate geography, year, grade, delivery basis or units.</x:v>
      </x:c>
    </x:row>
    <x:row r="16" ht="43" customHeight="1">
      <x:c r="A16" s="46" t="str">
        <x:v>Cost estimator</x:v>
      </x:c>
      <x:c r="B16" s="44" t="str">
        <x:v>Enter nominal weight per foot, joint length, number of joints, USD/t quoted price and other allowances to estimate string cost.</x:v>
      </x:c>
    </x:row>
    <x:row r="17" ht="43" customHeight="1">
      <x:c r="A17" s="46" t="str">
        <x:v>Sources</x:v>
      </x:c>
      <x:c r="B17" s="44" t="str">
        <x:v>Every master record has a traceable URL and evidence status. SOURCES provides key primary catalogues and standards.</x:v>
      </x:c>
    </x:row>
    <x:row r="18" ht="43" customHeight="1">
      <x:c r="A18" s="46" t="str">
        <x:v>Important limitation</x:v>
      </x:c>
      <x:c r="B18" s="44" t="str">
        <x:v>A global proprietary grade portfolio cannot be permanently exhaustive; some supplier catalogues are downloadable PDFs, localized, historical, or sold only by special order.</x:v>
      </x:c>
    </x:row>
    <x:row r="19" ht="43" customHeight="1">
      <x:c r="A19" s="46" t="str">
        <x:v>Verification before use</x:v>
      </x:c>
      <x:c r="B19" s="44" t="str">
        <x:v>Check current datasheet, strength/toughness, SSC/SCC/CO2/Cl limits, PSL, manufacturing process, connection, dimensions and applicable service environment.</x:v>
      </x:c>
    </x:row>
    <x:row r="20" ht="43" customHeight="1">
      <x:c r="A20" s="46" t="str">
        <x:v>Excel compatibility</x:v>
      </x:c>
      <x:c r="B20" s="44" t="str">
        <x:v>Native Excel tables support interactive filter/sort in Microsoft Excel; formulas use standard spreadsheet syntax.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31" hidden="0" customWidth="1"/>
    <x:col min="4" max="4" width="4" hidden="0" customWidth="1"/>
    <x:col min="5" max="5" width="31" hidden="0" customWidth="1"/>
    <x:col min="6" max="6" width="17" hidden="0" customWidth="1"/>
    <x:col min="7" max="7" width="31" hidden="0" customWidth="1"/>
    <x:col min="8" max="8" width="4" hidden="0" customWidth="1"/>
  </x:cols>
  <x:sheetData>
    <x:row r="1" ht="38" customHeight="1">
      <x:c r="A1" s="14" t="str">
        <x:v>GLOBAL OCTG | MATERIAL INTELLIGENCE DASHBOARD</x:v>
      </x:c>
      <x:c r="B1" s="14"/>
      <x:c r="C1" s="14"/>
      <x:c r="D1" s="14"/>
      <x:c r="E1" s="14"/>
      <x:c r="F1" s="14"/>
      <x:c r="G1" s="14"/>
      <x:c r="H1" s="14"/>
    </x:row>
    <x:row r="3" ht="28" customHeight="1">
      <x:c r="A3" s="49" t="str">
        <x:v>MASTER ROWS</x:v>
      </x:c>
      <x:c r="B3"/>
      <x:c r="C3" s="49" t="str">
        <x:v>API REFERENCE</x:v>
      </x:c>
      <x:c r="D3"/>
      <x:c r="E3" s="49" t="str">
        <x:v>MANUFACTURERS</x:v>
      </x:c>
      <x:c r="F3"/>
      <x:c r="G3" s="49" t="str">
        <x:v>PUBLIC PRICE ROWS</x:v>
      </x:c>
      <x:c r="H3"/>
    </x:row>
    <x:row r="4" ht="43" customHeight="1">
      <x:c r="A4" s="53" t="n">
        <x:f>COUNTA('MASTER GRADES'!D2:D451)</x:f>
        <x:v>450</x:v>
      </x:c>
      <x:c r="C4" s="53" t="n">
        <x:f>COUNTIF('MASTER GRADES'!B2:B451,"API reference")</x:f>
        <x:v>64</x:v>
      </x:c>
      <x:c r="E4" s="53" t="n">
        <x:v>15</x:v>
      </x:c>
      <x:c r="G4" s="53" t="n">
        <x:f>COUNT('MASTER GRADES'!R2:R451)</x:f>
        <x:v>6</x:v>
      </x:c>
    </x:row>
    <x:row r="6" ht="33" customHeight="1">
      <x:c r="A6" s="5" t="str">
        <x:v>MANUFACTURER</x:v>
      </x:c>
      <x:c r="B6" s="5" t="str">
        <x:v>GRADE RECORDS</x:v>
      </x:c>
      <x:c r="C6" s="5" t="str">
        <x:v>COVERAGE NOTE</x:v>
      </x:c>
      <x:c r="E6" s="5" t="str">
        <x:v>METALLURGICAL FAMILY</x:v>
      </x:c>
      <x:c r="F6" s="5" t="str">
        <x:v>RECORDS</x:v>
      </x:c>
      <x:c r="G6" s="5" t="str">
        <x:v>TIER GUIDE</x:v>
      </x:c>
    </x:row>
    <x:row r="7">
      <x:c r="A7" t="str">
        <x:v>Tenaris</x:v>
      </x:c>
      <x:c r="B7" t="n">
        <x:v>84</x:v>
      </x:c>
      <x:c r="C7" t="str">
        <x:v>Public catalog / grade listing</x:v>
      </x:c>
      <x:c r="E7" t="str">
        <x:v>Carbon / low alloy</x:v>
      </x:c>
      <x:c r="F7" t="n">
        <x:v>303</x:v>
      </x:c>
      <x:c r="G7" t="str">
        <x:v>A–D (yield and sour dependent)</x:v>
      </x:c>
    </x:row>
    <x:row r="8">
      <x:c r="A8" t="str">
        <x:v>voestalpine Tubulars</x:v>
      </x:c>
      <x:c r="B8" t="n">
        <x:v>69</x:v>
      </x:c>
      <x:c r="C8" t="str">
        <x:v>Public catalog / grade listing</x:v>
      </x:c>
      <x:c r="E8" t="str">
        <x:v>Ni-base CRA</x:v>
      </x:c>
      <x:c r="F8" t="n">
        <x:v>32</x:v>
      </x:c>
      <x:c r="G8" t="str">
        <x:v>H–I</x:v>
      </x:c>
    </x:row>
    <x:row r="9">
      <x:c r="A9" t="str">
        <x:v>Vallourec</x:v>
      </x:c>
      <x:c r="B9" t="n">
        <x:v>68</x:v>
      </x:c>
      <x:c r="C9" t="str">
        <x:v>Public catalog / grade listing</x:v>
      </x:c>
      <x:c r="E9" t="str">
        <x:v>Modified / super 13Cr</x:v>
      </x:c>
      <x:c r="F9" t="n">
        <x:v>31</x:v>
      </x:c>
      <x:c r="G9" t="str">
        <x:v>F–G</x:v>
      </x:c>
    </x:row>
    <x:row r="10">
      <x:c r="A10" t="str">
        <x:v>Nippon Steel</x:v>
      </x:c>
      <x:c r="B10" t="n">
        <x:v>50</x:v>
      </x:c>
      <x:c r="C10" t="str">
        <x:v>Public catalog / grade listing</x:v>
      </x:c>
      <x:c r="E10" t="str">
        <x:v>Super duplex 25Cr</x:v>
      </x:c>
      <x:c r="F10" t="n">
        <x:v>28</x:v>
      </x:c>
      <x:c r="G10" t="str">
        <x:v>H</x:v>
      </x:c>
    </x:row>
    <x:row r="11">
      <x:c r="A11" t="str">
        <x:v>JFE Steel</x:v>
      </x:c>
      <x:c r="B11" t="n">
        <x:v>36</x:v>
      </x:c>
      <x:c r="C11" t="str">
        <x:v>Public catalog / grade listing</x:v>
      </x:c>
      <x:c r="E11" t="str">
        <x:v>Martensitic 13Cr</x:v>
      </x:c>
      <x:c r="F11" t="n">
        <x:v>23</x:v>
      </x:c>
      <x:c r="G11" t="str">
        <x:v>E–F</x:v>
      </x:c>
    </x:row>
    <x:row r="12">
      <x:c r="A12" t="str">
        <x:v>U. S. Steel Tubular</x:v>
      </x:c>
      <x:c r="B12" t="n">
        <x:v>12</x:v>
      </x:c>
      <x:c r="C12" t="str">
        <x:v>Public catalog / grade listing</x:v>
      </x:c>
      <x:c r="E12" t="str">
        <x:v>Low-Cr alloy steel</x:v>
      </x:c>
      <x:c r="F12" t="n">
        <x:v>14</x:v>
      </x:c>
      <x:c r="G12" t="str">
        <x:v>C–E</x:v>
      </x:c>
    </x:row>
    <x:row r="13">
      <x:c r="A13" t="str">
        <x:v>ArcelorMittal</x:v>
      </x:c>
      <x:c r="B13" t="n">
        <x:v>12</x:v>
      </x:c>
      <x:c r="C13" t="str">
        <x:v>Public catalog / grade listing</x:v>
      </x:c>
      <x:c r="E13" t="str">
        <x:v>Fe-base austenitic CRA</x:v>
      </x:c>
      <x:c r="F13" t="n">
        <x:v>10</x:v>
      </x:c>
      <x:c r="G13" t="str">
        <x:v>G–H</x:v>
      </x:c>
    </x:row>
    <x:row r="14">
      <x:c r="A14" t="str">
        <x:v>Tianjin Pipe (TPCO)</x:v>
      </x:c>
      <x:c r="B14" t="n">
        <x:v>11</x:v>
      </x:c>
      <x:c r="C14" t="str">
        <x:v>Public catalog / grade listing</x:v>
      </x:c>
      <x:c r="E14" t="str">
        <x:v>Duplex 22Cr</x:v>
      </x:c>
      <x:c r="F14" t="n">
        <x:v>8</x:v>
      </x:c>
      <x:c r="G14" t="str">
        <x:v>G–H</x:v>
      </x:c>
    </x:row>
    <x:row r="15">
      <x:c r="A15" t="str">
        <x:v>Interpipe</x:v>
      </x:c>
      <x:c r="B15" t="n">
        <x:v>11</x:v>
      </x:c>
      <x:c r="C15" t="str">
        <x:v>Public catalog / grade listing</x:v>
      </x:c>
      <x:c r="E15" t="str">
        <x:v>Martensitic 9Cr</x:v>
      </x:c>
      <x:c r="F15" t="n">
        <x:v>1</x:v>
      </x:c>
      <x:c r="G15" t="str">
        <x:v>E–F</x:v>
      </x:c>
    </x:row>
    <x:row r="16">
      <x:c r="A16" t="str">
        <x:v>Borusan Mannesmann</x:v>
      </x:c>
      <x:c r="B16" t="n">
        <x:v>10</x:v>
      </x:c>
      <x:c r="C16" t="str">
        <x:v>Public catalog / grade listing</x:v>
      </x:c>
    </x:row>
    <x:row r="17">
      <x:c r="A17" t="str">
        <x:v>TMK</x:v>
      </x:c>
      <x:c r="B17" t="n">
        <x:v>7</x:v>
      </x:c>
      <x:c r="C17" t="str">
        <x:v>Public catalog / grade listing</x:v>
      </x:c>
    </x:row>
    <x:row r="18">
      <x:c r="A18" t="str">
        <x:v>Jindal SAW / Jindal Tubular</x:v>
      </x:c>
      <x:c r="B18" t="n">
        <x:v>6</x:v>
      </x:c>
      <x:c r="C18" t="str">
        <x:v>Public catalog / grade listing</x:v>
      </x:c>
    </x:row>
    <x:row r="19">
      <x:c r="A19" t="str">
        <x:v>Jindal Pipes</x:v>
      </x:c>
      <x:c r="B19" t="n">
        <x:v>4</x:v>
      </x:c>
      <x:c r="C19" t="str">
        <x:v>Public catalog / grade listing</x:v>
      </x:c>
    </x:row>
    <x:row r="20">
      <x:c r="A20" t="str">
        <x:v>Tianjin Huajin</x:v>
      </x:c>
      <x:c r="B20" t="n">
        <x:v>4</x:v>
      </x:c>
      <x:c r="C20" t="str">
        <x:v>Public catalog / grade listing</x:v>
      </x:c>
    </x:row>
    <x:row r="21">
      <x:c r="A21" t="str">
        <x:v>SeAH Steel</x:v>
      </x:c>
      <x:c r="B21" t="n">
        <x:v>2</x:v>
      </x:c>
      <x:c r="C21" t="str">
        <x:v>Public catalog / grade listing</x:v>
      </x:c>
    </x:row>
    <x:row r="24" ht="32" customHeight="1">
      <x:c r="A24" s="58" t="str">
        <x:v>IMPORTANT: Public catalogue coverage, not an exhaustive procurement-approved list. All proprietary grade costs require an RFQ.</x:v>
      </x:c>
      <x:c r="B24" s="58"/>
      <x:c r="C24" s="58"/>
      <x:c r="D24" s="58"/>
      <x:c r="E24" s="58"/>
      <x:c r="F24" s="58"/>
      <x:c r="G24" s="58"/>
      <x:c r="H24" s="58"/>
    </x:row>
  </x:sheetData>
  <x:mergeCells>
    <x:mergeCell ref="A1:H1"/>
    <x:mergeCell ref="A24:H2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62" hidden="0" customWidth="1"/>
    <x:col min="4" max="4" width="4" hidden="0" customWidth="1"/>
    <x:col min="5" max="5" width="27" hidden="0" customWidth="1"/>
    <x:col min="6" max="6" width="20" hidden="0" customWidth="1"/>
    <x:col min="7" max="7" width="20" hidden="0" customWidth="1"/>
  </x:cols>
  <x:sheetData>
    <x:row r="1" ht="43" customHeight="1">
      <x:c r="A1" s="62" t="str">
        <x:v>OCTG   /   WELL MATERIAL SELECTION CONSOLE</x:v>
      </x:c>
      <x:c r="B1" s="62"/>
      <x:c r="C1" s="62"/>
      <x:c r="D1" s="62"/>
      <x:c r="E1" s="62"/>
      <x:c r="F1" s="62"/>
      <x:c r="G1" s="62"/>
    </x:row>
    <x:row r="2" ht="37" customHeight="1">
      <x:c r="A2" s="65" t="str">
        <x:v>Change the blue inputs. SCREENING results and KPI counts update automatically in Excel. This is a pre-screen, not a service-qualification certificate.</x:v>
      </x:c>
      <x:c r="B2" s="65"/>
      <x:c r="C2" s="65"/>
      <x:c r="D2" s="65"/>
      <x:c r="E2" s="65"/>
      <x:c r="F2" s="65"/>
      <x:c r="G2" s="65"/>
    </x:row>
    <x:row r="3" ht="30" customHeight="1">
      <x:c r="A3" s="67" t="str">
        <x:v>DESIGN INPUT</x:v>
      </x:c>
      <x:c r="B3" s="67" t="str">
        <x:v>VALUE / USER EDIT</x:v>
      </x:c>
      <x:c r="C3" s="67" t="str">
        <x:v>WHAT IT MEANS</x:v>
      </x:c>
      <x:c r="E3" s="67" t="str">
        <x:v>ENGINEERING GATES</x:v>
      </x:c>
      <x:c r="F3" s="67" t="str">
        <x:v>STATUS</x:v>
      </x:c>
      <x:c r="G3" s="67" t="str">
        <x:v>PURPOSE</x:v>
      </x:c>
    </x:row>
    <x:row r="4" ht="39" customHeight="1">
      <x:c r="A4" s="68" t="str">
        <x:v>Water / aqueous phase</x:v>
      </x:c>
      <x:c r="B4" s="70" t="str">
        <x:v>Wet</x:v>
      </x:c>
      <x:c r="C4" s="72" t="str">
        <x:v>Wet, Verified dry, or Unknown</x:v>
      </x:c>
      <x:c r="E4" s="42" t="str">
        <x:v>H2S / cracking</x:v>
      </x:c>
      <x:c r="F4" s="74" t="str">
        <x:f>IF(B5&gt;0,"VERIFY ISO 15156","CHECK DESIGN")</x:f>
        <x:v>CHECK DESIGN</x:v>
      </x:c>
      <x:c r="G4" s="42" t="str">
        <x:v>Supplier-qualified environment</x:v>
      </x:c>
    </x:row>
    <x:row r="5" ht="39" customHeight="1">
      <x:c r="A5" s="68" t="str">
        <x:v>H2S partial pressure (bar)</x:v>
      </x:c>
      <x:c r="B5" s="70" t="n">
        <x:v>0</x:v>
      </x:c>
      <x:c r="C5" s="72" t="str">
        <x:v>0 does NOT establish NACE sweet-service qualification</x:v>
      </x:c>
      <x:c r="E5" s="42" t="str">
        <x:v>Wet CO2</x:v>
      </x:c>
      <x:c r="F5" s="74" t="str">
        <x:f>IF(AND(B4="Wet",B6&gt;0),"CORROSION MODEL","NOT FLAGGED")</x:f>
        <x:v>CORROSION MODEL</x:v>
      </x:c>
      <x:c r="G5" s="42" t="str">
        <x:v>Corrosion rate + inhibition</x:v>
      </x:c>
    </x:row>
    <x:row r="6" ht="39" customHeight="1">
      <x:c r="A6" s="68" t="str">
        <x:v>CO2 partial pressure (bar)</x:v>
      </x:c>
      <x:c r="B6" s="70" t="n">
        <x:v>5</x:v>
      </x:c>
      <x:c r="C6" s="72" t="str">
        <x:v>Partial pressure in bar; not mole %</x:v>
      </x:c>
      <x:c r="E6" s="42" t="str">
        <x:v>High collapse</x:v>
      </x:c>
      <x:c r="F6" s="74" t="str">
        <x:f>IF(B12="Yes","RATING REQUIRED","NORMAL DESIGN")</x:f>
        <x:v>NORMAL DESIGN</x:v>
      </x:c>
      <x:c r="G6" s="42" t="str">
        <x:v>Pipe OD/WT + loads</x:v>
      </x:c>
    </x:row>
    <x:row r="7" ht="39" customHeight="1">
      <x:c r="A7" s="68" t="str">
        <x:v>Max design temperature (°C)</x:v>
      </x:c>
      <x:c r="B7" s="70" t="n">
        <x:v>85</x:v>
      </x:c>
      <x:c r="C7" s="72" t="str">
        <x:v>Confirm vendor temperature envelope</x:v>
      </x:c>
      <x:c r="E7" s="42" t="str">
        <x:v>Elemental sulfur</x:v>
      </x:c>
      <x:c r="F7" s="74" t="str">
        <x:f>IF(B10="Yes","SPECIAL REVIEW",IF(B10="Unknown","DATA NEEDED","NOT REPORTED"))</x:f>
        <x:v>NOT REPORTED</x:v>
      </x:c>
      <x:c r="G7" s="42" t="str">
        <x:v>Cracking / corrosion risks</x:v>
      </x:c>
    </x:row>
    <x:row r="8" ht="39" customHeight="1">
      <x:c r="A8" s="68" t="str">
        <x:v>Produced-water chlorides (mg/L)</x:v>
      </x:c>
      <x:c r="B8" s="70" t="n">
        <x:v>15000</x:v>
      </x:c>
      <x:c r="C8" s="72" t="str">
        <x:v>Used as mandatory review cue, not an acceptance limit</x:v>
      </x:c>
      <x:c r="E8" s="42" t="str">
        <x:v>Chloride / temperature</x:v>
      </x:c>
      <x:c r="F8" s="74" t="str">
        <x:f>IF(AND(B4="Wet",OR(B8&gt;0,B7&gt;0)),"LIMITS REQUIRED","CHECK EXPOSURE")</x:f>
        <x:v>LIMITS REQUIRED</x:v>
      </x:c>
      <x:c r="G8" s="42" t="str">
        <x:v>Check pitting, SCC envelope</x:v>
      </x:c>
    </x:row>
    <x:row r="9" ht="39" customHeight="1">
      <x:c r="A9" s="68" t="str">
        <x:v>Produced-water pH</x:v>
      </x:c>
      <x:c r="B9" s="70" t="n">
        <x:v>5.5</x:v>
      </x:c>
      <x:c r="C9" s="72" t="str">
        <x:v>Measured/estimated operating pH</x:v>
      </x:c>
      <x:c r="E9" s="42" t="str">
        <x:v>Overall</x:v>
      </x:c>
      <x:c r="F9" s="74" t="str">
        <x:f>IF(OR(B5&gt;0,B10="Yes",B4="Unknown"),"ENVIRONMENT REVIEW","VERIFY STANDARD LIMITS")</x:f>
        <x:v>VERIFY STANDARD LIMITS</x:v>
      </x:c>
      <x:c r="G9" s="42" t="str">
        <x:v>NEVER automatic acceptance</x:v>
      </x:c>
    </x:row>
    <x:row r="10" ht="30" customHeight="1">
      <x:c r="A10" s="68" t="str">
        <x:v>Elemental sulfur</x:v>
      </x:c>
      <x:c r="B10" s="70" t="str">
        <x:v>No</x:v>
      </x:c>
      <x:c r="C10" s="72" t="str">
        <x:v>Yes means special corrosion / cracking evaluation</x:v>
      </x:c>
    </x:row>
    <x:row r="11" ht="30" customHeight="1">
      <x:c r="A11" s="68" t="str">
        <x:v>Required minimum SMYS (ksi)</x:v>
      </x:c>
      <x:c r="B11" s="70" t="n">
        <x:v>80</x:v>
      </x:c>
      <x:c r="C11" s="72" t="str">
        <x:v>Only preliminary yield check; not load rating</x:v>
      </x:c>
      <x:c r="E11" s="67" t="str">
        <x:v>SUPPLEMENTAL CHECK</x:v>
      </x:c>
      <x:c r="F11" s="67" t="str">
        <x:v>STATUS</x:v>
      </x:c>
      <x:c r="G11" s="67" t="str">
        <x:v>RATIONALE</x:v>
      </x:c>
    </x:row>
    <x:row r="12" ht="35" customHeight="1">
      <x:c r="A12" s="68" t="str">
        <x:v>High-collapse grade required?</x:v>
      </x:c>
      <x:c r="B12" s="70" t="str">
        <x:v>No</x:v>
      </x:c>
      <x:c r="C12" s="72" t="str">
        <x:v>Verify proprietary rating using OD/wall/load</x:v>
      </x:c>
      <x:c r="E12" s="42" t="str">
        <x:v>Acidic water</x:v>
      </x:c>
      <x:c r="F12" s="74" t="str">
        <x:f>IF(B9&lt;5,"ACIDIC REVIEW","VERIFY pH ENVELOPE")</x:f>
        <x:v>VERIFY pH ENVELOPE</x:v>
      </x:c>
      <x:c r="G12" s="42" t="str">
        <x:v>pH is not an independent material acceptance criterion</x:v>
      </x:c>
    </x:row>
    <x:row r="13" ht="35" customHeight="1">
      <x:c r="A13" s="68" t="str">
        <x:v>Maximum relative alloy cost tier</x:v>
      </x:c>
      <x:c r="B13" s="70" t="str">
        <x:v>Unrestricted</x:v>
      </x:c>
      <x:c r="C13" s="72" t="str">
        <x:v>Alphabetic A to I = purchasing preference</x:v>
      </x:c>
      <x:c r="E13" s="42" t="str">
        <x:v>Temperature</x:v>
      </x:c>
      <x:c r="F13" s="74" t="str">
        <x:f>IF(B7&gt;=120,"HIGH-T RECHECK","QUALIFY TEMPERATURE")</x:f>
        <x:v>QUALIFY TEMPERATURE</x:v>
      </x:c>
      <x:c r="G13" s="42" t="str">
        <x:v>120 °C used as caution, not a pass/fail limit</x:v>
      </x:c>
    </x:row>
    <x:row r="14" ht="35" customHeight="1">
      <x:c r="A14" s="68" t="str">
        <x:v>Include API generic reference grades?</x:v>
      </x:c>
      <x:c r="B14" s="70" t="str">
        <x:v>No</x:v>
      </x:c>
      <x:c r="C14" s="72" t="str">
        <x:v>API rows remain REFERENCE ONLY in screening</x:v>
      </x:c>
      <x:c r="E14" s="42" t="str">
        <x:v>Chloride</x:v>
      </x:c>
      <x:c r="F14" s="74" t="str">
        <x:f>IF(AND(B4="Wet",B8&gt;0),"PITTING/SCC REVIEW","CHECK BRINE")</x:f>
        <x:v>PITTING/SCC REVIEW</x:v>
      </x:c>
      <x:c r="G14" s="42" t="str">
        <x:v>Manufacturer test envelope / localized corrosion</x:v>
      </x:c>
    </x:row>
    <x:row r="15" ht="35" customHeight="1">
      <x:c r="E15" s="42" t="str">
        <x:v>Fluid phase</x:v>
      </x:c>
      <x:c r="F15" s="74" t="str">
        <x:f>IF(B4="Unknown","UNKNOWN EXPOSURE","CONFIRM UPSETS")</x:f>
        <x:v>CONFIRM UPSETS</x:v>
      </x:c>
      <x:c r="G15" s="42" t="str">
        <x:v>Water condensation during start/stop and life cycle</x:v>
      </x:c>
    </x:row>
    <x:row r="17" ht="31" customHeight="1">
      <x:c r="A17" s="67" t="str">
        <x:v>SOURCE-BACKED SCREENING KPIs</x:v>
      </x:c>
      <x:c r="B17" s="67" t="str">
        <x:v>COUNT</x:v>
      </x:c>
      <x:c r="C17" s="67" t="str">
        <x:v>INTERPRETATION</x:v>
      </x:c>
    </x:row>
    <x:row r="18" ht="28" customHeight="1">
      <x:c r="A18" t="str">
        <x:v>Catalog candidates</x:v>
      </x:c>
      <x:c r="B18" s="75" t="n">
        <x:f>COUNTIF(SCREENING!R2:R451,"CANDIDATE — VERIFY")</x:f>
        <x:v>84</x:v>
      </x:c>
      <x:c r="C18" t="str">
        <x:v>Still require supplier/environment qualification</x:v>
      </x:c>
    </x:row>
    <x:row r="19" ht="28" customHeight="1">
      <x:c r="A19" t="str">
        <x:v>Needs focused review</x:v>
      </x:c>
      <x:c r="B19" s="75" t="n">
        <x:f>COUNTIF(SCREENING!R2:R451,"REVIEW")</x:f>
        <x:v>278</x:v>
      </x:c>
      <x:c r="C19" t="str">
        <x:v>Not excluded; catalog claims/parameters inadequate</x:v>
      </x:c>
    </x:row>
    <x:row r="20" ht="28" customHeight="1">
      <x:c r="A20" t="str">
        <x:v>Below strength requirement</x:v>
      </x:c>
      <x:c r="B20" s="75" t="n">
        <x:f>COUNTIF(SCREENING!R2:R451,"EXCLUDE — STRENGTH")</x:f>
        <x:v>29</x:v>
      </x:c>
      <x:c r="C20" t="str">
        <x:v>SMYS alone; actual load cases separate</x:v>
      </x:c>
    </x:row>
    <x:row r="21" ht="28" customHeight="1">
      <x:c r="A21" t="str">
        <x:v>Exceeds cost tier</x:v>
      </x:c>
      <x:c r="B21" s="75" t="n">
        <x:f>COUNTIF(SCREENING!R2:R451,"EXCLUDE — COST")</x:f>
        <x:v>0</x:v>
      </x:c>
      <x:c r="C21" t="str">
        <x:v>Procurement tier preference only</x:v>
      </x:c>
    </x:row>
    <x:row r="22" ht="28" customHeight="1">
      <x:c r="A22" t="str">
        <x:v>API generic references</x:v>
      </x:c>
      <x:c r="B22" s="75" t="n">
        <x:f>COUNTIF(SCREENING!R2:R451,"REFERENCE ONLY")+COUNTIF(SCREENING!R2:R451,"EXCLUDE — REFERENCE")</x:f>
        <x:v>59</x:v>
      </x:c>
      <x:c r="C22" t="str">
        <x:v>Not specific supplier stock grades</x:v>
      </x:c>
    </x:row>
    <x:row r="25" ht="36" customHeight="1">
      <x:c r="A25" s="78" t="str">
        <x:v>SCREENING METHOD: Strength and optional cost cap are exclusion gates; all chemistry, SSC, pitting, high collapse, and connection acceptance need documented review.</x:v>
      </x:c>
      <x:c r="B25" s="78"/>
      <x:c r="C25" s="78"/>
      <x:c r="D25" s="78"/>
      <x:c r="E25" s="78"/>
      <x:c r="F25" s="78"/>
      <x:c r="G25" s="78"/>
    </x:row>
    <x:row r="27" ht="29" customHeight="1">
      <x:c r="A27" s="67" t="str">
        <x:v>EXAMPLE ONLY — SCENARIOS</x:v>
      </x:c>
      <x:c r="B27" s="67" t="str">
        <x:v>pH2S bar</x:v>
      </x:c>
      <x:c r="C27" s="67" t="str">
        <x:v>pCO2 bar</x:v>
      </x:c>
    </x:row>
    <x:row r="28">
      <x:c r="A28" t="str">
        <x:v>Sweet conventional</x:v>
      </x:c>
      <x:c r="B28" t="n">
        <x:v>0</x:v>
      </x:c>
      <x:c r="C28" t="n">
        <x:v>0.1</x:v>
      </x:c>
    </x:row>
    <x:row r="29">
      <x:c r="A29" t="str">
        <x:v>Wet CO2</x:v>
      </x:c>
      <x:c r="B29" t="n">
        <x:v>0</x:v>
      </x:c>
      <x:c r="C29" t="n">
        <x:v>5</x:v>
      </x:c>
    </x:row>
    <x:row r="30">
      <x:c r="A30" t="str">
        <x:v>Sour, collapse</x:v>
      </x:c>
      <x:c r="B30" t="n">
        <x:v>0.1</x:v>
      </x:c>
      <x:c r="C30" t="n">
        <x:v>7</x:v>
      </x:c>
    </x:row>
    <x:row r="31">
      <x:c r="A31" t="str">
        <x:v>HPHT sour</x:v>
      </x:c>
      <x:c r="B31" t="n">
        <x:v>2</x:v>
      </x:c>
      <x:c r="C31" t="n">
        <x:v>30</x:v>
      </x:c>
    </x:row>
  </x:sheetData>
  <x:mergeCells>
    <x:mergeCell ref="A1:G1"/>
    <x:mergeCell ref="A2:G2"/>
    <x:mergeCell ref="A25:G25"/>
  </x:mergeCells>
  <x:dataValidations count="5">
    <x:dataValidation type="list" sqref="B4">
      <x:formula1>"Wet,Verified dry,Unknown"</x:formula1>
    </x:dataValidation>
    <x:dataValidation type="list" sqref="B10">
      <x:formula1>"Yes,No,Unknown"</x:formula1>
    </x:dataValidation>
    <x:dataValidation type="list" sqref="B12">
      <x:formula1>"Yes,No"</x:formula1>
    </x:dataValidation>
    <x:dataValidation type="list" sqref="B13">
      <x:formula1>"Unrestricted,A,B,C,D,E,F,G,H,I"</x:formula1>
    </x:dataValidation>
    <x:dataValidation type="list" sqref="B14">
      <x:formula1>"Yes,No"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30" hidden="0" customWidth="1"/>
    <x:col min="4" max="4" width="25" hidden="0" customWidth="1"/>
    <x:col min="5" max="5" width="47" hidden="0" customWidth="1"/>
    <x:col min="6" max="6" width="14" hidden="0" customWidth="1"/>
    <x:col min="7" max="7" width="12" hidden="0" customWidth="1"/>
    <x:col min="8" max="8" width="12" hidden="0" customWidth="1"/>
    <x:col min="9" max="9" width="13" hidden="0" customWidth="1"/>
    <x:col min="10" max="10" width="13" hidden="0" customWidth="1"/>
    <x:col min="11" max="11" width="15" hidden="0" customWidth="1"/>
    <x:col min="12" max="12" width="14" hidden="0" customWidth="1"/>
    <x:col min="13" max="13" width="18" hidden="0" customWidth="1"/>
    <x:col min="14" max="14" width="22" hidden="0" customWidth="1"/>
    <x:col min="15" max="15" width="18" hidden="0" customWidth="1"/>
    <x:col min="16" max="16" width="17" hidden="0" customWidth="1"/>
    <x:col min="17" max="17" width="18" hidden="0" customWidth="1"/>
    <x:col min="18" max="18" width="25" hidden="0" customWidth="1"/>
    <x:col min="19" max="19" width="52" hidden="0" customWidth="1"/>
    <x:col min="20" max="20" width="72" hidden="0" customWidth="1"/>
  </x:cols>
  <x:sheetData>
    <x:row r="1" ht="38" customHeight="1">
      <x:c r="A1" s="81" t="str">
        <x:v>ID</x:v>
      </x:c>
      <x:c r="B1" s="81" t="str">
        <x:v>Supplier</x:v>
      </x:c>
      <x:c r="C1" s="81" t="str">
        <x:v>Grade</x:v>
      </x:c>
      <x:c r="D1" s="81" t="str">
        <x:v>Material family</x:v>
      </x:c>
      <x:c r="E1" s="81" t="str">
        <x:v>Supplier service statement</x:v>
      </x:c>
      <x:c r="F1" s="81" t="str">
        <x:v>SMYS ksi</x:v>
      </x:c>
      <x:c r="G1" s="81" t="str">
        <x:v>HC named</x:v>
      </x:c>
      <x:c r="H1" s="81" t="str">
        <x:v>Cost tier</x:v>
      </x:c>
      <x:c r="I1" s="81" t="str">
        <x:v>Sour claim</x:v>
      </x:c>
      <x:c r="J1" s="81" t="str">
        <x:v>CO2 alloy</x:v>
      </x:c>
      <x:c r="K1" s="81" t="str">
        <x:v>API reference?</x:v>
      </x:c>
      <x:c r="L1" s="81" t="str">
        <x:v>SMYS gate</x:v>
      </x:c>
      <x:c r="M1" s="81" t="str">
        <x:v>Sour catalog gate</x:v>
      </x:c>
      <x:c r="N1" s="81" t="str">
        <x:v>CO2 corrosion gate</x:v>
      </x:c>
      <x:c r="O1" s="81" t="str">
        <x:v>Collapse catalog gate</x:v>
      </x:c>
      <x:c r="P1" s="81" t="str">
        <x:v>Cost cap gate</x:v>
      </x:c>
      <x:c r="Q1" s="81" t="str">
        <x:v>Catalog fit /100</x:v>
      </x:c>
      <x:c r="R1" s="81" t="str">
        <x:v>REVIEW STATUS</x:v>
      </x:c>
      <x:c r="S1" s="81" t="str">
        <x:v>Next action</x:v>
      </x:c>
      <x:c r="T1" s="81" t="str">
        <x:v>Supplier source URL</x:v>
      </x:c>
    </x:row>
    <x:row r="2" ht="23" customHeight="1">
      <x:c r="A2" t="str">
        <x:v>OCTG-0001</x:v>
      </x:c>
      <x:c r="B2" t="str">
        <x:v>API reference</x:v>
      </x:c>
      <x:c r="C2" t="str">
        <x:v>C110</x:v>
      </x:c>
      <x:c r="D2" t="str">
        <x:v>Carbon / low alloy</x:v>
      </x:c>
      <x:c r="E2" t="str">
        <x:v>Restricted sour service per ISO 15156</x:v>
      </x:c>
      <x:c r="F2" s="82" t="n">
        <x:v>110</x:v>
      </x:c>
      <x:c r="G2" t="str">
        <x:v>No</x:v>
      </x:c>
      <x:c r="H2" t="str">
        <x:v>A</x:v>
      </x:c>
      <x:c r="I2" t="str">
        <x:v>Yes</x:v>
      </x:c>
      <x:c r="J2" t="str">
        <x:v>No</x:v>
      </x:c>
      <x:c r="K2" t="str">
        <x:v>Yes</x:v>
      </x:c>
      <x:c r="L2" t="str">
        <x:f>IF(F2="","UNKNOWN",IF(F2&lt;'WELL INPUTS'!$B$11,"BELOW","OK"))</x:f>
        <x:v>OK</x:v>
      </x:c>
      <x:c r="M2" t="str">
        <x:f>IF(AND('WELL INPUTS'!$B$4="Wet",'WELL INPUTS'!$B$5&gt;0),IF(I2="Yes","CATALOG SOUR","NOT LISTED"),"N/A")</x:f>
        <x:v>N/A</x:v>
      </x:c>
      <x:c r="N2" t="str">
        <x:f>IF(AND('WELL INPUTS'!$B$4="Wet",'WELL INPUTS'!$B$6&gt;0),IF(J2="Yes","ALLOY FAMILY","CORROSION CONTROL"),"N/A")</x:f>
        <x:v>CORROSION CONTROL</x:v>
      </x:c>
      <x:c r="O2" t="str">
        <x:f>IF('WELL INPUTS'!$B$12="Yes",IF(G2="Yes","CLAIMED","NOT LISTED"),"N/A")</x:f>
        <x:v>N/A</x:v>
      </x:c>
      <x:c r="P2" t="str">
        <x:f>IF(OR('WELL INPUTS'!$B$13="Unrestricted",CODE(H2)&lt;=CODE('WELL INPUTS'!$B$13)),"WITHIN TIER","OVER CAP")</x:f>
        <x:v>WITHIN TIER</x:v>
      </x:c>
      <x:c r="Q2" t="n">
        <x:f>MAX(0,MIN(100,43+IF(L2="OK",14,-20)+IF(M2="CATALOG SOUR",24,IF(M2="NOT LISTED",-18,0))+IF(N2="ALLOY FAMILY",14,IF(N2="CORROSION CONTROL",-13,0))+IF(O2="CLAIMED",17,IF(O2="NOT LISTED",-14,0))+IF(K2="Yes",-15,0)+IF('WELL INPUTS'!$B$10="Yes",-17,0)))</x:f>
        <x:v>29</x:v>
      </x:c>
      <x:c r="R2" s="83" t="str">
        <x:f>IF(L2="BELOW","EXCLUDE — STRENGTH",IF(P2="OVER CAP","EXCLUDE — COST",IF(K2="Yes",IF('WELL INPUTS'!$B$14="No","EXCLUDE — REFERENCE","REFERENCE ONLY"),IF(OR(L2="UNKNOWN",M2="NOT LISTED",N2="CORROSION CONTROL",O2="NOT LISTED",'WELL INPUTS'!$B$10="Yes",'WELL INPUTS'!$B$4="Unknown"),"REVIEW","CANDIDATE — VERIFY"))))</x:f>
        <x:v>EXCLUDE — REFERENCE</x:v>
      </x:c>
      <x:c r="S2" t="str">
        <x:f>IF(L2="BELOW","Increase minimum grade strength",IF(P2="OVER CAP","Relax cost tier or exclude",IF(K2="Yes","Identify qualified manufacturer grade",IF(M2="NOT LISTED","Confirm sour-service claim and ISO 15156",IF(O2="NOT LISTED","Obtain manufacturer collapse curve",IF(N2="CORROSION CONTROL","Model CO2 corrosion; review inhibition","Confirm corrosion, cracking, loads and connection"))))))</x:f>
        <x:v>Identify qualified manufacturer grade</x:v>
      </x:c>
      <x:c r="T2" t="str">
        <x:v>https://www.api.org/products-and-services/standards/important-standards-announcements/spec5ct-tradepress</x:v>
      </x:c>
    </x:row>
    <x:row r="3" ht="23" customHeight="1">
      <x:c r="A3" t="str">
        <x:v>OCTG-0002</x:v>
      </x:c>
      <x:c r="B3" t="str">
        <x:v>API reference</x:v>
      </x:c>
      <x:c r="C3" t="str">
        <x:v>C90</x:v>
      </x:c>
      <x:c r="D3" t="str">
        <x:v>Carbon / low alloy</x:v>
      </x:c>
      <x:c r="E3" t="str">
        <x:v>Sour service within ISO 15156 limits</x:v>
      </x:c>
      <x:c r="F3" s="82" t="n">
        <x:v>90</x:v>
      </x:c>
      <x:c r="G3" t="str">
        <x:v>No</x:v>
      </x:c>
      <x:c r="H3" t="str">
        <x:v>A</x:v>
      </x:c>
      <x:c r="I3" t="str">
        <x:v>Yes</x:v>
      </x:c>
      <x:c r="J3" t="str">
        <x:v>No</x:v>
      </x:c>
      <x:c r="K3" t="str">
        <x:v>Yes</x:v>
      </x:c>
      <x:c r="L3" t="str">
        <x:f>IF(F3="","UNKNOWN",IF(F3&lt;'WELL INPUTS'!$B$11,"BELOW","OK"))</x:f>
        <x:v>OK</x:v>
      </x:c>
      <x:c r="M3" t="str">
        <x:f>IF(AND('WELL INPUTS'!$B$4="Wet",'WELL INPUTS'!$B$5&gt;0),IF(I3="Yes","CATALOG SOUR","NOT LISTED"),"N/A")</x:f>
        <x:v>N/A</x:v>
      </x:c>
      <x:c r="N3" t="str">
        <x:f>IF(AND('WELL INPUTS'!$B$4="Wet",'WELL INPUTS'!$B$6&gt;0),IF(J3="Yes","ALLOY FAMILY","CORROSION CONTROL"),"N/A")</x:f>
        <x:v>CORROSION CONTROL</x:v>
      </x:c>
      <x:c r="O3" t="str">
        <x:f>IF('WELL INPUTS'!$B$12="Yes",IF(G3="Yes","CLAIMED","NOT LISTED"),"N/A")</x:f>
        <x:v>N/A</x:v>
      </x:c>
      <x:c r="P3" t="str">
        <x:f>IF(OR('WELL INPUTS'!$B$13="Unrestricted",CODE(H3)&lt;=CODE('WELL INPUTS'!$B$13)),"WITHIN TIER","OVER CAP")</x:f>
        <x:v>WITHIN TIER</x:v>
      </x:c>
      <x:c r="Q3" t="n">
        <x:f>MAX(0,MIN(100,43+IF(L3="OK",14,-20)+IF(M3="CATALOG SOUR",24,IF(M3="NOT LISTED",-18,0))+IF(N3="ALLOY FAMILY",14,IF(N3="CORROSION CONTROL",-13,0))+IF(O3="CLAIMED",17,IF(O3="NOT LISTED",-14,0))+IF(K3="Yes",-15,0)+IF('WELL INPUTS'!$B$10="Yes",-17,0)))</x:f>
        <x:v>29</x:v>
      </x:c>
      <x:c r="R3" s="83" t="str">
        <x:f>IF(L3="BELOW","EXCLUDE — STRENGTH",IF(P3="OVER CAP","EXCLUDE — COST",IF(K3="Yes",IF('WELL INPUTS'!$B$14="No","EXCLUDE — REFERENCE","REFERENCE ONLY"),IF(OR(L3="UNKNOWN",M3="NOT LISTED",N3="CORROSION CONTROL",O3="NOT LISTED",'WELL INPUTS'!$B$10="Yes",'WELL INPUTS'!$B$4="Unknown"),"REVIEW","CANDIDATE — VERIFY"))))</x:f>
        <x:v>EXCLUDE — REFERENCE</x:v>
      </x:c>
      <x:c r="S3" t="str">
        <x:f>IF(L3="BELOW","Increase minimum grade strength",IF(P3="OVER CAP","Relax cost tier or exclude",IF(K3="Yes","Identify qualified manufacturer grade",IF(M3="NOT LISTED","Confirm sour-service claim and ISO 15156",IF(O3="NOT LISTED","Obtain manufacturer collapse curve",IF(N3="CORROSION CONTROL","Model CO2 corrosion; review inhibition","Confirm corrosion, cracking, loads and connection"))))))</x:f>
        <x:v>Identify qualified manufacturer grade</x:v>
      </x:c>
      <x:c r="T3" t="str">
        <x:v>https://www.api.org/products-and-services/standards/important-standards-announcements/spec5ct-tradepress</x:v>
      </x:c>
    </x:row>
    <x:row r="4" ht="23" customHeight="1">
      <x:c r="A4" t="str">
        <x:v>OCTG-0003</x:v>
      </x:c>
      <x:c r="B4" t="str">
        <x:v>API reference</x:v>
      </x:c>
      <x:c r="C4" t="str">
        <x:v>H40</x:v>
      </x:c>
      <x:c r="D4" t="str">
        <x:v>Carbon / low alloy</x:v>
      </x:c>
      <x:c r="E4" t="str">
        <x:v>Shallow / surface casing</x:v>
      </x:c>
      <x:c r="F4" s="82" t="n">
        <x:v>40</x:v>
      </x:c>
      <x:c r="G4" t="str">
        <x:v>No</x:v>
      </x:c>
      <x:c r="H4" t="str">
        <x:v>A</x:v>
      </x:c>
      <x:c r="I4" t="str">
        <x:v>No</x:v>
      </x:c>
      <x:c r="J4" t="str">
        <x:v>No</x:v>
      </x:c>
      <x:c r="K4" t="str">
        <x:v>Yes</x:v>
      </x:c>
      <x:c r="L4" t="str">
        <x:f>IF(F4="","UNKNOWN",IF(F4&lt;'WELL INPUTS'!$B$11,"BELOW","OK"))</x:f>
        <x:v>BELOW</x:v>
      </x:c>
      <x:c r="M4" t="str">
        <x:f>IF(AND('WELL INPUTS'!$B$4="Wet",'WELL INPUTS'!$B$5&gt;0),IF(I4="Yes","CATALOG SOUR","NOT LISTED"),"N/A")</x:f>
        <x:v>N/A</x:v>
      </x:c>
      <x:c r="N4" t="str">
        <x:f>IF(AND('WELL INPUTS'!$B$4="Wet",'WELL INPUTS'!$B$6&gt;0),IF(J4="Yes","ALLOY FAMILY","CORROSION CONTROL"),"N/A")</x:f>
        <x:v>CORROSION CONTROL</x:v>
      </x:c>
      <x:c r="O4" t="str">
        <x:f>IF('WELL INPUTS'!$B$12="Yes",IF(G4="Yes","CLAIMED","NOT LISTED"),"N/A")</x:f>
        <x:v>N/A</x:v>
      </x:c>
      <x:c r="P4" t="str">
        <x:f>IF(OR('WELL INPUTS'!$B$13="Unrestricted",CODE(H4)&lt;=CODE('WELL INPUTS'!$B$13)),"WITHIN TIER","OVER CAP")</x:f>
        <x:v>WITHIN TIER</x:v>
      </x:c>
      <x:c r="Q4" t="n">
        <x:f>MAX(0,MIN(100,43+IF(L4="OK",14,-20)+IF(M4="CATALOG SOUR",24,IF(M4="NOT LISTED",-18,0))+IF(N4="ALLOY FAMILY",14,IF(N4="CORROSION CONTROL",-13,0))+IF(O4="CLAIMED",17,IF(O4="NOT LISTED",-14,0))+IF(K4="Yes",-15,0)+IF('WELL INPUTS'!$B$10="Yes",-17,0)))</x:f>
        <x:v>0</x:v>
      </x:c>
      <x:c r="R4" s="83" t="str">
        <x:f>IF(L4="BELOW","EXCLUDE — STRENGTH",IF(P4="OVER CAP","EXCLUDE — COST",IF(K4="Yes",IF('WELL INPUTS'!$B$14="No","EXCLUDE — REFERENCE","REFERENCE ONLY"),IF(OR(L4="UNKNOWN",M4="NOT LISTED",N4="CORROSION CONTROL",O4="NOT LISTED",'WELL INPUTS'!$B$10="Yes",'WELL INPUTS'!$B$4="Unknown"),"REVIEW","CANDIDATE — VERIFY"))))</x:f>
        <x:v>EXCLUDE — STRENGTH</x:v>
      </x:c>
      <x:c r="S4" t="str">
        <x:f>IF(L4="BELOW","Increase minimum grade strength",IF(P4="OVER CAP","Relax cost tier or exclude",IF(K4="Yes","Identify qualified manufacturer grade",IF(M4="NOT LISTED","Confirm sour-service claim and ISO 15156",IF(O4="NOT LISTED","Obtain manufacturer collapse curve",IF(N4="CORROSION CONTROL","Model CO2 corrosion; review inhibition","Confirm corrosion, cracking, loads and connection"))))))</x:f>
        <x:v>Increase minimum grade strength</x:v>
      </x:c>
      <x:c r="T4" t="str">
        <x:v>https://www.api.org/products-and-services/standards/important-standards-announcements/spec5ct-tradepress</x:v>
      </x:c>
    </x:row>
    <x:row r="5" ht="23" customHeight="1">
      <x:c r="A5" t="str">
        <x:v>OCTG-0004</x:v>
      </x:c>
      <x:c r="B5" t="str">
        <x:v>API reference</x:v>
      </x:c>
      <x:c r="C5" t="str">
        <x:v>J55</x:v>
      </x:c>
      <x:c r="D5" t="str">
        <x:v>Carbon / low alloy</x:v>
      </x:c>
      <x:c r="E5" t="str">
        <x:v>Conventional sweet wells</x:v>
      </x:c>
      <x:c r="F5" s="82" t="n">
        <x:v>55</x:v>
      </x:c>
      <x:c r="G5" t="str">
        <x:v>No</x:v>
      </x:c>
      <x:c r="H5" t="str">
        <x:v>A</x:v>
      </x:c>
      <x:c r="I5" t="str">
        <x:v>No</x:v>
      </x:c>
      <x:c r="J5" t="str">
        <x:v>No</x:v>
      </x:c>
      <x:c r="K5" t="str">
        <x:v>Yes</x:v>
      </x:c>
      <x:c r="L5" t="str">
        <x:f>IF(F5="","UNKNOWN",IF(F5&lt;'WELL INPUTS'!$B$11,"BELOW","OK"))</x:f>
        <x:v>BELOW</x:v>
      </x:c>
      <x:c r="M5" t="str">
        <x:f>IF(AND('WELL INPUTS'!$B$4="Wet",'WELL INPUTS'!$B$5&gt;0),IF(I5="Yes","CATALOG SOUR","NOT LISTED"),"N/A")</x:f>
        <x:v>N/A</x:v>
      </x:c>
      <x:c r="N5" t="str">
        <x:f>IF(AND('WELL INPUTS'!$B$4="Wet",'WELL INPUTS'!$B$6&gt;0),IF(J5="Yes","ALLOY FAMILY","CORROSION CONTROL"),"N/A")</x:f>
        <x:v>CORROSION CONTROL</x:v>
      </x:c>
      <x:c r="O5" t="str">
        <x:f>IF('WELL INPUTS'!$B$12="Yes",IF(G5="Yes","CLAIMED","NOT LISTED"),"N/A")</x:f>
        <x:v>N/A</x:v>
      </x:c>
      <x:c r="P5" t="str">
        <x:f>IF(OR('WELL INPUTS'!$B$13="Unrestricted",CODE(H5)&lt;=CODE('WELL INPUTS'!$B$13)),"WITHIN TIER","OVER CAP")</x:f>
        <x:v>WITHIN TIER</x:v>
      </x:c>
      <x:c r="Q5" t="n">
        <x:f>MAX(0,MIN(100,43+IF(L5="OK",14,-20)+IF(M5="CATALOG SOUR",24,IF(M5="NOT LISTED",-18,0))+IF(N5="ALLOY FAMILY",14,IF(N5="CORROSION CONTROL",-13,0))+IF(O5="CLAIMED",17,IF(O5="NOT LISTED",-14,0))+IF(K5="Yes",-15,0)+IF('WELL INPUTS'!$B$10="Yes",-17,0)))</x:f>
        <x:v>0</x:v>
      </x:c>
      <x:c r="R5" s="83" t="str">
        <x:f>IF(L5="BELOW","EXCLUDE — STRENGTH",IF(P5="OVER CAP","EXCLUDE — COST",IF(K5="Yes",IF('WELL INPUTS'!$B$14="No","EXCLUDE — REFERENCE","REFERENCE ONLY"),IF(OR(L5="UNKNOWN",M5="NOT LISTED",N5="CORROSION CONTROL",O5="NOT LISTED",'WELL INPUTS'!$B$10="Yes",'WELL INPUTS'!$B$4="Unknown"),"REVIEW","CANDIDATE — VERIFY"))))</x:f>
        <x:v>EXCLUDE — STRENGTH</x:v>
      </x:c>
      <x:c r="S5" t="str">
        <x:f>IF(L5="BELOW","Increase minimum grade strength",IF(P5="OVER CAP","Relax cost tier or exclude",IF(K5="Yes","Identify qualified manufacturer grade",IF(M5="NOT LISTED","Confirm sour-service claim and ISO 15156",IF(O5="NOT LISTED","Obtain manufacturer collapse curve",IF(N5="CORROSION CONTROL","Model CO2 corrosion; review inhibition","Confirm corrosion, cracking, loads and connection"))))))</x:f>
        <x:v>Increase minimum grade strength</x:v>
      </x:c>
      <x:c r="T5" t="str">
        <x:v>https://www.api.org/products-and-services/standards/important-standards-announcements/spec5ct-tradepress</x:v>
      </x:c>
    </x:row>
    <x:row r="6" ht="23" customHeight="1">
      <x:c r="A6" t="str">
        <x:v>OCTG-0005</x:v>
      </x:c>
      <x:c r="B6" t="str">
        <x:v>API reference</x:v>
      </x:c>
      <x:c r="C6" t="str">
        <x:v>K55</x:v>
      </x:c>
      <x:c r="D6" t="str">
        <x:v>Carbon / low alloy</x:v>
      </x:c>
      <x:c r="E6" t="str">
        <x:v>Conventional sweet wells; higher UTS than J55</x:v>
      </x:c>
      <x:c r="F6" s="82" t="n">
        <x:v>55</x:v>
      </x:c>
      <x:c r="G6" t="str">
        <x:v>No</x:v>
      </x:c>
      <x:c r="H6" t="str">
        <x:v>A</x:v>
      </x:c>
      <x:c r="I6" t="str">
        <x:v>No</x:v>
      </x:c>
      <x:c r="J6" t="str">
        <x:v>No</x:v>
      </x:c>
      <x:c r="K6" t="str">
        <x:v>Yes</x:v>
      </x:c>
      <x:c r="L6" t="str">
        <x:f>IF(F6="","UNKNOWN",IF(F6&lt;'WELL INPUTS'!$B$11,"BELOW","OK"))</x:f>
        <x:v>BELOW</x:v>
      </x:c>
      <x:c r="M6" t="str">
        <x:f>IF(AND('WELL INPUTS'!$B$4="Wet",'WELL INPUTS'!$B$5&gt;0),IF(I6="Yes","CATALOG SOUR","NOT LISTED"),"N/A")</x:f>
        <x:v>N/A</x:v>
      </x:c>
      <x:c r="N6" t="str">
        <x:f>IF(AND('WELL INPUTS'!$B$4="Wet",'WELL INPUTS'!$B$6&gt;0),IF(J6="Yes","ALLOY FAMILY","CORROSION CONTROL"),"N/A")</x:f>
        <x:v>CORROSION CONTROL</x:v>
      </x:c>
      <x:c r="O6" t="str">
        <x:f>IF('WELL INPUTS'!$B$12="Yes",IF(G6="Yes","CLAIMED","NOT LISTED"),"N/A")</x:f>
        <x:v>N/A</x:v>
      </x:c>
      <x:c r="P6" t="str">
        <x:f>IF(OR('WELL INPUTS'!$B$13="Unrestricted",CODE(H6)&lt;=CODE('WELL INPUTS'!$B$13)),"WITHIN TIER","OVER CAP")</x:f>
        <x:v>WITHIN TIER</x:v>
      </x:c>
      <x:c r="Q6" t="n">
        <x:f>MAX(0,MIN(100,43+IF(L6="OK",14,-20)+IF(M6="CATALOG SOUR",24,IF(M6="NOT LISTED",-18,0))+IF(N6="ALLOY FAMILY",14,IF(N6="CORROSION CONTROL",-13,0))+IF(O6="CLAIMED",17,IF(O6="NOT LISTED",-14,0))+IF(K6="Yes",-15,0)+IF('WELL INPUTS'!$B$10="Yes",-17,0)))</x:f>
        <x:v>0</x:v>
      </x:c>
      <x:c r="R6" s="83" t="str">
        <x:f>IF(L6="BELOW","EXCLUDE — STRENGTH",IF(P6="OVER CAP","EXCLUDE — COST",IF(K6="Yes",IF('WELL INPUTS'!$B$14="No","EXCLUDE — REFERENCE","REFERENCE ONLY"),IF(OR(L6="UNKNOWN",M6="NOT LISTED",N6="CORROSION CONTROL",O6="NOT LISTED",'WELL INPUTS'!$B$10="Yes",'WELL INPUTS'!$B$4="Unknown"),"REVIEW","CANDIDATE — VERIFY"))))</x:f>
        <x:v>EXCLUDE — STRENGTH</x:v>
      </x:c>
      <x:c r="S6" t="str">
        <x:f>IF(L6="BELOW","Increase minimum grade strength",IF(P6="OVER CAP","Relax cost tier or exclude",IF(K6="Yes","Identify qualified manufacturer grade",IF(M6="NOT LISTED","Confirm sour-service claim and ISO 15156",IF(O6="NOT LISTED","Obtain manufacturer collapse curve",IF(N6="CORROSION CONTROL","Model CO2 corrosion; review inhibition","Confirm corrosion, cracking, loads and connection"))))))</x:f>
        <x:v>Increase minimum grade strength</x:v>
      </x:c>
      <x:c r="T6" t="str">
        <x:v>https://www.api.org/products-and-services/standards/important-standards-announcements/spec5ct-tradepress</x:v>
      </x:c>
    </x:row>
    <x:row r="7" ht="23" customHeight="1">
      <x:c r="A7" t="str">
        <x:v>OCTG-0006</x:v>
      </x:c>
      <x:c r="B7" t="str">
        <x:v>API reference</x:v>
      </x:c>
      <x:c r="C7" t="str">
        <x:v>L80 Type 1</x:v>
      </x:c>
      <x:c r="D7" t="str">
        <x:v>Carbon / low alloy</x:v>
      </x:c>
      <x:c r="E7" t="str">
        <x:v>Sour-capable only within ISO 15156 restrictions</x:v>
      </x:c>
      <x:c r="F7" s="82" t="n">
        <x:v>80</x:v>
      </x:c>
      <x:c r="G7" t="str">
        <x:v>No</x:v>
      </x:c>
      <x:c r="H7" t="str">
        <x:v>A</x:v>
      </x:c>
      <x:c r="I7" t="str">
        <x:v>Yes</x:v>
      </x:c>
      <x:c r="J7" t="str">
        <x:v>No</x:v>
      </x:c>
      <x:c r="K7" t="str">
        <x:v>Yes</x:v>
      </x:c>
      <x:c r="L7" t="str">
        <x:f>IF(F7="","UNKNOWN",IF(F7&lt;'WELL INPUTS'!$B$11,"BELOW","OK"))</x:f>
        <x:v>OK</x:v>
      </x:c>
      <x:c r="M7" t="str">
        <x:f>IF(AND('WELL INPUTS'!$B$4="Wet",'WELL INPUTS'!$B$5&gt;0),IF(I7="Yes","CATALOG SOUR","NOT LISTED"),"N/A")</x:f>
        <x:v>N/A</x:v>
      </x:c>
      <x:c r="N7" t="str">
        <x:f>IF(AND('WELL INPUTS'!$B$4="Wet",'WELL INPUTS'!$B$6&gt;0),IF(J7="Yes","ALLOY FAMILY","CORROSION CONTROL"),"N/A")</x:f>
        <x:v>CORROSION CONTROL</x:v>
      </x:c>
      <x:c r="O7" t="str">
        <x:f>IF('WELL INPUTS'!$B$12="Yes",IF(G7="Yes","CLAIMED","NOT LISTED"),"N/A")</x:f>
        <x:v>N/A</x:v>
      </x:c>
      <x:c r="P7" t="str">
        <x:f>IF(OR('WELL INPUTS'!$B$13="Unrestricted",CODE(H7)&lt;=CODE('WELL INPUTS'!$B$13)),"WITHIN TIER","OVER CAP")</x:f>
        <x:v>WITHIN TIER</x:v>
      </x:c>
      <x:c r="Q7" t="n">
        <x:f>MAX(0,MIN(100,43+IF(L7="OK",14,-20)+IF(M7="CATALOG SOUR",24,IF(M7="NOT LISTED",-18,0))+IF(N7="ALLOY FAMILY",14,IF(N7="CORROSION CONTROL",-13,0))+IF(O7="CLAIMED",17,IF(O7="NOT LISTED",-14,0))+IF(K7="Yes",-15,0)+IF('WELL INPUTS'!$B$10="Yes",-17,0)))</x:f>
        <x:v>29</x:v>
      </x:c>
      <x:c r="R7" s="83" t="str">
        <x:f>IF(L7="BELOW","EXCLUDE — STRENGTH",IF(P7="OVER CAP","EXCLUDE — COST",IF(K7="Yes",IF('WELL INPUTS'!$B$14="No","EXCLUDE — REFERENCE","REFERENCE ONLY"),IF(OR(L7="UNKNOWN",M7="NOT LISTED",N7="CORROSION CONTROL",O7="NOT LISTED",'WELL INPUTS'!$B$10="Yes",'WELL INPUTS'!$B$4="Unknown"),"REVIEW","CANDIDATE — VERIFY"))))</x:f>
        <x:v>EXCLUDE — REFERENCE</x:v>
      </x:c>
      <x:c r="S7" t="str">
        <x:f>IF(L7="BELOW","Increase minimum grade strength",IF(P7="OVER CAP","Relax cost tier or exclude",IF(K7="Yes","Identify qualified manufacturer grade",IF(M7="NOT LISTED","Confirm sour-service claim and ISO 15156",IF(O7="NOT LISTED","Obtain manufacturer collapse curve",IF(N7="CORROSION CONTROL","Model CO2 corrosion; review inhibition","Confirm corrosion, cracking, loads and connection"))))))</x:f>
        <x:v>Identify qualified manufacturer grade</x:v>
      </x:c>
      <x:c r="T7" t="str">
        <x:v>https://www.api.org/products-and-services/standards/important-standards-announcements/spec5ct-tradepress</x:v>
      </x:c>
    </x:row>
    <x:row r="8" ht="23" customHeight="1">
      <x:c r="A8" t="str">
        <x:v>OCTG-0007</x:v>
      </x:c>
      <x:c r="B8" t="str">
        <x:v>API reference</x:v>
      </x:c>
      <x:c r="C8" t="str">
        <x:v>N80 Type 1</x:v>
      </x:c>
      <x:c r="D8" t="str">
        <x:v>Carbon / low alloy</x:v>
      </x:c>
      <x:c r="E8" t="str">
        <x:v>Sweet / higher strength</x:v>
      </x:c>
      <x:c r="F8" s="82" t="n">
        <x:v>80</x:v>
      </x:c>
      <x:c r="G8" t="str">
        <x:v>No</x:v>
      </x:c>
      <x:c r="H8" t="str">
        <x:v>A</x:v>
      </x:c>
      <x:c r="I8" t="str">
        <x:v>No</x:v>
      </x:c>
      <x:c r="J8" t="str">
        <x:v>No</x:v>
      </x:c>
      <x:c r="K8" t="str">
        <x:v>Yes</x:v>
      </x:c>
      <x:c r="L8" t="str">
        <x:f>IF(F8="","UNKNOWN",IF(F8&lt;'WELL INPUTS'!$B$11,"BELOW","OK"))</x:f>
        <x:v>OK</x:v>
      </x:c>
      <x:c r="M8" t="str">
        <x:f>IF(AND('WELL INPUTS'!$B$4="Wet",'WELL INPUTS'!$B$5&gt;0),IF(I8="Yes","CATALOG SOUR","NOT LISTED"),"N/A")</x:f>
        <x:v>N/A</x:v>
      </x:c>
      <x:c r="N8" t="str">
        <x:f>IF(AND('WELL INPUTS'!$B$4="Wet",'WELL INPUTS'!$B$6&gt;0),IF(J8="Yes","ALLOY FAMILY","CORROSION CONTROL"),"N/A")</x:f>
        <x:v>CORROSION CONTROL</x:v>
      </x:c>
      <x:c r="O8" t="str">
        <x:f>IF('WELL INPUTS'!$B$12="Yes",IF(G8="Yes","CLAIMED","NOT LISTED"),"N/A")</x:f>
        <x:v>N/A</x:v>
      </x:c>
      <x:c r="P8" t="str">
        <x:f>IF(OR('WELL INPUTS'!$B$13="Unrestricted",CODE(H8)&lt;=CODE('WELL INPUTS'!$B$13)),"WITHIN TIER","OVER CAP")</x:f>
        <x:v>WITHIN TIER</x:v>
      </x:c>
      <x:c r="Q8" t="n">
        <x:f>MAX(0,MIN(100,43+IF(L8="OK",14,-20)+IF(M8="CATALOG SOUR",24,IF(M8="NOT LISTED",-18,0))+IF(N8="ALLOY FAMILY",14,IF(N8="CORROSION CONTROL",-13,0))+IF(O8="CLAIMED",17,IF(O8="NOT LISTED",-14,0))+IF(K8="Yes",-15,0)+IF('WELL INPUTS'!$B$10="Yes",-17,0)))</x:f>
        <x:v>29</x:v>
      </x:c>
      <x:c r="R8" s="83" t="str">
        <x:f>IF(L8="BELOW","EXCLUDE — STRENGTH",IF(P8="OVER CAP","EXCLUDE — COST",IF(K8="Yes",IF('WELL INPUTS'!$B$14="No","EXCLUDE — REFERENCE","REFERENCE ONLY"),IF(OR(L8="UNKNOWN",M8="NOT LISTED",N8="CORROSION CONTROL",O8="NOT LISTED",'WELL INPUTS'!$B$10="Yes",'WELL INPUTS'!$B$4="Unknown"),"REVIEW","CANDIDATE — VERIFY"))))</x:f>
        <x:v>EXCLUDE — REFERENCE</x:v>
      </x:c>
      <x:c r="S8" t="str">
        <x:f>IF(L8="BELOW","Increase minimum grade strength",IF(P8="OVER CAP","Relax cost tier or exclude",IF(K8="Yes","Identify qualified manufacturer grade",IF(M8="NOT LISTED","Confirm sour-service claim and ISO 15156",IF(O8="NOT LISTED","Obtain manufacturer collapse curve",IF(N8="CORROSION CONTROL","Model CO2 corrosion; review inhibition","Confirm corrosion, cracking, loads and connection"))))))</x:f>
        <x:v>Identify qualified manufacturer grade</x:v>
      </x:c>
      <x:c r="T8" t="str">
        <x:v>https://www.api.org/products-and-services/standards/important-standards-announcements/spec5ct-tradepress</x:v>
      </x:c>
    </x:row>
    <x:row r="9" ht="23" customHeight="1">
      <x:c r="A9" t="str">
        <x:v>OCTG-0008</x:v>
      </x:c>
      <x:c r="B9" t="str">
        <x:v>API reference</x:v>
      </x:c>
      <x:c r="C9" t="str">
        <x:v>N80 Type Q</x:v>
      </x:c>
      <x:c r="D9" t="str">
        <x:v>Carbon / low alloy</x:v>
      </x:c>
      <x:c r="E9" t="str">
        <x:v>Sweet / Q&amp;T</x:v>
      </x:c>
      <x:c r="F9" s="82" t="n">
        <x:v>80</x:v>
      </x:c>
      <x:c r="G9" t="str">
        <x:v>No</x:v>
      </x:c>
      <x:c r="H9" t="str">
        <x:v>A</x:v>
      </x:c>
      <x:c r="I9" t="str">
        <x:v>No</x:v>
      </x:c>
      <x:c r="J9" t="str">
        <x:v>No</x:v>
      </x:c>
      <x:c r="K9" t="str">
        <x:v>Yes</x:v>
      </x:c>
      <x:c r="L9" t="str">
        <x:f>IF(F9="","UNKNOWN",IF(F9&lt;'WELL INPUTS'!$B$11,"BELOW","OK"))</x:f>
        <x:v>OK</x:v>
      </x:c>
      <x:c r="M9" t="str">
        <x:f>IF(AND('WELL INPUTS'!$B$4="Wet",'WELL INPUTS'!$B$5&gt;0),IF(I9="Yes","CATALOG SOUR","NOT LISTED"),"N/A")</x:f>
        <x:v>N/A</x:v>
      </x:c>
      <x:c r="N9" t="str">
        <x:f>IF(AND('WELL INPUTS'!$B$4="Wet",'WELL INPUTS'!$B$6&gt;0),IF(J9="Yes","ALLOY FAMILY","CORROSION CONTROL"),"N/A")</x:f>
        <x:v>CORROSION CONTROL</x:v>
      </x:c>
      <x:c r="O9" t="str">
        <x:f>IF('WELL INPUTS'!$B$12="Yes",IF(G9="Yes","CLAIMED","NOT LISTED"),"N/A")</x:f>
        <x:v>N/A</x:v>
      </x:c>
      <x:c r="P9" t="str">
        <x:f>IF(OR('WELL INPUTS'!$B$13="Unrestricted",CODE(H9)&lt;=CODE('WELL INPUTS'!$B$13)),"WITHIN TIER","OVER CAP")</x:f>
        <x:v>WITHIN TIER</x:v>
      </x:c>
      <x:c r="Q9" t="n">
        <x:f>MAX(0,MIN(100,43+IF(L9="OK",14,-20)+IF(M9="CATALOG SOUR",24,IF(M9="NOT LISTED",-18,0))+IF(N9="ALLOY FAMILY",14,IF(N9="CORROSION CONTROL",-13,0))+IF(O9="CLAIMED",17,IF(O9="NOT LISTED",-14,0))+IF(K9="Yes",-15,0)+IF('WELL INPUTS'!$B$10="Yes",-17,0)))</x:f>
        <x:v>29</x:v>
      </x:c>
      <x:c r="R9" s="83" t="str">
        <x:f>IF(L9="BELOW","EXCLUDE — STRENGTH",IF(P9="OVER CAP","EXCLUDE — COST",IF(K9="Yes",IF('WELL INPUTS'!$B$14="No","EXCLUDE — REFERENCE","REFERENCE ONLY"),IF(OR(L9="UNKNOWN",M9="NOT LISTED",N9="CORROSION CONTROL",O9="NOT LISTED",'WELL INPUTS'!$B$10="Yes",'WELL INPUTS'!$B$4="Unknown"),"REVIEW","CANDIDATE — VERIFY"))))</x:f>
        <x:v>EXCLUDE — REFERENCE</x:v>
      </x:c>
      <x:c r="S9" t="str">
        <x:f>IF(L9="BELOW","Increase minimum grade strength",IF(P9="OVER CAP","Relax cost tier or exclude",IF(K9="Yes","Identify qualified manufacturer grade",IF(M9="NOT LISTED","Confirm sour-service claim and ISO 15156",IF(O9="NOT LISTED","Obtain manufacturer collapse curve",IF(N9="CORROSION CONTROL","Model CO2 corrosion; review inhibition","Confirm corrosion, cracking, loads and connection"))))))</x:f>
        <x:v>Identify qualified manufacturer grade</x:v>
      </x:c>
      <x:c r="T9" t="str">
        <x:v>https://www.api.org/products-and-services/standards/important-standards-announcements/spec5ct-tradepress</x:v>
      </x:c>
    </x:row>
    <x:row r="10" ht="23" customHeight="1">
      <x:c r="A10" t="str">
        <x:v>OCTG-0009</x:v>
      </x:c>
      <x:c r="B10" t="str">
        <x:v>API reference</x:v>
      </x:c>
      <x:c r="C10" t="str">
        <x:v>P110</x:v>
      </x:c>
      <x:c r="D10" t="str">
        <x:v>Carbon / low alloy</x:v>
      </x:c>
      <x:c r="E10" t="str">
        <x:v>Sweet deep / high strength</x:v>
      </x:c>
      <x:c r="F10" s="82" t="n">
        <x:v>110</x:v>
      </x:c>
      <x:c r="G10" t="str">
        <x:v>No</x:v>
      </x:c>
      <x:c r="H10" t="str">
        <x:v>A</x:v>
      </x:c>
      <x:c r="I10" t="str">
        <x:v>No</x:v>
      </x:c>
      <x:c r="J10" t="str">
        <x:v>No</x:v>
      </x:c>
      <x:c r="K10" t="str">
        <x:v>Yes</x:v>
      </x:c>
      <x:c r="L10" t="str">
        <x:f>IF(F10="","UNKNOWN",IF(F10&lt;'WELL INPUTS'!$B$11,"BELOW","OK"))</x:f>
        <x:v>OK</x:v>
      </x:c>
      <x:c r="M10" t="str">
        <x:f>IF(AND('WELL INPUTS'!$B$4="Wet",'WELL INPUTS'!$B$5&gt;0),IF(I10="Yes","CATALOG SOUR","NOT LISTED"),"N/A")</x:f>
        <x:v>N/A</x:v>
      </x:c>
      <x:c r="N10" t="str">
        <x:f>IF(AND('WELL INPUTS'!$B$4="Wet",'WELL INPUTS'!$B$6&gt;0),IF(J10="Yes","ALLOY FAMILY","CORROSION CONTROL"),"N/A")</x:f>
        <x:v>CORROSION CONTROL</x:v>
      </x:c>
      <x:c r="O10" t="str">
        <x:f>IF('WELL INPUTS'!$B$12="Yes",IF(G10="Yes","CLAIMED","NOT LISTED"),"N/A")</x:f>
        <x:v>N/A</x:v>
      </x:c>
      <x:c r="P10" t="str">
        <x:f>IF(OR('WELL INPUTS'!$B$13="Unrestricted",CODE(H10)&lt;=CODE('WELL INPUTS'!$B$13)),"WITHIN TIER","OVER CAP")</x:f>
        <x:v>WITHIN TIER</x:v>
      </x:c>
      <x:c r="Q10" t="n">
        <x:f>MAX(0,MIN(100,43+IF(L10="OK",14,-20)+IF(M10="CATALOG SOUR",24,IF(M10="NOT LISTED",-18,0))+IF(N10="ALLOY FAMILY",14,IF(N10="CORROSION CONTROL",-13,0))+IF(O10="CLAIMED",17,IF(O10="NOT LISTED",-14,0))+IF(K10="Yes",-15,0)+IF('WELL INPUTS'!$B$10="Yes",-17,0)))</x:f>
        <x:v>29</x:v>
      </x:c>
      <x:c r="R10" s="83" t="str">
        <x:f>IF(L10="BELOW","EXCLUDE — STRENGTH",IF(P10="OVER CAP","EXCLUDE — COST",IF(K10="Yes",IF('WELL INPUTS'!$B$14="No","EXCLUDE — REFERENCE","REFERENCE ONLY"),IF(OR(L10="UNKNOWN",M10="NOT LISTED",N10="CORROSION CONTROL",O10="NOT LISTED",'WELL INPUTS'!$B$10="Yes",'WELL INPUTS'!$B$4="Unknown"),"REVIEW","CANDIDATE — VERIFY"))))</x:f>
        <x:v>EXCLUDE — REFERENCE</x:v>
      </x:c>
      <x:c r="S10" t="str">
        <x:f>IF(L10="BELOW","Increase minimum grade strength",IF(P10="OVER CAP","Relax cost tier or exclude",IF(K10="Yes","Identify qualified manufacturer grade",IF(M10="NOT LISTED","Confirm sour-service claim and ISO 15156",IF(O10="NOT LISTED","Obtain manufacturer collapse curve",IF(N10="CORROSION CONTROL","Model CO2 corrosion; review inhibition","Confirm corrosion, cracking, loads and connection"))))))</x:f>
        <x:v>Identify qualified manufacturer grade</x:v>
      </x:c>
      <x:c r="T10" t="str">
        <x:v>https://www.api.org/products-and-services/standards/important-standards-announcements/spec5ct-tradepress</x:v>
      </x:c>
    </x:row>
    <x:row r="11" ht="23" customHeight="1">
      <x:c r="A11" t="str">
        <x:v>OCTG-0010</x:v>
      </x:c>
      <x:c r="B11" t="str">
        <x:v>API reference</x:v>
      </x:c>
      <x:c r="C11" t="str">
        <x:v>Q125</x:v>
      </x:c>
      <x:c r="D11" t="str">
        <x:v>Carbon / low alloy</x:v>
      </x:c>
      <x:c r="E11" t="str">
        <x:v>Very deep / high mechanical loading</x:v>
      </x:c>
      <x:c r="F11" s="82" t="n">
        <x:v>125</x:v>
      </x:c>
      <x:c r="G11" t="str">
        <x:v>No</x:v>
      </x:c>
      <x:c r="H11" t="str">
        <x:v>A</x:v>
      </x:c>
      <x:c r="I11" t="str">
        <x:v>No</x:v>
      </x:c>
      <x:c r="J11" t="str">
        <x:v>No</x:v>
      </x:c>
      <x:c r="K11" t="str">
        <x:v>Yes</x:v>
      </x:c>
      <x:c r="L11" t="str">
        <x:f>IF(F11="","UNKNOWN",IF(F11&lt;'WELL INPUTS'!$B$11,"BELOW","OK"))</x:f>
        <x:v>OK</x:v>
      </x:c>
      <x:c r="M11" t="str">
        <x:f>IF(AND('WELL INPUTS'!$B$4="Wet",'WELL INPUTS'!$B$5&gt;0),IF(I11="Yes","CATALOG SOUR","NOT LISTED"),"N/A")</x:f>
        <x:v>N/A</x:v>
      </x:c>
      <x:c r="N11" t="str">
        <x:f>IF(AND('WELL INPUTS'!$B$4="Wet",'WELL INPUTS'!$B$6&gt;0),IF(J11="Yes","ALLOY FAMILY","CORROSION CONTROL"),"N/A")</x:f>
        <x:v>CORROSION CONTROL</x:v>
      </x:c>
      <x:c r="O11" t="str">
        <x:f>IF('WELL INPUTS'!$B$12="Yes",IF(G11="Yes","CLAIMED","NOT LISTED"),"N/A")</x:f>
        <x:v>N/A</x:v>
      </x:c>
      <x:c r="P11" t="str">
        <x:f>IF(OR('WELL INPUTS'!$B$13="Unrestricted",CODE(H11)&lt;=CODE('WELL INPUTS'!$B$13)),"WITHIN TIER","OVER CAP")</x:f>
        <x:v>WITHIN TIER</x:v>
      </x:c>
      <x:c r="Q11" t="n">
        <x:f>MAX(0,MIN(100,43+IF(L11="OK",14,-20)+IF(M11="CATALOG SOUR",24,IF(M11="NOT LISTED",-18,0))+IF(N11="ALLOY FAMILY",14,IF(N11="CORROSION CONTROL",-13,0))+IF(O11="CLAIMED",17,IF(O11="NOT LISTED",-14,0))+IF(K11="Yes",-15,0)+IF('WELL INPUTS'!$B$10="Yes",-17,0)))</x:f>
        <x:v>29</x:v>
      </x:c>
      <x:c r="R11" s="83" t="str">
        <x:f>IF(L11="BELOW","EXCLUDE — STRENGTH",IF(P11="OVER CAP","EXCLUDE — COST",IF(K11="Yes",IF('WELL INPUTS'!$B$14="No","EXCLUDE — REFERENCE","REFERENCE ONLY"),IF(OR(L11="UNKNOWN",M11="NOT LISTED",N11="CORROSION CONTROL",O11="NOT LISTED",'WELL INPUTS'!$B$10="Yes",'WELL INPUTS'!$B$4="Unknown"),"REVIEW","CANDIDATE — VERIFY"))))</x:f>
        <x:v>EXCLUDE — REFERENCE</x:v>
      </x:c>
      <x:c r="S11" t="str">
        <x:f>IF(L11="BELOW","Increase minimum grade strength",IF(P11="OVER CAP","Relax cost tier or exclude",IF(K11="Yes","Identify qualified manufacturer grade",IF(M11="NOT LISTED","Confirm sour-service claim and ISO 15156",IF(O11="NOT LISTED","Obtain manufacturer collapse curve",IF(N11="CORROSION CONTROL","Model CO2 corrosion; review inhibition","Confirm corrosion, cracking, loads and connection"))))))</x:f>
        <x:v>Identify qualified manufacturer grade</x:v>
      </x:c>
      <x:c r="T11" t="str">
        <x:v>https://www.api.org/products-and-services/standards/important-standards-announcements/spec5ct-tradepress</x:v>
      </x:c>
    </x:row>
    <x:row r="12" ht="23" customHeight="1">
      <x:c r="A12" t="str">
        <x:v>OCTG-0011</x:v>
      </x:c>
      <x:c r="B12" t="str">
        <x:v>API reference</x:v>
      </x:c>
      <x:c r="C12" t="str">
        <x:v>R95</x:v>
      </x:c>
      <x:c r="D12" t="str">
        <x:v>Carbon / low alloy</x:v>
      </x:c>
      <x:c r="E12" t="str">
        <x:v>Sweet high strength</x:v>
      </x:c>
      <x:c r="F12" s="82" t="n">
        <x:v>95</x:v>
      </x:c>
      <x:c r="G12" t="str">
        <x:v>No</x:v>
      </x:c>
      <x:c r="H12" t="str">
        <x:v>A</x:v>
      </x:c>
      <x:c r="I12" t="str">
        <x:v>No</x:v>
      </x:c>
      <x:c r="J12" t="str">
        <x:v>No</x:v>
      </x:c>
      <x:c r="K12" t="str">
        <x:v>Yes</x:v>
      </x:c>
      <x:c r="L12" t="str">
        <x:f>IF(F12="","UNKNOWN",IF(F12&lt;'WELL INPUTS'!$B$11,"BELOW","OK"))</x:f>
        <x:v>OK</x:v>
      </x:c>
      <x:c r="M12" t="str">
        <x:f>IF(AND('WELL INPUTS'!$B$4="Wet",'WELL INPUTS'!$B$5&gt;0),IF(I12="Yes","CATALOG SOUR","NOT LISTED"),"N/A")</x:f>
        <x:v>N/A</x:v>
      </x:c>
      <x:c r="N12" t="str">
        <x:f>IF(AND('WELL INPUTS'!$B$4="Wet",'WELL INPUTS'!$B$6&gt;0),IF(J12="Yes","ALLOY FAMILY","CORROSION CONTROL"),"N/A")</x:f>
        <x:v>CORROSION CONTROL</x:v>
      </x:c>
      <x:c r="O12" t="str">
        <x:f>IF('WELL INPUTS'!$B$12="Yes",IF(G12="Yes","CLAIMED","NOT LISTED"),"N/A")</x:f>
        <x:v>N/A</x:v>
      </x:c>
      <x:c r="P12" t="str">
        <x:f>IF(OR('WELL INPUTS'!$B$13="Unrestricted",CODE(H12)&lt;=CODE('WELL INPUTS'!$B$13)),"WITHIN TIER","OVER CAP")</x:f>
        <x:v>WITHIN TIER</x:v>
      </x:c>
      <x:c r="Q12" t="n">
        <x:f>MAX(0,MIN(100,43+IF(L12="OK",14,-20)+IF(M12="CATALOG SOUR",24,IF(M12="NOT LISTED",-18,0))+IF(N12="ALLOY FAMILY",14,IF(N12="CORROSION CONTROL",-13,0))+IF(O12="CLAIMED",17,IF(O12="NOT LISTED",-14,0))+IF(K12="Yes",-15,0)+IF('WELL INPUTS'!$B$10="Yes",-17,0)))</x:f>
        <x:v>29</x:v>
      </x:c>
      <x:c r="R12" s="83" t="str">
        <x:f>IF(L12="BELOW","EXCLUDE — STRENGTH",IF(P12="OVER CAP","EXCLUDE — COST",IF(K12="Yes",IF('WELL INPUTS'!$B$14="No","EXCLUDE — REFERENCE","REFERENCE ONLY"),IF(OR(L12="UNKNOWN",M12="NOT LISTED",N12="CORROSION CONTROL",O12="NOT LISTED",'WELL INPUTS'!$B$10="Yes",'WELL INPUTS'!$B$4="Unknown"),"REVIEW","CANDIDATE — VERIFY"))))</x:f>
        <x:v>EXCLUDE — REFERENCE</x:v>
      </x:c>
      <x:c r="S12" t="str">
        <x:f>IF(L12="BELOW","Increase minimum grade strength",IF(P12="OVER CAP","Relax cost tier or exclude",IF(K12="Yes","Identify qualified manufacturer grade",IF(M12="NOT LISTED","Confirm sour-service claim and ISO 15156",IF(O12="NOT LISTED","Obtain manufacturer collapse curve",IF(N12="CORROSION CONTROL","Model CO2 corrosion; review inhibition","Confirm corrosion, cracking, loads and connection"))))))</x:f>
        <x:v>Identify qualified manufacturer grade</x:v>
      </x:c>
      <x:c r="T12" t="str">
        <x:v>https://www.api.org/products-and-services/standards/important-standards-announcements/spec5ct-tradepress</x:v>
      </x:c>
    </x:row>
    <x:row r="13" ht="23" customHeight="1">
      <x:c r="A13" t="str">
        <x:v>OCTG-0012</x:v>
      </x:c>
      <x:c r="B13" t="str">
        <x:v>API reference</x:v>
      </x:c>
      <x:c r="C13" t="str">
        <x:v>T95</x:v>
      </x:c>
      <x:c r="D13" t="str">
        <x:v>Carbon / low alloy</x:v>
      </x:c>
      <x:c r="E13" t="str">
        <x:v>Sour service within ISO 15156 limits</x:v>
      </x:c>
      <x:c r="F13" s="82" t="n">
        <x:v>95</x:v>
      </x:c>
      <x:c r="G13" t="str">
        <x:v>No</x:v>
      </x:c>
      <x:c r="H13" t="str">
        <x:v>A</x:v>
      </x:c>
      <x:c r="I13" t="str">
        <x:v>Yes</x:v>
      </x:c>
      <x:c r="J13" t="str">
        <x:v>No</x:v>
      </x:c>
      <x:c r="K13" t="str">
        <x:v>Yes</x:v>
      </x:c>
      <x:c r="L13" t="str">
        <x:f>IF(F13="","UNKNOWN",IF(F13&lt;'WELL INPUTS'!$B$11,"BELOW","OK"))</x:f>
        <x:v>OK</x:v>
      </x:c>
      <x:c r="M13" t="str">
        <x:f>IF(AND('WELL INPUTS'!$B$4="Wet",'WELL INPUTS'!$B$5&gt;0),IF(I13="Yes","CATALOG SOUR","NOT LISTED"),"N/A")</x:f>
        <x:v>N/A</x:v>
      </x:c>
      <x:c r="N13" t="str">
        <x:f>IF(AND('WELL INPUTS'!$B$4="Wet",'WELL INPUTS'!$B$6&gt;0),IF(J13="Yes","ALLOY FAMILY","CORROSION CONTROL"),"N/A")</x:f>
        <x:v>CORROSION CONTROL</x:v>
      </x:c>
      <x:c r="O13" t="str">
        <x:f>IF('WELL INPUTS'!$B$12="Yes",IF(G13="Yes","CLAIMED","NOT LISTED"),"N/A")</x:f>
        <x:v>N/A</x:v>
      </x:c>
      <x:c r="P13" t="str">
        <x:f>IF(OR('WELL INPUTS'!$B$13="Unrestricted",CODE(H13)&lt;=CODE('WELL INPUTS'!$B$13)),"WITHIN TIER","OVER CAP")</x:f>
        <x:v>WITHIN TIER</x:v>
      </x:c>
      <x:c r="Q13" t="n">
        <x:f>MAX(0,MIN(100,43+IF(L13="OK",14,-20)+IF(M13="CATALOG SOUR",24,IF(M13="NOT LISTED",-18,0))+IF(N13="ALLOY FAMILY",14,IF(N13="CORROSION CONTROL",-13,0))+IF(O13="CLAIMED",17,IF(O13="NOT LISTED",-14,0))+IF(K13="Yes",-15,0)+IF('WELL INPUTS'!$B$10="Yes",-17,0)))</x:f>
        <x:v>29</x:v>
      </x:c>
      <x:c r="R13" s="83" t="str">
        <x:f>IF(L13="BELOW","EXCLUDE — STRENGTH",IF(P13="OVER CAP","EXCLUDE — COST",IF(K13="Yes",IF('WELL INPUTS'!$B$14="No","EXCLUDE — REFERENCE","REFERENCE ONLY"),IF(OR(L13="UNKNOWN",M13="NOT LISTED",N13="CORROSION CONTROL",O13="NOT LISTED",'WELL INPUTS'!$B$10="Yes",'WELL INPUTS'!$B$4="Unknown"),"REVIEW","CANDIDATE — VERIFY"))))</x:f>
        <x:v>EXCLUDE — REFERENCE</x:v>
      </x:c>
      <x:c r="S13" t="str">
        <x:f>IF(L13="BELOW","Increase minimum grade strength",IF(P13="OVER CAP","Relax cost tier or exclude",IF(K13="Yes","Identify qualified manufacturer grade",IF(M13="NOT LISTED","Confirm sour-service claim and ISO 15156",IF(O13="NOT LISTED","Obtain manufacturer collapse curve",IF(N13="CORROSION CONTROL","Model CO2 corrosion; review inhibition","Confirm corrosion, cracking, loads and connection"))))))</x:f>
        <x:v>Identify qualified manufacturer grade</x:v>
      </x:c>
      <x:c r="T13" t="str">
        <x:v>https://www.api.org/products-and-services/standards/important-standards-announcements/spec5ct-tradepress</x:v>
      </x:c>
    </x:row>
    <x:row r="14" ht="23" customHeight="1">
      <x:c r="A14" t="str">
        <x:v>OCTG-0013</x:v>
      </x:c>
      <x:c r="B14" t="str">
        <x:v>API reference</x:v>
      </x:c>
      <x:c r="C14" t="str">
        <x:v>22-5-3 / S31803 / 110</x:v>
      </x:c>
      <x:c r="D14" t="str">
        <x:v>Duplex 22Cr</x:v>
      </x:c>
      <x:c r="E14" t="str">
        <x:v>CO2 / chloride, project-qualified sour</x:v>
      </x:c>
      <x:c r="F14" s="82" t="n">
        <x:v>110</x:v>
      </x:c>
      <x:c r="G14" t="str">
        <x:v>No</x:v>
      </x:c>
      <x:c r="H14" t="str">
        <x:v>F</x:v>
      </x:c>
      <x:c r="I14" t="str">
        <x:v>Yes</x:v>
      </x:c>
      <x:c r="J14" t="str">
        <x:v>Yes</x:v>
      </x:c>
      <x:c r="K14" t="str">
        <x:v>Yes</x:v>
      </x:c>
      <x:c r="L14" t="str">
        <x:f>IF(F14="","UNKNOWN",IF(F14&lt;'WELL INPUTS'!$B$11,"BELOW","OK"))</x:f>
        <x:v>OK</x:v>
      </x:c>
      <x:c r="M14" t="str">
        <x:f>IF(AND('WELL INPUTS'!$B$4="Wet",'WELL INPUTS'!$B$5&gt;0),IF(I14="Yes","CATALOG SOUR","NOT LISTED"),"N/A")</x:f>
        <x:v>N/A</x:v>
      </x:c>
      <x:c r="N14" t="str">
        <x:f>IF(AND('WELL INPUTS'!$B$4="Wet",'WELL INPUTS'!$B$6&gt;0),IF(J14="Yes","ALLOY FAMILY","CORROSION CONTROL"),"N/A")</x:f>
        <x:v>ALLOY FAMILY</x:v>
      </x:c>
      <x:c r="O14" t="str">
        <x:f>IF('WELL INPUTS'!$B$12="Yes",IF(G14="Yes","CLAIMED","NOT LISTED"),"N/A")</x:f>
        <x:v>N/A</x:v>
      </x:c>
      <x:c r="P14" t="str">
        <x:f>IF(OR('WELL INPUTS'!$B$13="Unrestricted",CODE(H14)&lt;=CODE('WELL INPUTS'!$B$13)),"WITHIN TIER","OVER CAP")</x:f>
        <x:v>WITHIN TIER</x:v>
      </x:c>
      <x:c r="Q14" t="n">
        <x:f>MAX(0,MIN(100,43+IF(L14="OK",14,-20)+IF(M14="CATALOG SOUR",24,IF(M14="NOT LISTED",-18,0))+IF(N14="ALLOY FAMILY",14,IF(N14="CORROSION CONTROL",-13,0))+IF(O14="CLAIMED",17,IF(O14="NOT LISTED",-14,0))+IF(K14="Yes",-15,0)+IF('WELL INPUTS'!$B$10="Yes",-17,0)))</x:f>
        <x:v>56</x:v>
      </x:c>
      <x:c r="R14" s="83" t="str">
        <x:f>IF(L14="BELOW","EXCLUDE — STRENGTH",IF(P14="OVER CAP","EXCLUDE — COST",IF(K14="Yes",IF('WELL INPUTS'!$B$14="No","EXCLUDE — REFERENCE","REFERENCE ONLY"),IF(OR(L14="UNKNOWN",M14="NOT LISTED",N14="CORROSION CONTROL",O14="NOT LISTED",'WELL INPUTS'!$B$10="Yes",'WELL INPUTS'!$B$4="Unknown"),"REVIEW","CANDIDATE — VERIFY"))))</x:f>
        <x:v>EXCLUDE — REFERENCE</x:v>
      </x:c>
      <x:c r="S14" t="str">
        <x:f>IF(L14="BELOW","Increase minimum grade strength",IF(P14="OVER CAP","Relax cost tier or exclude",IF(K14="Yes","Identify qualified manufacturer grade",IF(M14="NOT LISTED","Confirm sour-service claim and ISO 15156",IF(O14="NOT LISTED","Obtain manufacturer collapse curve",IF(N14="CORROSION CONTROL","Model CO2 corrosion; review inhibition","Confirm corrosion, cracking, loads and connection"))))))</x:f>
        <x:v>Identify qualified manufacturer grade</x:v>
      </x:c>
      <x:c r="T14" t="str">
        <x:v>https://www.api.org/-/media/Files/Certification/Monogram-APIQR/0_API-Monogram-APIQR/LIFs/API_5CRA_Licensing_Information_Form_20230821.pdf</x:v>
      </x:c>
    </x:row>
    <x:row r="15" ht="23" customHeight="1">
      <x:c r="A15" t="str">
        <x:v>OCTG-0014</x:v>
      </x:c>
      <x:c r="B15" t="str">
        <x:v>API reference</x:v>
      </x:c>
      <x:c r="C15" t="str">
        <x:v>22-5-3 / S31803 / 125</x:v>
      </x:c>
      <x:c r="D15" t="str">
        <x:v>Duplex 22Cr</x:v>
      </x:c>
      <x:c r="E15" t="str">
        <x:v>CO2 / chloride, project-qualified sour</x:v>
      </x:c>
      <x:c r="F15" s="82" t="n">
        <x:v>125</x:v>
      </x:c>
      <x:c r="G15" t="str">
        <x:v>No</x:v>
      </x:c>
      <x:c r="H15" t="str">
        <x:v>F</x:v>
      </x:c>
      <x:c r="I15" t="str">
        <x:v>Yes</x:v>
      </x:c>
      <x:c r="J15" t="str">
        <x:v>Yes</x:v>
      </x:c>
      <x:c r="K15" t="str">
        <x:v>Yes</x:v>
      </x:c>
      <x:c r="L15" t="str">
        <x:f>IF(F15="","UNKNOWN",IF(F15&lt;'WELL INPUTS'!$B$11,"BELOW","OK"))</x:f>
        <x:v>OK</x:v>
      </x:c>
      <x:c r="M15" t="str">
        <x:f>IF(AND('WELL INPUTS'!$B$4="Wet",'WELL INPUTS'!$B$5&gt;0),IF(I15="Yes","CATALOG SOUR","NOT LISTED"),"N/A")</x:f>
        <x:v>N/A</x:v>
      </x:c>
      <x:c r="N15" t="str">
        <x:f>IF(AND('WELL INPUTS'!$B$4="Wet",'WELL INPUTS'!$B$6&gt;0),IF(J15="Yes","ALLOY FAMILY","CORROSION CONTROL"),"N/A")</x:f>
        <x:v>ALLOY FAMILY</x:v>
      </x:c>
      <x:c r="O15" t="str">
        <x:f>IF('WELL INPUTS'!$B$12="Yes",IF(G15="Yes","CLAIMED","NOT LISTED"),"N/A")</x:f>
        <x:v>N/A</x:v>
      </x:c>
      <x:c r="P15" t="str">
        <x:f>IF(OR('WELL INPUTS'!$B$13="Unrestricted",CODE(H15)&lt;=CODE('WELL INPUTS'!$B$13)),"WITHIN TIER","OVER CAP")</x:f>
        <x:v>WITHIN TIER</x:v>
      </x:c>
      <x:c r="Q15" t="n">
        <x:f>MAX(0,MIN(100,43+IF(L15="OK",14,-20)+IF(M15="CATALOG SOUR",24,IF(M15="NOT LISTED",-18,0))+IF(N15="ALLOY FAMILY",14,IF(N15="CORROSION CONTROL",-13,0))+IF(O15="CLAIMED",17,IF(O15="NOT LISTED",-14,0))+IF(K15="Yes",-15,0)+IF('WELL INPUTS'!$B$10="Yes",-17,0)))</x:f>
        <x:v>56</x:v>
      </x:c>
      <x:c r="R15" s="83" t="str">
        <x:f>IF(L15="BELOW","EXCLUDE — STRENGTH",IF(P15="OVER CAP","EXCLUDE — COST",IF(K15="Yes",IF('WELL INPUTS'!$B$14="No","EXCLUDE — REFERENCE","REFERENCE ONLY"),IF(OR(L15="UNKNOWN",M15="NOT LISTED",N15="CORROSION CONTROL",O15="NOT LISTED",'WELL INPUTS'!$B$10="Yes",'WELL INPUTS'!$B$4="Unknown"),"REVIEW","CANDIDATE — VERIFY"))))</x:f>
        <x:v>EXCLUDE — REFERENCE</x:v>
      </x:c>
      <x:c r="S15" t="str">
        <x:f>IF(L15="BELOW","Increase minimum grade strength",IF(P15="OVER CAP","Relax cost tier or exclude",IF(K15="Yes","Identify qualified manufacturer grade",IF(M15="NOT LISTED","Confirm sour-service claim and ISO 15156",IF(O15="NOT LISTED","Obtain manufacturer collapse curve",IF(N15="CORROSION CONTROL","Model CO2 corrosion; review inhibition","Confirm corrosion, cracking, loads and connection"))))))</x:f>
        <x:v>Identify qualified manufacturer grade</x:v>
      </x:c>
      <x:c r="T15" t="str">
        <x:v>https://www.api.org/-/media/Files/Certification/Monogram-APIQR/0_API-Monogram-APIQR/LIFs/API_5CRA_Licensing_Information_Form_20230821.pdf</x:v>
      </x:c>
    </x:row>
    <x:row r="16" ht="23" customHeight="1">
      <x:c r="A16" t="str">
        <x:v>OCTG-0015</x:v>
      </x:c>
      <x:c r="B16" t="str">
        <x:v>API reference</x:v>
      </x:c>
      <x:c r="C16" t="str">
        <x:v>22-5-3 / S31803 / 65</x:v>
      </x:c>
      <x:c r="D16" t="str">
        <x:v>Duplex 22Cr</x:v>
      </x:c>
      <x:c r="E16" t="str">
        <x:v>CO2 / chloride, project-qualified sour</x:v>
      </x:c>
      <x:c r="F16" s="82" t="n">
        <x:v>65</x:v>
      </x:c>
      <x:c r="G16" t="str">
        <x:v>No</x:v>
      </x:c>
      <x:c r="H16" t="str">
        <x:v>F</x:v>
      </x:c>
      <x:c r="I16" t="str">
        <x:v>Yes</x:v>
      </x:c>
      <x:c r="J16" t="str">
        <x:v>Yes</x:v>
      </x:c>
      <x:c r="K16" t="str">
        <x:v>Yes</x:v>
      </x:c>
      <x:c r="L16" t="str">
        <x:f>IF(F16="","UNKNOWN",IF(F16&lt;'WELL INPUTS'!$B$11,"BELOW","OK"))</x:f>
        <x:v>BELOW</x:v>
      </x:c>
      <x:c r="M16" t="str">
        <x:f>IF(AND('WELL INPUTS'!$B$4="Wet",'WELL INPUTS'!$B$5&gt;0),IF(I16="Yes","CATALOG SOUR","NOT LISTED"),"N/A")</x:f>
        <x:v>N/A</x:v>
      </x:c>
      <x:c r="N16" t="str">
        <x:f>IF(AND('WELL INPUTS'!$B$4="Wet",'WELL INPUTS'!$B$6&gt;0),IF(J16="Yes","ALLOY FAMILY","CORROSION CONTROL"),"N/A")</x:f>
        <x:v>ALLOY FAMILY</x:v>
      </x:c>
      <x:c r="O16" t="str">
        <x:f>IF('WELL INPUTS'!$B$12="Yes",IF(G16="Yes","CLAIMED","NOT LISTED"),"N/A")</x:f>
        <x:v>N/A</x:v>
      </x:c>
      <x:c r="P16" t="str">
        <x:f>IF(OR('WELL INPUTS'!$B$13="Unrestricted",CODE(H16)&lt;=CODE('WELL INPUTS'!$B$13)),"WITHIN TIER","OVER CAP")</x:f>
        <x:v>WITHIN TIER</x:v>
      </x:c>
      <x:c r="Q16" t="n">
        <x:f>MAX(0,MIN(100,43+IF(L16="OK",14,-20)+IF(M16="CATALOG SOUR",24,IF(M16="NOT LISTED",-18,0))+IF(N16="ALLOY FAMILY",14,IF(N16="CORROSION CONTROL",-13,0))+IF(O16="CLAIMED",17,IF(O16="NOT LISTED",-14,0))+IF(K16="Yes",-15,0)+IF('WELL INPUTS'!$B$10="Yes",-17,0)))</x:f>
        <x:v>22</x:v>
      </x:c>
      <x:c r="R16" s="83" t="str">
        <x:f>IF(L16="BELOW","EXCLUDE — STRENGTH",IF(P16="OVER CAP","EXCLUDE — COST",IF(K16="Yes",IF('WELL INPUTS'!$B$14="No","EXCLUDE — REFERENCE","REFERENCE ONLY"),IF(OR(L16="UNKNOWN",M16="NOT LISTED",N16="CORROSION CONTROL",O16="NOT LISTED",'WELL INPUTS'!$B$10="Yes",'WELL INPUTS'!$B$4="Unknown"),"REVIEW","CANDIDATE — VERIFY"))))</x:f>
        <x:v>EXCLUDE — STRENGTH</x:v>
      </x:c>
      <x:c r="S16" t="str">
        <x:f>IF(L16="BELOW","Increase minimum grade strength",IF(P16="OVER CAP","Relax cost tier or exclude",IF(K16="Yes","Identify qualified manufacturer grade",IF(M16="NOT LISTED","Confirm sour-service claim and ISO 15156",IF(O16="NOT LISTED","Obtain manufacturer collapse curve",IF(N16="CORROSION CONTROL","Model CO2 corrosion; review inhibition","Confirm corrosion, cracking, loads and connection"))))))</x:f>
        <x:v>Increase minimum grade strength</x:v>
      </x:c>
      <x:c r="T16" t="str">
        <x:v>https://www.api.org/-/media/Files/Certification/Monogram-APIQR/0_API-Monogram-APIQR/LIFs/API_5CRA_Licensing_Information_Form_20230821.pdf</x:v>
      </x:c>
    </x:row>
    <x:row r="17" ht="23" customHeight="1">
      <x:c r="A17" t="str">
        <x:v>OCTG-0016</x:v>
      </x:c>
      <x:c r="B17" t="str">
        <x:v>API reference</x:v>
      </x:c>
      <x:c r="C17" t="str">
        <x:v>22-35-4 / N08135 / 110</x:v>
      </x:c>
      <x:c r="D17" t="str">
        <x:v>Fe-base austenitic CRA</x:v>
      </x:c>
      <x:c r="E17" t="str">
        <x:v>Critical CO2 / H2S / chloride (qualify)</x:v>
      </x:c>
      <x:c r="F17" s="82" t="n">
        <x:v>110</x:v>
      </x:c>
      <x:c r="G17" t="str">
        <x:v>No</x:v>
      </x:c>
      <x:c r="H17" t="str">
        <x:v>H</x:v>
      </x:c>
      <x:c r="I17" t="str">
        <x:v>Yes</x:v>
      </x:c>
      <x:c r="J17" t="str">
        <x:v>Yes</x:v>
      </x:c>
      <x:c r="K17" t="str">
        <x:v>Yes</x:v>
      </x:c>
      <x:c r="L17" t="str">
        <x:f>IF(F17="","UNKNOWN",IF(F17&lt;'WELL INPUTS'!$B$11,"BELOW","OK"))</x:f>
        <x:v>OK</x:v>
      </x:c>
      <x:c r="M17" t="str">
        <x:f>IF(AND('WELL INPUTS'!$B$4="Wet",'WELL INPUTS'!$B$5&gt;0),IF(I17="Yes","CATALOG SOUR","NOT LISTED"),"N/A")</x:f>
        <x:v>N/A</x:v>
      </x:c>
      <x:c r="N17" t="str">
        <x:f>IF(AND('WELL INPUTS'!$B$4="Wet",'WELL INPUTS'!$B$6&gt;0),IF(J17="Yes","ALLOY FAMILY","CORROSION CONTROL"),"N/A")</x:f>
        <x:v>ALLOY FAMILY</x:v>
      </x:c>
      <x:c r="O17" t="str">
        <x:f>IF('WELL INPUTS'!$B$12="Yes",IF(G17="Yes","CLAIMED","NOT LISTED"),"N/A")</x:f>
        <x:v>N/A</x:v>
      </x:c>
      <x:c r="P17" t="str">
        <x:f>IF(OR('WELL INPUTS'!$B$13="Unrestricted",CODE(H17)&lt;=CODE('WELL INPUTS'!$B$13)),"WITHIN TIER","OVER CAP")</x:f>
        <x:v>WITHIN TIER</x:v>
      </x:c>
      <x:c r="Q17" t="n">
        <x:f>MAX(0,MIN(100,43+IF(L17="OK",14,-20)+IF(M17="CATALOG SOUR",24,IF(M17="NOT LISTED",-18,0))+IF(N17="ALLOY FAMILY",14,IF(N17="CORROSION CONTROL",-13,0))+IF(O17="CLAIMED",17,IF(O17="NOT LISTED",-14,0))+IF(K17="Yes",-15,0)+IF('WELL INPUTS'!$B$10="Yes",-17,0)))</x:f>
        <x:v>56</x:v>
      </x:c>
      <x:c r="R17" s="83" t="str">
        <x:f>IF(L17="BELOW","EXCLUDE — STRENGTH",IF(P17="OVER CAP","EXCLUDE — COST",IF(K17="Yes",IF('WELL INPUTS'!$B$14="No","EXCLUDE — REFERENCE","REFERENCE ONLY"),IF(OR(L17="UNKNOWN",M17="NOT LISTED",N17="CORROSION CONTROL",O17="NOT LISTED",'WELL INPUTS'!$B$10="Yes",'WELL INPUTS'!$B$4="Unknown"),"REVIEW","CANDIDATE — VERIFY"))))</x:f>
        <x:v>EXCLUDE — REFERENCE</x:v>
      </x:c>
      <x:c r="S17" t="str">
        <x:f>IF(L17="BELOW","Increase minimum grade strength",IF(P17="OVER CAP","Relax cost tier or exclude",IF(K17="Yes","Identify qualified manufacturer grade",IF(M17="NOT LISTED","Confirm sour-service claim and ISO 15156",IF(O17="NOT LISTED","Obtain manufacturer collapse curve",IF(N17="CORROSION CONTROL","Model CO2 corrosion; review inhibition","Confirm corrosion, cracking, loads and connection"))))))</x:f>
        <x:v>Identify qualified manufacturer grade</x:v>
      </x:c>
      <x:c r="T17" t="str">
        <x:v>https://www.api.org/-/media/Files/Certification/Monogram-APIQR/0_API-Monogram-APIQR/LIFs/API_5CRA_Licensing_Information_Form_20230821.pdf</x:v>
      </x:c>
    </x:row>
    <x:row r="18" ht="23" customHeight="1">
      <x:c r="A18" t="str">
        <x:v>OCTG-0017</x:v>
      </x:c>
      <x:c r="B18" t="str">
        <x:v>API reference</x:v>
      </x:c>
      <x:c r="C18" t="str">
        <x:v>25-32-3 / N08535 / 110</x:v>
      </x:c>
      <x:c r="D18" t="str">
        <x:v>Fe-base austenitic CRA</x:v>
      </x:c>
      <x:c r="E18" t="str">
        <x:v>Critical CO2 / H2S / chloride (qualify)</x:v>
      </x:c>
      <x:c r="F18" s="82" t="n">
        <x:v>110</x:v>
      </x:c>
      <x:c r="G18" t="str">
        <x:v>No</x:v>
      </x:c>
      <x:c r="H18" t="str">
        <x:v>H</x:v>
      </x:c>
      <x:c r="I18" t="str">
        <x:v>Yes</x:v>
      </x:c>
      <x:c r="J18" t="str">
        <x:v>Yes</x:v>
      </x:c>
      <x:c r="K18" t="str">
        <x:v>Yes</x:v>
      </x:c>
      <x:c r="L18" t="str">
        <x:f>IF(F18="","UNKNOWN",IF(F18&lt;'WELL INPUTS'!$B$11,"BELOW","OK"))</x:f>
        <x:v>OK</x:v>
      </x:c>
      <x:c r="M18" t="str">
        <x:f>IF(AND('WELL INPUTS'!$B$4="Wet",'WELL INPUTS'!$B$5&gt;0),IF(I18="Yes","CATALOG SOUR","NOT LISTED"),"N/A")</x:f>
        <x:v>N/A</x:v>
      </x:c>
      <x:c r="N18" t="str">
        <x:f>IF(AND('WELL INPUTS'!$B$4="Wet",'WELL INPUTS'!$B$6&gt;0),IF(J18="Yes","ALLOY FAMILY","CORROSION CONTROL"),"N/A")</x:f>
        <x:v>ALLOY FAMILY</x:v>
      </x:c>
      <x:c r="O18" t="str">
        <x:f>IF('WELL INPUTS'!$B$12="Yes",IF(G18="Yes","CLAIMED","NOT LISTED"),"N/A")</x:f>
        <x:v>N/A</x:v>
      </x:c>
      <x:c r="P18" t="str">
        <x:f>IF(OR('WELL INPUTS'!$B$13="Unrestricted",CODE(H18)&lt;=CODE('WELL INPUTS'!$B$13)),"WITHIN TIER","OVER CAP")</x:f>
        <x:v>WITHIN TIER</x:v>
      </x:c>
      <x:c r="Q18" t="n">
        <x:f>MAX(0,MIN(100,43+IF(L18="OK",14,-20)+IF(M18="CATALOG SOUR",24,IF(M18="NOT LISTED",-18,0))+IF(N18="ALLOY FAMILY",14,IF(N18="CORROSION CONTROL",-13,0))+IF(O18="CLAIMED",17,IF(O18="NOT LISTED",-14,0))+IF(K18="Yes",-15,0)+IF('WELL INPUTS'!$B$10="Yes",-17,0)))</x:f>
        <x:v>56</x:v>
      </x:c>
      <x:c r="R18" s="83" t="str">
        <x:f>IF(L18="BELOW","EXCLUDE — STRENGTH",IF(P18="OVER CAP","EXCLUDE — COST",IF(K18="Yes",IF('WELL INPUTS'!$B$14="No","EXCLUDE — REFERENCE","REFERENCE ONLY"),IF(OR(L18="UNKNOWN",M18="NOT LISTED",N18="CORROSION CONTROL",O18="NOT LISTED",'WELL INPUTS'!$B$10="Yes",'WELL INPUTS'!$B$4="Unknown"),"REVIEW","CANDIDATE — VERIFY"))))</x:f>
        <x:v>EXCLUDE — REFERENCE</x:v>
      </x:c>
      <x:c r="S18" t="str">
        <x:f>IF(L18="BELOW","Increase minimum grade strength",IF(P18="OVER CAP","Relax cost tier or exclude",IF(K18="Yes","Identify qualified manufacturer grade",IF(M18="NOT LISTED","Confirm sour-service claim and ISO 15156",IF(O18="NOT LISTED","Obtain manufacturer collapse curve",IF(N18="CORROSION CONTROL","Model CO2 corrosion; review inhibition","Confirm corrosion, cracking, loads and connection"))))))</x:f>
        <x:v>Identify qualified manufacturer grade</x:v>
      </x:c>
      <x:c r="T18" t="str">
        <x:v>https://www.api.org/-/media/Files/Certification/Monogram-APIQR/0_API-Monogram-APIQR/LIFs/API_5CRA_Licensing_Information_Form_20230821.pdf</x:v>
      </x:c>
    </x:row>
    <x:row r="19" ht="23" customHeight="1">
      <x:c r="A19" t="str">
        <x:v>OCTG-0018</x:v>
      </x:c>
      <x:c r="B19" t="str">
        <x:v>API reference</x:v>
      </x:c>
      <x:c r="C19" t="str">
        <x:v>25-32-3 / N08535 / 125</x:v>
      </x:c>
      <x:c r="D19" t="str">
        <x:v>Fe-base austenitic CRA</x:v>
      </x:c>
      <x:c r="E19" t="str">
        <x:v>Critical CO2 / H2S / chloride (qualify)</x:v>
      </x:c>
      <x:c r="F19" s="82" t="n">
        <x:v>125</x:v>
      </x:c>
      <x:c r="G19" t="str">
        <x:v>No</x:v>
      </x:c>
      <x:c r="H19" t="str">
        <x:v>H</x:v>
      </x:c>
      <x:c r="I19" t="str">
        <x:v>Yes</x:v>
      </x:c>
      <x:c r="J19" t="str">
        <x:v>Yes</x:v>
      </x:c>
      <x:c r="K19" t="str">
        <x:v>Yes</x:v>
      </x:c>
      <x:c r="L19" t="str">
        <x:f>IF(F19="","UNKNOWN",IF(F19&lt;'WELL INPUTS'!$B$11,"BELOW","OK"))</x:f>
        <x:v>OK</x:v>
      </x:c>
      <x:c r="M19" t="str">
        <x:f>IF(AND('WELL INPUTS'!$B$4="Wet",'WELL INPUTS'!$B$5&gt;0),IF(I19="Yes","CATALOG SOUR","NOT LISTED"),"N/A")</x:f>
        <x:v>N/A</x:v>
      </x:c>
      <x:c r="N19" t="str">
        <x:f>IF(AND('WELL INPUTS'!$B$4="Wet",'WELL INPUTS'!$B$6&gt;0),IF(J19="Yes","ALLOY FAMILY","CORROSION CONTROL"),"N/A")</x:f>
        <x:v>ALLOY FAMILY</x:v>
      </x:c>
      <x:c r="O19" t="str">
        <x:f>IF('WELL INPUTS'!$B$12="Yes",IF(G19="Yes","CLAIMED","NOT LISTED"),"N/A")</x:f>
        <x:v>N/A</x:v>
      </x:c>
      <x:c r="P19" t="str">
        <x:f>IF(OR('WELL INPUTS'!$B$13="Unrestricted",CODE(H19)&lt;=CODE('WELL INPUTS'!$B$13)),"WITHIN TIER","OVER CAP")</x:f>
        <x:v>WITHIN TIER</x:v>
      </x:c>
      <x:c r="Q19" t="n">
        <x:f>MAX(0,MIN(100,43+IF(L19="OK",14,-20)+IF(M19="CATALOG SOUR",24,IF(M19="NOT LISTED",-18,0))+IF(N19="ALLOY FAMILY",14,IF(N19="CORROSION CONTROL",-13,0))+IF(O19="CLAIMED",17,IF(O19="NOT LISTED",-14,0))+IF(K19="Yes",-15,0)+IF('WELL INPUTS'!$B$10="Yes",-17,0)))</x:f>
        <x:v>56</x:v>
      </x:c>
      <x:c r="R19" s="83" t="str">
        <x:f>IF(L19="BELOW","EXCLUDE — STRENGTH",IF(P19="OVER CAP","EXCLUDE — COST",IF(K19="Yes",IF('WELL INPUTS'!$B$14="No","EXCLUDE — REFERENCE","REFERENCE ONLY"),IF(OR(L19="UNKNOWN",M19="NOT LISTED",N19="CORROSION CONTROL",O19="NOT LISTED",'WELL INPUTS'!$B$10="Yes",'WELL INPUTS'!$B$4="Unknown"),"REVIEW","CANDIDATE — VERIFY"))))</x:f>
        <x:v>EXCLUDE — REFERENCE</x:v>
      </x:c>
      <x:c r="S19" t="str">
        <x:f>IF(L19="BELOW","Increase minimum grade strength",IF(P19="OVER CAP","Relax cost tier or exclude",IF(K19="Yes","Identify qualified manufacturer grade",IF(M19="NOT LISTED","Confirm sour-service claim and ISO 15156",IF(O19="NOT LISTED","Obtain manufacturer collapse curve",IF(N19="CORROSION CONTROL","Model CO2 corrosion; review inhibition","Confirm corrosion, cracking, loads and connection"))))))</x:f>
        <x:v>Identify qualified manufacturer grade</x:v>
      </x:c>
      <x:c r="T19" t="str">
        <x:v>https://www.api.org/-/media/Files/Certification/Monogram-APIQR/0_API-Monogram-APIQR/LIFs/API_5CRA_Licensing_Information_Form_20230821.pdf</x:v>
      </x:c>
    </x:row>
    <x:row r="20" ht="23" customHeight="1">
      <x:c r="A20" t="str">
        <x:v>OCTG-0019</x:v>
      </x:c>
      <x:c r="B20" t="str">
        <x:v>API reference</x:v>
      </x:c>
      <x:c r="C20" t="str">
        <x:v>27-31-4 / N08028 / 110</x:v>
      </x:c>
      <x:c r="D20" t="str">
        <x:v>Fe-base austenitic CRA</x:v>
      </x:c>
      <x:c r="E20" t="str">
        <x:v>Critical CO2 / H2S / chloride (qualify)</x:v>
      </x:c>
      <x:c r="F20" s="82" t="n">
        <x:v>110</x:v>
      </x:c>
      <x:c r="G20" t="str">
        <x:v>No</x:v>
      </x:c>
      <x:c r="H20" t="str">
        <x:v>H</x:v>
      </x:c>
      <x:c r="I20" t="str">
        <x:v>Yes</x:v>
      </x:c>
      <x:c r="J20" t="str">
        <x:v>Yes</x:v>
      </x:c>
      <x:c r="K20" t="str">
        <x:v>Yes</x:v>
      </x:c>
      <x:c r="L20" t="str">
        <x:f>IF(F20="","UNKNOWN",IF(F20&lt;'WELL INPUTS'!$B$11,"BELOW","OK"))</x:f>
        <x:v>OK</x:v>
      </x:c>
      <x:c r="M20" t="str">
        <x:f>IF(AND('WELL INPUTS'!$B$4="Wet",'WELL INPUTS'!$B$5&gt;0),IF(I20="Yes","CATALOG SOUR","NOT LISTED"),"N/A")</x:f>
        <x:v>N/A</x:v>
      </x:c>
      <x:c r="N20" t="str">
        <x:f>IF(AND('WELL INPUTS'!$B$4="Wet",'WELL INPUTS'!$B$6&gt;0),IF(J20="Yes","ALLOY FAMILY","CORROSION CONTROL"),"N/A")</x:f>
        <x:v>ALLOY FAMILY</x:v>
      </x:c>
      <x:c r="O20" t="str">
        <x:f>IF('WELL INPUTS'!$B$12="Yes",IF(G20="Yes","CLAIMED","NOT LISTED"),"N/A")</x:f>
        <x:v>N/A</x:v>
      </x:c>
      <x:c r="P20" t="str">
        <x:f>IF(OR('WELL INPUTS'!$B$13="Unrestricted",CODE(H20)&lt;=CODE('WELL INPUTS'!$B$13)),"WITHIN TIER","OVER CAP")</x:f>
        <x:v>WITHIN TIER</x:v>
      </x:c>
      <x:c r="Q20" t="n">
        <x:f>MAX(0,MIN(100,43+IF(L20="OK",14,-20)+IF(M20="CATALOG SOUR",24,IF(M20="NOT LISTED",-18,0))+IF(N20="ALLOY FAMILY",14,IF(N20="CORROSION CONTROL",-13,0))+IF(O20="CLAIMED",17,IF(O20="NOT LISTED",-14,0))+IF(K20="Yes",-15,0)+IF('WELL INPUTS'!$B$10="Yes",-17,0)))</x:f>
        <x:v>56</x:v>
      </x:c>
      <x:c r="R20" s="83" t="str">
        <x:f>IF(L20="BELOW","EXCLUDE — STRENGTH",IF(P20="OVER CAP","EXCLUDE — COST",IF(K20="Yes",IF('WELL INPUTS'!$B$14="No","EXCLUDE — REFERENCE","REFERENCE ONLY"),IF(OR(L20="UNKNOWN",M20="NOT LISTED",N20="CORROSION CONTROL",O20="NOT LISTED",'WELL INPUTS'!$B$10="Yes",'WELL INPUTS'!$B$4="Unknown"),"REVIEW","CANDIDATE — VERIFY"))))</x:f>
        <x:v>EXCLUDE — REFERENCE</x:v>
      </x:c>
      <x:c r="S20" t="str">
        <x:f>IF(L20="BELOW","Increase minimum grade strength",IF(P20="OVER CAP","Relax cost tier or exclude",IF(K20="Yes","Identify qualified manufacturer grade",IF(M20="NOT LISTED","Confirm sour-service claim and ISO 15156",IF(O20="NOT LISTED","Obtain manufacturer collapse curve",IF(N20="CORROSION CONTROL","Model CO2 corrosion; review inhibition","Confirm corrosion, cracking, loads and connection"))))))</x:f>
        <x:v>Identify qualified manufacturer grade</x:v>
      </x:c>
      <x:c r="T20" t="str">
        <x:v>https://www.api.org/-/media/Files/Certification/Monogram-APIQR/0_API-Monogram-APIQR/LIFs/API_5CRA_Licensing_Information_Form_20230821.pdf</x:v>
      </x:c>
    </x:row>
    <x:row r="21" ht="23" customHeight="1">
      <x:c r="A21" t="str">
        <x:v>OCTG-0020</x:v>
      </x:c>
      <x:c r="B21" t="str">
        <x:v>API reference</x:v>
      </x:c>
      <x:c r="C21" t="str">
        <x:v>27-31-4 / N08028 / 125</x:v>
      </x:c>
      <x:c r="D21" t="str">
        <x:v>Fe-base austenitic CRA</x:v>
      </x:c>
      <x:c r="E21" t="str">
        <x:v>Critical CO2 / H2S / chloride (qualify)</x:v>
      </x:c>
      <x:c r="F21" s="82" t="n">
        <x:v>125</x:v>
      </x:c>
      <x:c r="G21" t="str">
        <x:v>No</x:v>
      </x:c>
      <x:c r="H21" t="str">
        <x:v>H</x:v>
      </x:c>
      <x:c r="I21" t="str">
        <x:v>Yes</x:v>
      </x:c>
      <x:c r="J21" t="str">
        <x:v>Yes</x:v>
      </x:c>
      <x:c r="K21" t="str">
        <x:v>Yes</x:v>
      </x:c>
      <x:c r="L21" t="str">
        <x:f>IF(F21="","UNKNOWN",IF(F21&lt;'WELL INPUTS'!$B$11,"BELOW","OK"))</x:f>
        <x:v>OK</x:v>
      </x:c>
      <x:c r="M21" t="str">
        <x:f>IF(AND('WELL INPUTS'!$B$4="Wet",'WELL INPUTS'!$B$5&gt;0),IF(I21="Yes","CATALOG SOUR","NOT LISTED"),"N/A")</x:f>
        <x:v>N/A</x:v>
      </x:c>
      <x:c r="N21" t="str">
        <x:f>IF(AND('WELL INPUTS'!$B$4="Wet",'WELL INPUTS'!$B$6&gt;0),IF(J21="Yes","ALLOY FAMILY","CORROSION CONTROL"),"N/A")</x:f>
        <x:v>ALLOY FAMILY</x:v>
      </x:c>
      <x:c r="O21" t="str">
        <x:f>IF('WELL INPUTS'!$B$12="Yes",IF(G21="Yes","CLAIMED","NOT LISTED"),"N/A")</x:f>
        <x:v>N/A</x:v>
      </x:c>
      <x:c r="P21" t="str">
        <x:f>IF(OR('WELL INPUTS'!$B$13="Unrestricted",CODE(H21)&lt;=CODE('WELL INPUTS'!$B$13)),"WITHIN TIER","OVER CAP")</x:f>
        <x:v>WITHIN TIER</x:v>
      </x:c>
      <x:c r="Q21" t="n">
        <x:f>MAX(0,MIN(100,43+IF(L21="OK",14,-20)+IF(M21="CATALOG SOUR",24,IF(M21="NOT LISTED",-18,0))+IF(N21="ALLOY FAMILY",14,IF(N21="CORROSION CONTROL",-13,0))+IF(O21="CLAIMED",17,IF(O21="NOT LISTED",-14,0))+IF(K21="Yes",-15,0)+IF('WELL INPUTS'!$B$10="Yes",-17,0)))</x:f>
        <x:v>56</x:v>
      </x:c>
      <x:c r="R21" s="83" t="str">
        <x:f>IF(L21="BELOW","EXCLUDE — STRENGTH",IF(P21="OVER CAP","EXCLUDE — COST",IF(K21="Yes",IF('WELL INPUTS'!$B$14="No","EXCLUDE — REFERENCE","REFERENCE ONLY"),IF(OR(L21="UNKNOWN",M21="NOT LISTED",N21="CORROSION CONTROL",O21="NOT LISTED",'WELL INPUTS'!$B$10="Yes",'WELL INPUTS'!$B$4="Unknown"),"REVIEW","CANDIDATE — VERIFY"))))</x:f>
        <x:v>EXCLUDE — REFERENCE</x:v>
      </x:c>
      <x:c r="S21" t="str">
        <x:f>IF(L21="BELOW","Increase minimum grade strength",IF(P21="OVER CAP","Relax cost tier or exclude",IF(K21="Yes","Identify qualified manufacturer grade",IF(M21="NOT LISTED","Confirm sour-service claim and ISO 15156",IF(O21="NOT LISTED","Obtain manufacturer collapse curve",IF(N21="CORROSION CONTROL","Model CO2 corrosion; review inhibition","Confirm corrosion, cracking, loads and connection"))))))</x:f>
        <x:v>Identify qualified manufacturer grade</x:v>
      </x:c>
      <x:c r="T21" t="str">
        <x:v>https://www.api.org/-/media/Files/Certification/Monogram-APIQR/0_API-Monogram-APIQR/LIFs/API_5CRA_Licensing_Information_Form_20230821.pdf</x:v>
      </x:c>
    </x:row>
    <x:row r="22" ht="23" customHeight="1">
      <x:c r="A22" t="str">
        <x:v>OCTG-0021</x:v>
      </x:c>
      <x:c r="B22" t="str">
        <x:v>API reference</x:v>
      </x:c>
      <x:c r="C22" t="str">
        <x:v>L80 3Cr</x:v>
      </x:c>
      <x:c r="D22" t="str">
        <x:v>Low-Cr alloy steel</x:v>
      </x:c>
      <x:c r="E22" t="str">
        <x:v>Mild wet CO2 sweet service</x:v>
      </x:c>
      <x:c r="F22" s="82" t="n">
        <x:v>80</x:v>
      </x:c>
      <x:c r="G22" t="str">
        <x:v>No</x:v>
      </x:c>
      <x:c r="H22" t="str">
        <x:v>B</x:v>
      </x:c>
      <x:c r="I22" t="str">
        <x:v>No</x:v>
      </x:c>
      <x:c r="J22" t="str">
        <x:v>Yes</x:v>
      </x:c>
      <x:c r="K22" t="str">
        <x:v>Yes</x:v>
      </x:c>
      <x:c r="L22" t="str">
        <x:f>IF(F22="","UNKNOWN",IF(F22&lt;'WELL INPUTS'!$B$11,"BELOW","OK"))</x:f>
        <x:v>OK</x:v>
      </x:c>
      <x:c r="M22" t="str">
        <x:f>IF(AND('WELL INPUTS'!$B$4="Wet",'WELL INPUTS'!$B$5&gt;0),IF(I22="Yes","CATALOG SOUR","NOT LISTED"),"N/A")</x:f>
        <x:v>N/A</x:v>
      </x:c>
      <x:c r="N22" t="str">
        <x:f>IF(AND('WELL INPUTS'!$B$4="Wet",'WELL INPUTS'!$B$6&gt;0),IF(J22="Yes","ALLOY FAMILY","CORROSION CONTROL"),"N/A")</x:f>
        <x:v>ALLOY FAMILY</x:v>
      </x:c>
      <x:c r="O22" t="str">
        <x:f>IF('WELL INPUTS'!$B$12="Yes",IF(G22="Yes","CLAIMED","NOT LISTED"),"N/A")</x:f>
        <x:v>N/A</x:v>
      </x:c>
      <x:c r="P22" t="str">
        <x:f>IF(OR('WELL INPUTS'!$B$13="Unrestricted",CODE(H22)&lt;=CODE('WELL INPUTS'!$B$13)),"WITHIN TIER","OVER CAP")</x:f>
        <x:v>WITHIN TIER</x:v>
      </x:c>
      <x:c r="Q22" t="n">
        <x:f>MAX(0,MIN(100,43+IF(L22="OK",14,-20)+IF(M22="CATALOG SOUR",24,IF(M22="NOT LISTED",-18,0))+IF(N22="ALLOY FAMILY",14,IF(N22="CORROSION CONTROL",-13,0))+IF(O22="CLAIMED",17,IF(O22="NOT LISTED",-14,0))+IF(K22="Yes",-15,0)+IF('WELL INPUTS'!$B$10="Yes",-17,0)))</x:f>
        <x:v>56</x:v>
      </x:c>
      <x:c r="R22" s="83" t="str">
        <x:f>IF(L22="BELOW","EXCLUDE — STRENGTH",IF(P22="OVER CAP","EXCLUDE — COST",IF(K22="Yes",IF('WELL INPUTS'!$B$14="No","EXCLUDE — REFERENCE","REFERENCE ONLY"),IF(OR(L22="UNKNOWN",M22="NOT LISTED",N22="CORROSION CONTROL",O22="NOT LISTED",'WELL INPUTS'!$B$10="Yes",'WELL INPUTS'!$B$4="Unknown"),"REVIEW","CANDIDATE — VERIFY"))))</x:f>
        <x:v>EXCLUDE — REFERENCE</x:v>
      </x:c>
      <x:c r="S22" t="str">
        <x:f>IF(L22="BELOW","Increase minimum grade strength",IF(P22="OVER CAP","Relax cost tier or exclude",IF(K22="Yes","Identify qualified manufacturer grade",IF(M22="NOT LISTED","Confirm sour-service claim and ISO 15156",IF(O22="NOT LISTED","Obtain manufacturer collapse curve",IF(N22="CORROSION CONTROL","Model CO2 corrosion; review inhibition","Confirm corrosion, cracking, loads and connection"))))))</x:f>
        <x:v>Identify qualified manufacturer grade</x:v>
      </x:c>
      <x:c r="T22" t="str">
        <x:v>https://www.api.org/products-and-services/standards/important-standards-announcements/spec5ct-tradepress</x:v>
      </x:c>
    </x:row>
    <x:row r="23" ht="23" customHeight="1">
      <x:c r="A23" t="str">
        <x:v>OCTG-0022</x:v>
      </x:c>
      <x:c r="B23" t="str">
        <x:v>API reference</x:v>
      </x:c>
      <x:c r="C23" t="str">
        <x:v>13-1-0 / 110 (PSL1)</x:v>
      </x:c>
      <x:c r="D23" t="str">
        <x:v>Martensitic 13Cr</x:v>
      </x:c>
      <x:c r="E23" t="str">
        <x:v>Sweet wet CO2</x:v>
      </x:c>
      <x:c r="F23" s="82" t="n">
        <x:v>110</x:v>
      </x:c>
      <x:c r="G23" t="str">
        <x:v>No</x:v>
      </x:c>
      <x:c r="H23" t="str">
        <x:v>D</x:v>
      </x:c>
      <x:c r="I23" t="str">
        <x:v>No</x:v>
      </x:c>
      <x:c r="J23" t="str">
        <x:v>Yes</x:v>
      </x:c>
      <x:c r="K23" t="str">
        <x:v>Yes</x:v>
      </x:c>
      <x:c r="L23" t="str">
        <x:f>IF(F23="","UNKNOWN",IF(F23&lt;'WELL INPUTS'!$B$11,"BELOW","OK"))</x:f>
        <x:v>OK</x:v>
      </x:c>
      <x:c r="M23" t="str">
        <x:f>IF(AND('WELL INPUTS'!$B$4="Wet",'WELL INPUTS'!$B$5&gt;0),IF(I23="Yes","CATALOG SOUR","NOT LISTED"),"N/A")</x:f>
        <x:v>N/A</x:v>
      </x:c>
      <x:c r="N23" t="str">
        <x:f>IF(AND('WELL INPUTS'!$B$4="Wet",'WELL INPUTS'!$B$6&gt;0),IF(J23="Yes","ALLOY FAMILY","CORROSION CONTROL"),"N/A")</x:f>
        <x:v>ALLOY FAMILY</x:v>
      </x:c>
      <x:c r="O23" t="str">
        <x:f>IF('WELL INPUTS'!$B$12="Yes",IF(G23="Yes","CLAIMED","NOT LISTED"),"N/A")</x:f>
        <x:v>N/A</x:v>
      </x:c>
      <x:c r="P23" t="str">
        <x:f>IF(OR('WELL INPUTS'!$B$13="Unrestricted",CODE(H23)&lt;=CODE('WELL INPUTS'!$B$13)),"WITHIN TIER","OVER CAP")</x:f>
        <x:v>WITHIN TIER</x:v>
      </x:c>
      <x:c r="Q23" t="n">
        <x:f>MAX(0,MIN(100,43+IF(L23="OK",14,-20)+IF(M23="CATALOG SOUR",24,IF(M23="NOT LISTED",-18,0))+IF(N23="ALLOY FAMILY",14,IF(N23="CORROSION CONTROL",-13,0))+IF(O23="CLAIMED",17,IF(O23="NOT LISTED",-14,0))+IF(K23="Yes",-15,0)+IF('WELL INPUTS'!$B$10="Yes",-17,0)))</x:f>
        <x:v>56</x:v>
      </x:c>
      <x:c r="R23" s="83" t="str">
        <x:f>IF(L23="BELOW","EXCLUDE — STRENGTH",IF(P23="OVER CAP","EXCLUDE — COST",IF(K23="Yes",IF('WELL INPUTS'!$B$14="No","EXCLUDE — REFERENCE","REFERENCE ONLY"),IF(OR(L23="UNKNOWN",M23="NOT LISTED",N23="CORROSION CONTROL",O23="NOT LISTED",'WELL INPUTS'!$B$10="Yes",'WELL INPUTS'!$B$4="Unknown"),"REVIEW","CANDIDATE — VERIFY"))))</x:f>
        <x:v>EXCLUDE — REFERENCE</x:v>
      </x:c>
      <x:c r="S23" t="str">
        <x:f>IF(L23="BELOW","Increase minimum grade strength",IF(P23="OVER CAP","Relax cost tier or exclude",IF(K23="Yes","Identify qualified manufacturer grade",IF(M23="NOT LISTED","Confirm sour-service claim and ISO 15156",IF(O23="NOT LISTED","Obtain manufacturer collapse curve",IF(N23="CORROSION CONTROL","Model CO2 corrosion; review inhibition","Confirm corrosion, cracking, loads and connection"))))))</x:f>
        <x:v>Identify qualified manufacturer grade</x:v>
      </x:c>
      <x:c r="T23" t="str">
        <x:v>https://www.api.org/-/media/Files/Certification/Monogram-APIQR/0_API-Monogram-APIQR/LIFs/API_5CRA_Licensing_Information_Form_20230821.pdf</x:v>
      </x:c>
    </x:row>
    <x:row r="24" ht="23" customHeight="1">
      <x:c r="A24" t="str">
        <x:v>OCTG-0023</x:v>
      </x:c>
      <x:c r="B24" t="str">
        <x:v>API reference</x:v>
      </x:c>
      <x:c r="C24" t="str">
        <x:v>13-1-0 / 80 (PSL1)</x:v>
      </x:c>
      <x:c r="D24" t="str">
        <x:v>Martensitic 13Cr</x:v>
      </x:c>
      <x:c r="E24" t="str">
        <x:v>Sweet wet CO2</x:v>
      </x:c>
      <x:c r="F24" s="82" t="n">
        <x:v>80</x:v>
      </x:c>
      <x:c r="G24" t="str">
        <x:v>No</x:v>
      </x:c>
      <x:c r="H24" t="str">
        <x:v>D</x:v>
      </x:c>
      <x:c r="I24" t="str">
        <x:v>No</x:v>
      </x:c>
      <x:c r="J24" t="str">
        <x:v>Yes</x:v>
      </x:c>
      <x:c r="K24" t="str">
        <x:v>Yes</x:v>
      </x:c>
      <x:c r="L24" t="str">
        <x:f>IF(F24="","UNKNOWN",IF(F24&lt;'WELL INPUTS'!$B$11,"BELOW","OK"))</x:f>
        <x:v>OK</x:v>
      </x:c>
      <x:c r="M24" t="str">
        <x:f>IF(AND('WELL INPUTS'!$B$4="Wet",'WELL INPUTS'!$B$5&gt;0),IF(I24="Yes","CATALOG SOUR","NOT LISTED"),"N/A")</x:f>
        <x:v>N/A</x:v>
      </x:c>
      <x:c r="N24" t="str">
        <x:f>IF(AND('WELL INPUTS'!$B$4="Wet",'WELL INPUTS'!$B$6&gt;0),IF(J24="Yes","ALLOY FAMILY","CORROSION CONTROL"),"N/A")</x:f>
        <x:v>ALLOY FAMILY</x:v>
      </x:c>
      <x:c r="O24" t="str">
        <x:f>IF('WELL INPUTS'!$B$12="Yes",IF(G24="Yes","CLAIMED","NOT LISTED"),"N/A")</x:f>
        <x:v>N/A</x:v>
      </x:c>
      <x:c r="P24" t="str">
        <x:f>IF(OR('WELL INPUTS'!$B$13="Unrestricted",CODE(H24)&lt;=CODE('WELL INPUTS'!$B$13)),"WITHIN TIER","OVER CAP")</x:f>
        <x:v>WITHIN TIER</x:v>
      </x:c>
      <x:c r="Q24" t="n">
        <x:f>MAX(0,MIN(100,43+IF(L24="OK",14,-20)+IF(M24="CATALOG SOUR",24,IF(M24="NOT LISTED",-18,0))+IF(N24="ALLOY FAMILY",14,IF(N24="CORROSION CONTROL",-13,0))+IF(O24="CLAIMED",17,IF(O24="NOT LISTED",-14,0))+IF(K24="Yes",-15,0)+IF('WELL INPUTS'!$B$10="Yes",-17,0)))</x:f>
        <x:v>56</x:v>
      </x:c>
      <x:c r="R24" s="83" t="str">
        <x:f>IF(L24="BELOW","EXCLUDE — STRENGTH",IF(P24="OVER CAP","EXCLUDE — COST",IF(K24="Yes",IF('WELL INPUTS'!$B$14="No","EXCLUDE — REFERENCE","REFERENCE ONLY"),IF(OR(L24="UNKNOWN",M24="NOT LISTED",N24="CORROSION CONTROL",O24="NOT LISTED",'WELL INPUTS'!$B$10="Yes",'WELL INPUTS'!$B$4="Unknown"),"REVIEW","CANDIDATE — VERIFY"))))</x:f>
        <x:v>EXCLUDE — REFERENCE</x:v>
      </x:c>
      <x:c r="S24" t="str">
        <x:f>IF(L24="BELOW","Increase minimum grade strength",IF(P24="OVER CAP","Relax cost tier or exclude",IF(K24="Yes","Identify qualified manufacturer grade",IF(M24="NOT LISTED","Confirm sour-service claim and ISO 15156",IF(O24="NOT LISTED","Obtain manufacturer collapse curve",IF(N24="CORROSION CONTROL","Model CO2 corrosion; review inhibition","Confirm corrosion, cracking, loads and connection"))))))</x:f>
        <x:v>Identify qualified manufacturer grade</x:v>
      </x:c>
      <x:c r="T24" t="str">
        <x:v>https://www.api.org/-/media/Files/Certification/Monogram-APIQR/0_API-Monogram-APIQR/LIFs/API_5CRA_Licensing_Information_Form_20230821.pdf</x:v>
      </x:c>
    </x:row>
    <x:row r="25" ht="23" customHeight="1">
      <x:c r="A25" t="str">
        <x:v>OCTG-0024</x:v>
      </x:c>
      <x:c r="B25" t="str">
        <x:v>API reference</x:v>
      </x:c>
      <x:c r="C25" t="str">
        <x:v>13-1-0 / 95 (PSL1)</x:v>
      </x:c>
      <x:c r="D25" t="str">
        <x:v>Martensitic 13Cr</x:v>
      </x:c>
      <x:c r="E25" t="str">
        <x:v>Sweet wet CO2</x:v>
      </x:c>
      <x:c r="F25" s="82" t="n">
        <x:v>95</x:v>
      </x:c>
      <x:c r="G25" t="str">
        <x:v>No</x:v>
      </x:c>
      <x:c r="H25" t="str">
        <x:v>D</x:v>
      </x:c>
      <x:c r="I25" t="str">
        <x:v>No</x:v>
      </x:c>
      <x:c r="J25" t="str">
        <x:v>Yes</x:v>
      </x:c>
      <x:c r="K25" t="str">
        <x:v>Yes</x:v>
      </x:c>
      <x:c r="L25" t="str">
        <x:f>IF(F25="","UNKNOWN",IF(F25&lt;'WELL INPUTS'!$B$11,"BELOW","OK"))</x:f>
        <x:v>OK</x:v>
      </x:c>
      <x:c r="M25" t="str">
        <x:f>IF(AND('WELL INPUTS'!$B$4="Wet",'WELL INPUTS'!$B$5&gt;0),IF(I25="Yes","CATALOG SOUR","NOT LISTED"),"N/A")</x:f>
        <x:v>N/A</x:v>
      </x:c>
      <x:c r="N25" t="str">
        <x:f>IF(AND('WELL INPUTS'!$B$4="Wet",'WELL INPUTS'!$B$6&gt;0),IF(J25="Yes","ALLOY FAMILY","CORROSION CONTROL"),"N/A")</x:f>
        <x:v>ALLOY FAMILY</x:v>
      </x:c>
      <x:c r="O25" t="str">
        <x:f>IF('WELL INPUTS'!$B$12="Yes",IF(G25="Yes","CLAIMED","NOT LISTED"),"N/A")</x:f>
        <x:v>N/A</x:v>
      </x:c>
      <x:c r="P25" t="str">
        <x:f>IF(OR('WELL INPUTS'!$B$13="Unrestricted",CODE(H25)&lt;=CODE('WELL INPUTS'!$B$13)),"WITHIN TIER","OVER CAP")</x:f>
        <x:v>WITHIN TIER</x:v>
      </x:c>
      <x:c r="Q25" t="n">
        <x:f>MAX(0,MIN(100,43+IF(L25="OK",14,-20)+IF(M25="CATALOG SOUR",24,IF(M25="NOT LISTED",-18,0))+IF(N25="ALLOY FAMILY",14,IF(N25="CORROSION CONTROL",-13,0))+IF(O25="CLAIMED",17,IF(O25="NOT LISTED",-14,0))+IF(K25="Yes",-15,0)+IF('WELL INPUTS'!$B$10="Yes",-17,0)))</x:f>
        <x:v>56</x:v>
      </x:c>
      <x:c r="R25" s="83" t="str">
        <x:f>IF(L25="BELOW","EXCLUDE — STRENGTH",IF(P25="OVER CAP","EXCLUDE — COST",IF(K25="Yes",IF('WELL INPUTS'!$B$14="No","EXCLUDE — REFERENCE","REFERENCE ONLY"),IF(OR(L25="UNKNOWN",M25="NOT LISTED",N25="CORROSION CONTROL",O25="NOT LISTED",'WELL INPUTS'!$B$10="Yes",'WELL INPUTS'!$B$4="Unknown"),"REVIEW","CANDIDATE — VERIFY"))))</x:f>
        <x:v>EXCLUDE — REFERENCE</x:v>
      </x:c>
      <x:c r="S25" t="str">
        <x:f>IF(L25="BELOW","Increase minimum grade strength",IF(P25="OVER CAP","Relax cost tier or exclude",IF(K25="Yes","Identify qualified manufacturer grade",IF(M25="NOT LISTED","Confirm sour-service claim and ISO 15156",IF(O25="NOT LISTED","Obtain manufacturer collapse curve",IF(N25="CORROSION CONTROL","Model CO2 corrosion; review inhibition","Confirm corrosion, cracking, loads and connection"))))))</x:f>
        <x:v>Identify qualified manufacturer grade</x:v>
      </x:c>
      <x:c r="T25" t="str">
        <x:v>https://www.api.org/-/media/Files/Certification/Monogram-APIQR/0_API-Monogram-APIQR/LIFs/API_5CRA_Licensing_Information_Form_20230821.pdf</x:v>
      </x:c>
    </x:row>
    <x:row r="26" ht="23" customHeight="1">
      <x:c r="A26" t="str">
        <x:v>OCTG-0025</x:v>
      </x:c>
      <x:c r="B26" t="str">
        <x:v>API reference</x:v>
      </x:c>
      <x:c r="C26" t="str">
        <x:v>L80 13Cr</x:v>
      </x:c>
      <x:c r="D26" t="str">
        <x:v>Martensitic 13Cr</x:v>
      </x:c>
      <x:c r="E26" t="str">
        <x:v>Sweet wet CO2 service; chloride/H2S restrictions</x:v>
      </x:c>
      <x:c r="F26" s="82" t="n">
        <x:v>80</x:v>
      </x:c>
      <x:c r="G26" t="str">
        <x:v>No</x:v>
      </x:c>
      <x:c r="H26" t="str">
        <x:v>D</x:v>
      </x:c>
      <x:c r="I26" t="str">
        <x:v>Yes</x:v>
      </x:c>
      <x:c r="J26" t="str">
        <x:v>Yes</x:v>
      </x:c>
      <x:c r="K26" t="str">
        <x:v>Yes</x:v>
      </x:c>
      <x:c r="L26" t="str">
        <x:f>IF(F26="","UNKNOWN",IF(F26&lt;'WELL INPUTS'!$B$11,"BELOW","OK"))</x:f>
        <x:v>OK</x:v>
      </x:c>
      <x:c r="M26" t="str">
        <x:f>IF(AND('WELL INPUTS'!$B$4="Wet",'WELL INPUTS'!$B$5&gt;0),IF(I26="Yes","CATALOG SOUR","NOT LISTED"),"N/A")</x:f>
        <x:v>N/A</x:v>
      </x:c>
      <x:c r="N26" t="str">
        <x:f>IF(AND('WELL INPUTS'!$B$4="Wet",'WELL INPUTS'!$B$6&gt;0),IF(J26="Yes","ALLOY FAMILY","CORROSION CONTROL"),"N/A")</x:f>
        <x:v>ALLOY FAMILY</x:v>
      </x:c>
      <x:c r="O26" t="str">
        <x:f>IF('WELL INPUTS'!$B$12="Yes",IF(G26="Yes","CLAIMED","NOT LISTED"),"N/A")</x:f>
        <x:v>N/A</x:v>
      </x:c>
      <x:c r="P26" t="str">
        <x:f>IF(OR('WELL INPUTS'!$B$13="Unrestricted",CODE(H26)&lt;=CODE('WELL INPUTS'!$B$13)),"WITHIN TIER","OVER CAP")</x:f>
        <x:v>WITHIN TIER</x:v>
      </x:c>
      <x:c r="Q26" t="n">
        <x:f>MAX(0,MIN(100,43+IF(L26="OK",14,-20)+IF(M26="CATALOG SOUR",24,IF(M26="NOT LISTED",-18,0))+IF(N26="ALLOY FAMILY",14,IF(N26="CORROSION CONTROL",-13,0))+IF(O26="CLAIMED",17,IF(O26="NOT LISTED",-14,0))+IF(K26="Yes",-15,0)+IF('WELL INPUTS'!$B$10="Yes",-17,0)))</x:f>
        <x:v>56</x:v>
      </x:c>
      <x:c r="R26" s="83" t="str">
        <x:f>IF(L26="BELOW","EXCLUDE — STRENGTH",IF(P26="OVER CAP","EXCLUDE — COST",IF(K26="Yes",IF('WELL INPUTS'!$B$14="No","EXCLUDE — REFERENCE","REFERENCE ONLY"),IF(OR(L26="UNKNOWN",M26="NOT LISTED",N26="CORROSION CONTROL",O26="NOT LISTED",'WELL INPUTS'!$B$10="Yes",'WELL INPUTS'!$B$4="Unknown"),"REVIEW","CANDIDATE — VERIFY"))))</x:f>
        <x:v>EXCLUDE — REFERENCE</x:v>
      </x:c>
      <x:c r="S26" t="str">
        <x:f>IF(L26="BELOW","Increase minimum grade strength",IF(P26="OVER CAP","Relax cost tier or exclude",IF(K26="Yes","Identify qualified manufacturer grade",IF(M26="NOT LISTED","Confirm sour-service claim and ISO 15156",IF(O26="NOT LISTED","Obtain manufacturer collapse curve",IF(N26="CORROSION CONTROL","Model CO2 corrosion; review inhibition","Confirm corrosion, cracking, loads and connection"))))))</x:f>
        <x:v>Identify qualified manufacturer grade</x:v>
      </x:c>
      <x:c r="T26" t="str">
        <x:v>https://www.api.org/products-and-services/standards/important-standards-announcements/spec5ct-tradepress</x:v>
      </x:c>
    </x:row>
    <x:row r="27" ht="23" customHeight="1">
      <x:c r="A27" t="str">
        <x:v>OCTG-0026</x:v>
      </x:c>
      <x:c r="B27" t="str">
        <x:v>API reference</x:v>
      </x:c>
      <x:c r="C27" t="str">
        <x:v>L80 9Cr</x:v>
      </x:c>
      <x:c r="D27" t="str">
        <x:v>Martensitic 9Cr</x:v>
      </x:c>
      <x:c r="E27" t="str">
        <x:v>Wet CO2 service; H2S limits must be checked</x:v>
      </x:c>
      <x:c r="F27" s="82" t="n">
        <x:v>80</x:v>
      </x:c>
      <x:c r="G27" t="str">
        <x:v>No</x:v>
      </x:c>
      <x:c r="H27" t="str">
        <x:v>C</x:v>
      </x:c>
      <x:c r="I27" t="str">
        <x:v>Yes</x:v>
      </x:c>
      <x:c r="J27" t="str">
        <x:v>Yes</x:v>
      </x:c>
      <x:c r="K27" t="str">
        <x:v>Yes</x:v>
      </x:c>
      <x:c r="L27" t="str">
        <x:f>IF(F27="","UNKNOWN",IF(F27&lt;'WELL INPUTS'!$B$11,"BELOW","OK"))</x:f>
        <x:v>OK</x:v>
      </x:c>
      <x:c r="M27" t="str">
        <x:f>IF(AND('WELL INPUTS'!$B$4="Wet",'WELL INPUTS'!$B$5&gt;0),IF(I27="Yes","CATALOG SOUR","NOT LISTED"),"N/A")</x:f>
        <x:v>N/A</x:v>
      </x:c>
      <x:c r="N27" t="str">
        <x:f>IF(AND('WELL INPUTS'!$B$4="Wet",'WELL INPUTS'!$B$6&gt;0),IF(J27="Yes","ALLOY FAMILY","CORROSION CONTROL"),"N/A")</x:f>
        <x:v>ALLOY FAMILY</x:v>
      </x:c>
      <x:c r="O27" t="str">
        <x:f>IF('WELL INPUTS'!$B$12="Yes",IF(G27="Yes","CLAIMED","NOT LISTED"),"N/A")</x:f>
        <x:v>N/A</x:v>
      </x:c>
      <x:c r="P27" t="str">
        <x:f>IF(OR('WELL INPUTS'!$B$13="Unrestricted",CODE(H27)&lt;=CODE('WELL INPUTS'!$B$13)),"WITHIN TIER","OVER CAP")</x:f>
        <x:v>WITHIN TIER</x:v>
      </x:c>
      <x:c r="Q27" t="n">
        <x:f>MAX(0,MIN(100,43+IF(L27="OK",14,-20)+IF(M27="CATALOG SOUR",24,IF(M27="NOT LISTED",-18,0))+IF(N27="ALLOY FAMILY",14,IF(N27="CORROSION CONTROL",-13,0))+IF(O27="CLAIMED",17,IF(O27="NOT LISTED",-14,0))+IF(K27="Yes",-15,0)+IF('WELL INPUTS'!$B$10="Yes",-17,0)))</x:f>
        <x:v>56</x:v>
      </x:c>
      <x:c r="R27" s="83" t="str">
        <x:f>IF(L27="BELOW","EXCLUDE — STRENGTH",IF(P27="OVER CAP","EXCLUDE — COST",IF(K27="Yes",IF('WELL INPUTS'!$B$14="No","EXCLUDE — REFERENCE","REFERENCE ONLY"),IF(OR(L27="UNKNOWN",M27="NOT LISTED",N27="CORROSION CONTROL",O27="NOT LISTED",'WELL INPUTS'!$B$10="Yes",'WELL INPUTS'!$B$4="Unknown"),"REVIEW","CANDIDATE — VERIFY"))))</x:f>
        <x:v>EXCLUDE — REFERENCE</x:v>
      </x:c>
      <x:c r="S27" t="str">
        <x:f>IF(L27="BELOW","Increase minimum grade strength",IF(P27="OVER CAP","Relax cost tier or exclude",IF(K27="Yes","Identify qualified manufacturer grade",IF(M27="NOT LISTED","Confirm sour-service claim and ISO 15156",IF(O27="NOT LISTED","Obtain manufacturer collapse curve",IF(N27="CORROSION CONTROL","Model CO2 corrosion; review inhibition","Confirm corrosion, cracking, loads and connection"))))))</x:f>
        <x:v>Identify qualified manufacturer grade</x:v>
      </x:c>
      <x:c r="T27" t="str">
        <x:v>https://www.api.org/products-and-services/standards/important-standards-announcements/spec5ct-tradepress</x:v>
      </x:c>
    </x:row>
    <x:row r="28" ht="23" customHeight="1">
      <x:c r="A28" t="str">
        <x:v>OCTG-0027</x:v>
      </x:c>
      <x:c r="B28" t="str">
        <x:v>API reference</x:v>
      </x:c>
      <x:c r="C28" t="str">
        <x:v>13-5-2 / S41426 / 80</x:v>
      </x:c>
      <x:c r="D28" t="str">
        <x:v>Modified / super 13Cr</x:v>
      </x:c>
      <x:c r="E28" t="str">
        <x:v>Limited-H2S CO2 service</x:v>
      </x:c>
      <x:c r="F28" s="82" t="n">
        <x:v>80</x:v>
      </x:c>
      <x:c r="G28" t="str">
        <x:v>No</x:v>
      </x:c>
      <x:c r="H28" t="str">
        <x:v>E</x:v>
      </x:c>
      <x:c r="I28" t="str">
        <x:v>Yes</x:v>
      </x:c>
      <x:c r="J28" t="str">
        <x:v>Yes</x:v>
      </x:c>
      <x:c r="K28" t="str">
        <x:v>Yes</x:v>
      </x:c>
      <x:c r="L28" t="str">
        <x:f>IF(F28="","UNKNOWN",IF(F28&lt;'WELL INPUTS'!$B$11,"BELOW","OK"))</x:f>
        <x:v>OK</x:v>
      </x:c>
      <x:c r="M28" t="str">
        <x:f>IF(AND('WELL INPUTS'!$B$4="Wet",'WELL INPUTS'!$B$5&gt;0),IF(I28="Yes","CATALOG SOUR","NOT LISTED"),"N/A")</x:f>
        <x:v>N/A</x:v>
      </x:c>
      <x:c r="N28" t="str">
        <x:f>IF(AND('WELL INPUTS'!$B$4="Wet",'WELL INPUTS'!$B$6&gt;0),IF(J28="Yes","ALLOY FAMILY","CORROSION CONTROL"),"N/A")</x:f>
        <x:v>ALLOY FAMILY</x:v>
      </x:c>
      <x:c r="O28" t="str">
        <x:f>IF('WELL INPUTS'!$B$12="Yes",IF(G28="Yes","CLAIMED","NOT LISTED"),"N/A")</x:f>
        <x:v>N/A</x:v>
      </x:c>
      <x:c r="P28" t="str">
        <x:f>IF(OR('WELL INPUTS'!$B$13="Unrestricted",CODE(H28)&lt;=CODE('WELL INPUTS'!$B$13)),"WITHIN TIER","OVER CAP")</x:f>
        <x:v>WITHIN TIER</x:v>
      </x:c>
      <x:c r="Q28" t="n">
        <x:f>MAX(0,MIN(100,43+IF(L28="OK",14,-20)+IF(M28="CATALOG SOUR",24,IF(M28="NOT LISTED",-18,0))+IF(N28="ALLOY FAMILY",14,IF(N28="CORROSION CONTROL",-13,0))+IF(O28="CLAIMED",17,IF(O28="NOT LISTED",-14,0))+IF(K28="Yes",-15,0)+IF('WELL INPUTS'!$B$10="Yes",-17,0)))</x:f>
        <x:v>56</x:v>
      </x:c>
      <x:c r="R28" s="83" t="str">
        <x:f>IF(L28="BELOW","EXCLUDE — STRENGTH",IF(P28="OVER CAP","EXCLUDE — COST",IF(K28="Yes",IF('WELL INPUTS'!$B$14="No","EXCLUDE — REFERENCE","REFERENCE ONLY"),IF(OR(L28="UNKNOWN",M28="NOT LISTED",N28="CORROSION CONTROL",O28="NOT LISTED",'WELL INPUTS'!$B$10="Yes",'WELL INPUTS'!$B$4="Unknown"),"REVIEW","CANDIDATE — VERIFY"))))</x:f>
        <x:v>EXCLUDE — REFERENCE</x:v>
      </x:c>
      <x:c r="S28" t="str">
        <x:f>IF(L28="BELOW","Increase minimum grade strength",IF(P28="OVER CAP","Relax cost tier or exclude",IF(K28="Yes","Identify qualified manufacturer grade",IF(M28="NOT LISTED","Confirm sour-service claim and ISO 15156",IF(O28="NOT LISTED","Obtain manufacturer collapse curve",IF(N28="CORROSION CONTROL","Model CO2 corrosion; review inhibition","Confirm corrosion, cracking, loads and connection"))))))</x:f>
        <x:v>Identify qualified manufacturer grade</x:v>
      </x:c>
      <x:c r="T28" t="str">
        <x:v>https://www.api.org/-/media/Files/Certification/Monogram-APIQR/0_API-Monogram-APIQR/LIFs/API_5CRA_Licensing_Information_Form_20230821.pdf</x:v>
      </x:c>
    </x:row>
    <x:row r="29" ht="23" customHeight="1">
      <x:c r="A29" t="str">
        <x:v>OCTG-0028</x:v>
      </x:c>
      <x:c r="B29" t="str">
        <x:v>API reference</x:v>
      </x:c>
      <x:c r="C29" t="str">
        <x:v>13-5-2 / S41426 / 95</x:v>
      </x:c>
      <x:c r="D29" t="str">
        <x:v>Modified / super 13Cr</x:v>
      </x:c>
      <x:c r="E29" t="str">
        <x:v>Limited-H2S CO2 service</x:v>
      </x:c>
      <x:c r="F29" s="82" t="n">
        <x:v>95</x:v>
      </x:c>
      <x:c r="G29" t="str">
        <x:v>No</x:v>
      </x:c>
      <x:c r="H29" t="str">
        <x:v>E</x:v>
      </x:c>
      <x:c r="I29" t="str">
        <x:v>Yes</x:v>
      </x:c>
      <x:c r="J29" t="str">
        <x:v>Yes</x:v>
      </x:c>
      <x:c r="K29" t="str">
        <x:v>Yes</x:v>
      </x:c>
      <x:c r="L29" t="str">
        <x:f>IF(F29="","UNKNOWN",IF(F29&lt;'WELL INPUTS'!$B$11,"BELOW","OK"))</x:f>
        <x:v>OK</x:v>
      </x:c>
      <x:c r="M29" t="str">
        <x:f>IF(AND('WELL INPUTS'!$B$4="Wet",'WELL INPUTS'!$B$5&gt;0),IF(I29="Yes","CATALOG SOUR","NOT LISTED"),"N/A")</x:f>
        <x:v>N/A</x:v>
      </x:c>
      <x:c r="N29" t="str">
        <x:f>IF(AND('WELL INPUTS'!$B$4="Wet",'WELL INPUTS'!$B$6&gt;0),IF(J29="Yes","ALLOY FAMILY","CORROSION CONTROL"),"N/A")</x:f>
        <x:v>ALLOY FAMILY</x:v>
      </x:c>
      <x:c r="O29" t="str">
        <x:f>IF('WELL INPUTS'!$B$12="Yes",IF(G29="Yes","CLAIMED","NOT LISTED"),"N/A")</x:f>
        <x:v>N/A</x:v>
      </x:c>
      <x:c r="P29" t="str">
        <x:f>IF(OR('WELL INPUTS'!$B$13="Unrestricted",CODE(H29)&lt;=CODE('WELL INPUTS'!$B$13)),"WITHIN TIER","OVER CAP")</x:f>
        <x:v>WITHIN TIER</x:v>
      </x:c>
      <x:c r="Q29" t="n">
        <x:f>MAX(0,MIN(100,43+IF(L29="OK",14,-20)+IF(M29="CATALOG SOUR",24,IF(M29="NOT LISTED",-18,0))+IF(N29="ALLOY FAMILY",14,IF(N29="CORROSION CONTROL",-13,0))+IF(O29="CLAIMED",17,IF(O29="NOT LISTED",-14,0))+IF(K29="Yes",-15,0)+IF('WELL INPUTS'!$B$10="Yes",-17,0)))</x:f>
        <x:v>56</x:v>
      </x:c>
      <x:c r="R29" s="83" t="str">
        <x:f>IF(L29="BELOW","EXCLUDE — STRENGTH",IF(P29="OVER CAP","EXCLUDE — COST",IF(K29="Yes",IF('WELL INPUTS'!$B$14="No","EXCLUDE — REFERENCE","REFERENCE ONLY"),IF(OR(L29="UNKNOWN",M29="NOT LISTED",N29="CORROSION CONTROL",O29="NOT LISTED",'WELL INPUTS'!$B$10="Yes",'WELL INPUTS'!$B$4="Unknown"),"REVIEW","CANDIDATE — VERIFY"))))</x:f>
        <x:v>EXCLUDE — REFERENCE</x:v>
      </x:c>
      <x:c r="S29" t="str">
        <x:f>IF(L29="BELOW","Increase minimum grade strength",IF(P29="OVER CAP","Relax cost tier or exclude",IF(K29="Yes","Identify qualified manufacturer grade",IF(M29="NOT LISTED","Confirm sour-service claim and ISO 15156",IF(O29="NOT LISTED","Obtain manufacturer collapse curve",IF(N29="CORROSION CONTROL","Model CO2 corrosion; review inhibition","Confirm corrosion, cracking, loads and connection"))))))</x:f>
        <x:v>Identify qualified manufacturer grade</x:v>
      </x:c>
      <x:c r="T29" t="str">
        <x:v>https://www.api.org/-/media/Files/Certification/Monogram-APIQR/0_API-Monogram-APIQR/LIFs/API_5CRA_Licensing_Information_Form_20230821.pdf</x:v>
      </x:c>
    </x:row>
    <x:row r="30" ht="23" customHeight="1">
      <x:c r="A30" t="str">
        <x:v>OCTG-0029</x:v>
      </x:c>
      <x:c r="B30" t="str">
        <x:v>API reference</x:v>
      </x:c>
      <x:c r="C30" t="str">
        <x:v>15-60-16 / N10276 / 110</x:v>
      </x:c>
      <x:c r="D30" t="str">
        <x:v>Ni-base CRA</x:v>
      </x:c>
      <x:c r="E30" t="str">
        <x:v>Extreme corrosion / highly alloyed Ni-Cr-Mo (qualify)</x:v>
      </x:c>
      <x:c r="F30" s="82" t="n">
        <x:v>110</x:v>
      </x:c>
      <x:c r="G30" t="str">
        <x:v>No</x:v>
      </x:c>
      <x:c r="H30" t="str">
        <x:v>I</x:v>
      </x:c>
      <x:c r="I30" t="str">
        <x:v>Yes</x:v>
      </x:c>
      <x:c r="J30" t="str">
        <x:v>Yes</x:v>
      </x:c>
      <x:c r="K30" t="str">
        <x:v>Yes</x:v>
      </x:c>
      <x:c r="L30" t="str">
        <x:f>IF(F30="","UNKNOWN",IF(F30&lt;'WELL INPUTS'!$B$11,"BELOW","OK"))</x:f>
        <x:v>OK</x:v>
      </x:c>
      <x:c r="M30" t="str">
        <x:f>IF(AND('WELL INPUTS'!$B$4="Wet",'WELL INPUTS'!$B$5&gt;0),IF(I30="Yes","CATALOG SOUR","NOT LISTED"),"N/A")</x:f>
        <x:v>N/A</x:v>
      </x:c>
      <x:c r="N30" t="str">
        <x:f>IF(AND('WELL INPUTS'!$B$4="Wet",'WELL INPUTS'!$B$6&gt;0),IF(J30="Yes","ALLOY FAMILY","CORROSION CONTROL"),"N/A")</x:f>
        <x:v>ALLOY FAMILY</x:v>
      </x:c>
      <x:c r="O30" t="str">
        <x:f>IF('WELL INPUTS'!$B$12="Yes",IF(G30="Yes","CLAIMED","NOT LISTED"),"N/A")</x:f>
        <x:v>N/A</x:v>
      </x:c>
      <x:c r="P30" t="str">
        <x:f>IF(OR('WELL INPUTS'!$B$13="Unrestricted",CODE(H30)&lt;=CODE('WELL INPUTS'!$B$13)),"WITHIN TIER","OVER CAP")</x:f>
        <x:v>WITHIN TIER</x:v>
      </x:c>
      <x:c r="Q30" t="n">
        <x:f>MAX(0,MIN(100,43+IF(L30="OK",14,-20)+IF(M30="CATALOG SOUR",24,IF(M30="NOT LISTED",-18,0))+IF(N30="ALLOY FAMILY",14,IF(N30="CORROSION CONTROL",-13,0))+IF(O30="CLAIMED",17,IF(O30="NOT LISTED",-14,0))+IF(K30="Yes",-15,0)+IF('WELL INPUTS'!$B$10="Yes",-17,0)))</x:f>
        <x:v>56</x:v>
      </x:c>
      <x:c r="R30" s="83" t="str">
        <x:f>IF(L30="BELOW","EXCLUDE — STRENGTH",IF(P30="OVER CAP","EXCLUDE — COST",IF(K30="Yes",IF('WELL INPUTS'!$B$14="No","EXCLUDE — REFERENCE","REFERENCE ONLY"),IF(OR(L30="UNKNOWN",M30="NOT LISTED",N30="CORROSION CONTROL",O30="NOT LISTED",'WELL INPUTS'!$B$10="Yes",'WELL INPUTS'!$B$4="Unknown"),"REVIEW","CANDIDATE — VERIFY"))))</x:f>
        <x:v>EXCLUDE — REFERENCE</x:v>
      </x:c>
      <x:c r="S30" t="str">
        <x:f>IF(L30="BELOW","Increase minimum grade strength",IF(P30="OVER CAP","Relax cost tier or exclude",IF(K30="Yes","Identify qualified manufacturer grade",IF(M30="NOT LISTED","Confirm sour-service claim and ISO 15156",IF(O30="NOT LISTED","Obtain manufacturer collapse curve",IF(N30="CORROSION CONTROL","Model CO2 corrosion; review inhibition","Confirm corrosion, cracking, loads and connection"))))))</x:f>
        <x:v>Identify qualified manufacturer grade</x:v>
      </x:c>
      <x:c r="T30" t="str">
        <x:v>https://www.api.org/-/media/Files/Certification/Monogram-APIQR/0_API-Monogram-APIQR/LIFs/API_5CRA_Licensing_Information_Form_20230821.pdf</x:v>
      </x:c>
    </x:row>
    <x:row r="31" ht="23" customHeight="1">
      <x:c r="A31" t="str">
        <x:v>OCTG-0030</x:v>
      </x:c>
      <x:c r="B31" t="str">
        <x:v>API reference</x:v>
      </x:c>
      <x:c r="C31" t="str">
        <x:v>15-60-16 / N10276 / 125</x:v>
      </x:c>
      <x:c r="D31" t="str">
        <x:v>Ni-base CRA</x:v>
      </x:c>
      <x:c r="E31" t="str">
        <x:v>Extreme corrosion / highly alloyed Ni-Cr-Mo (qualify)</x:v>
      </x:c>
      <x:c r="F31" s="82" t="n">
        <x:v>125</x:v>
      </x:c>
      <x:c r="G31" t="str">
        <x:v>No</x:v>
      </x:c>
      <x:c r="H31" t="str">
        <x:v>I</x:v>
      </x:c>
      <x:c r="I31" t="str">
        <x:v>Yes</x:v>
      </x:c>
      <x:c r="J31" t="str">
        <x:v>Yes</x:v>
      </x:c>
      <x:c r="K31" t="str">
        <x:v>Yes</x:v>
      </x:c>
      <x:c r="L31" t="str">
        <x:f>IF(F31="","UNKNOWN",IF(F31&lt;'WELL INPUTS'!$B$11,"BELOW","OK"))</x:f>
        <x:v>OK</x:v>
      </x:c>
      <x:c r="M31" t="str">
        <x:f>IF(AND('WELL INPUTS'!$B$4="Wet",'WELL INPUTS'!$B$5&gt;0),IF(I31="Yes","CATALOG SOUR","NOT LISTED"),"N/A")</x:f>
        <x:v>N/A</x:v>
      </x:c>
      <x:c r="N31" t="str">
        <x:f>IF(AND('WELL INPUTS'!$B$4="Wet",'WELL INPUTS'!$B$6&gt;0),IF(J31="Yes","ALLOY FAMILY","CORROSION CONTROL"),"N/A")</x:f>
        <x:v>ALLOY FAMILY</x:v>
      </x:c>
      <x:c r="O31" t="str">
        <x:f>IF('WELL INPUTS'!$B$12="Yes",IF(G31="Yes","CLAIMED","NOT LISTED"),"N/A")</x:f>
        <x:v>N/A</x:v>
      </x:c>
      <x:c r="P31" t="str">
        <x:f>IF(OR('WELL INPUTS'!$B$13="Unrestricted",CODE(H31)&lt;=CODE('WELL INPUTS'!$B$13)),"WITHIN TIER","OVER CAP")</x:f>
        <x:v>WITHIN TIER</x:v>
      </x:c>
      <x:c r="Q31" t="n">
        <x:f>MAX(0,MIN(100,43+IF(L31="OK",14,-20)+IF(M31="CATALOG SOUR",24,IF(M31="NOT LISTED",-18,0))+IF(N31="ALLOY FAMILY",14,IF(N31="CORROSION CONTROL",-13,0))+IF(O31="CLAIMED",17,IF(O31="NOT LISTED",-14,0))+IF(K31="Yes",-15,0)+IF('WELL INPUTS'!$B$10="Yes",-17,0)))</x:f>
        <x:v>56</x:v>
      </x:c>
      <x:c r="R31" s="83" t="str">
        <x:f>IF(L31="BELOW","EXCLUDE — STRENGTH",IF(P31="OVER CAP","EXCLUDE — COST",IF(K31="Yes",IF('WELL INPUTS'!$B$14="No","EXCLUDE — REFERENCE","REFERENCE ONLY"),IF(OR(L31="UNKNOWN",M31="NOT LISTED",N31="CORROSION CONTROL",O31="NOT LISTED",'WELL INPUTS'!$B$10="Yes",'WELL INPUTS'!$B$4="Unknown"),"REVIEW","CANDIDATE — VERIFY"))))</x:f>
        <x:v>EXCLUDE — REFERENCE</x:v>
      </x:c>
      <x:c r="S31" t="str">
        <x:f>IF(L31="BELOW","Increase minimum grade strength",IF(P31="OVER CAP","Relax cost tier or exclude",IF(K31="Yes","Identify qualified manufacturer grade",IF(M31="NOT LISTED","Confirm sour-service claim and ISO 15156",IF(O31="NOT LISTED","Obtain manufacturer collapse curve",IF(N31="CORROSION CONTROL","Model CO2 corrosion; review inhibition","Confirm corrosion, cracking, loads and connection"))))))</x:f>
        <x:v>Identify qualified manufacturer grade</x:v>
      </x:c>
      <x:c r="T31" t="str">
        <x:v>https://www.api.org/-/media/Files/Certification/Monogram-APIQR/0_API-Monogram-APIQR/LIFs/API_5CRA_Licensing_Information_Form_20230821.pdf</x:v>
      </x:c>
    </x:row>
    <x:row r="32" ht="23" customHeight="1">
      <x:c r="A32" t="str">
        <x:v>OCTG-0031</x:v>
      </x:c>
      <x:c r="B32" t="str">
        <x:v>API reference</x:v>
      </x:c>
      <x:c r="C32" t="str">
        <x:v>15-60-16 / N10276 / 140</x:v>
      </x:c>
      <x:c r="D32" t="str">
        <x:v>Ni-base CRA</x:v>
      </x:c>
      <x:c r="E32" t="str">
        <x:v>Extreme corrosion / highly alloyed Ni-Cr-Mo (qualify)</x:v>
      </x:c>
      <x:c r="F32" s="82" t="n">
        <x:v>140</x:v>
      </x:c>
      <x:c r="G32" t="str">
        <x:v>No</x:v>
      </x:c>
      <x:c r="H32" t="str">
        <x:v>I</x:v>
      </x:c>
      <x:c r="I32" t="str">
        <x:v>Yes</x:v>
      </x:c>
      <x:c r="J32" t="str">
        <x:v>Yes</x:v>
      </x:c>
      <x:c r="K32" t="str">
        <x:v>Yes</x:v>
      </x:c>
      <x:c r="L32" t="str">
        <x:f>IF(F32="","UNKNOWN",IF(F32&lt;'WELL INPUTS'!$B$11,"BELOW","OK"))</x:f>
        <x:v>OK</x:v>
      </x:c>
      <x:c r="M32" t="str">
        <x:f>IF(AND('WELL INPUTS'!$B$4="Wet",'WELL INPUTS'!$B$5&gt;0),IF(I32="Yes","CATALOG SOUR","NOT LISTED"),"N/A")</x:f>
        <x:v>N/A</x:v>
      </x:c>
      <x:c r="N32" t="str">
        <x:f>IF(AND('WELL INPUTS'!$B$4="Wet",'WELL INPUTS'!$B$6&gt;0),IF(J32="Yes","ALLOY FAMILY","CORROSION CONTROL"),"N/A")</x:f>
        <x:v>ALLOY FAMILY</x:v>
      </x:c>
      <x:c r="O32" t="str">
        <x:f>IF('WELL INPUTS'!$B$12="Yes",IF(G32="Yes","CLAIMED","NOT LISTED"),"N/A")</x:f>
        <x:v>N/A</x:v>
      </x:c>
      <x:c r="P32" t="str">
        <x:f>IF(OR('WELL INPUTS'!$B$13="Unrestricted",CODE(H32)&lt;=CODE('WELL INPUTS'!$B$13)),"WITHIN TIER","OVER CAP")</x:f>
        <x:v>WITHIN TIER</x:v>
      </x:c>
      <x:c r="Q32" t="n">
        <x:f>MAX(0,MIN(100,43+IF(L32="OK",14,-20)+IF(M32="CATALOG SOUR",24,IF(M32="NOT LISTED",-18,0))+IF(N32="ALLOY FAMILY",14,IF(N32="CORROSION CONTROL",-13,0))+IF(O32="CLAIMED",17,IF(O32="NOT LISTED",-14,0))+IF(K32="Yes",-15,0)+IF('WELL INPUTS'!$B$10="Yes",-17,0)))</x:f>
        <x:v>56</x:v>
      </x:c>
      <x:c r="R32" s="83" t="str">
        <x:f>IF(L32="BELOW","EXCLUDE — STRENGTH",IF(P32="OVER CAP","EXCLUDE — COST",IF(K32="Yes",IF('WELL INPUTS'!$B$14="No","EXCLUDE — REFERENCE","REFERENCE ONLY"),IF(OR(L32="UNKNOWN",M32="NOT LISTED",N32="CORROSION CONTROL",O32="NOT LISTED",'WELL INPUTS'!$B$10="Yes",'WELL INPUTS'!$B$4="Unknown"),"REVIEW","CANDIDATE — VERIFY"))))</x:f>
        <x:v>EXCLUDE — REFERENCE</x:v>
      </x:c>
      <x:c r="S32" t="str">
        <x:f>IF(L32="BELOW","Increase minimum grade strength",IF(P32="OVER CAP","Relax cost tier or exclude",IF(K32="Yes","Identify qualified manufacturer grade",IF(M32="NOT LISTED","Confirm sour-service claim and ISO 15156",IF(O32="NOT LISTED","Obtain manufacturer collapse curve",IF(N32="CORROSION CONTROL","Model CO2 corrosion; review inhibition","Confirm corrosion, cracking, loads and connection"))))))</x:f>
        <x:v>Identify qualified manufacturer grade</x:v>
      </x:c>
      <x:c r="T32" t="str">
        <x:v>https://www.api.org/-/media/Files/Certification/Monogram-APIQR/0_API-Monogram-APIQR/LIFs/API_5CRA_Licensing_Information_Form_20230821.pdf</x:v>
      </x:c>
    </x:row>
    <x:row r="33" ht="23" customHeight="1">
      <x:c r="A33" t="str">
        <x:v>OCTG-0032</x:v>
      </x:c>
      <x:c r="B33" t="str">
        <x:v>API reference</x:v>
      </x:c>
      <x:c r="C33" t="str">
        <x:v>20-54-9 / N06950 / 110</x:v>
      </x:c>
      <x:c r="D33" t="str">
        <x:v>Ni-base CRA</x:v>
      </x:c>
      <x:c r="E33" t="str">
        <x:v>Severe CO2 / H2S / chloride (qualify)</x:v>
      </x:c>
      <x:c r="F33" s="82" t="n">
        <x:v>110</x:v>
      </x:c>
      <x:c r="G33" t="str">
        <x:v>No</x:v>
      </x:c>
      <x:c r="H33" t="str">
        <x:v>I</x:v>
      </x:c>
      <x:c r="I33" t="str">
        <x:v>Yes</x:v>
      </x:c>
      <x:c r="J33" t="str">
        <x:v>Yes</x:v>
      </x:c>
      <x:c r="K33" t="str">
        <x:v>Yes</x:v>
      </x:c>
      <x:c r="L33" t="str">
        <x:f>IF(F33="","UNKNOWN",IF(F33&lt;'WELL INPUTS'!$B$11,"BELOW","OK"))</x:f>
        <x:v>OK</x:v>
      </x:c>
      <x:c r="M33" t="str">
        <x:f>IF(AND('WELL INPUTS'!$B$4="Wet",'WELL INPUTS'!$B$5&gt;0),IF(I33="Yes","CATALOG SOUR","NOT LISTED"),"N/A")</x:f>
        <x:v>N/A</x:v>
      </x:c>
      <x:c r="N33" t="str">
        <x:f>IF(AND('WELL INPUTS'!$B$4="Wet",'WELL INPUTS'!$B$6&gt;0),IF(J33="Yes","ALLOY FAMILY","CORROSION CONTROL"),"N/A")</x:f>
        <x:v>ALLOY FAMILY</x:v>
      </x:c>
      <x:c r="O33" t="str">
        <x:f>IF('WELL INPUTS'!$B$12="Yes",IF(G33="Yes","CLAIMED","NOT LISTED"),"N/A")</x:f>
        <x:v>N/A</x:v>
      </x:c>
      <x:c r="P33" t="str">
        <x:f>IF(OR('WELL INPUTS'!$B$13="Unrestricted",CODE(H33)&lt;=CODE('WELL INPUTS'!$B$13)),"WITHIN TIER","OVER CAP")</x:f>
        <x:v>WITHIN TIER</x:v>
      </x:c>
      <x:c r="Q33" t="n">
        <x:f>MAX(0,MIN(100,43+IF(L33="OK",14,-20)+IF(M33="CATALOG SOUR",24,IF(M33="NOT LISTED",-18,0))+IF(N33="ALLOY FAMILY",14,IF(N33="CORROSION CONTROL",-13,0))+IF(O33="CLAIMED",17,IF(O33="NOT LISTED",-14,0))+IF(K33="Yes",-15,0)+IF('WELL INPUTS'!$B$10="Yes",-17,0)))</x:f>
        <x:v>56</x:v>
      </x:c>
      <x:c r="R33" s="83" t="str">
        <x:f>IF(L33="BELOW","EXCLUDE — STRENGTH",IF(P33="OVER CAP","EXCLUDE — COST",IF(K33="Yes",IF('WELL INPUTS'!$B$14="No","EXCLUDE — REFERENCE","REFERENCE ONLY"),IF(OR(L33="UNKNOWN",M33="NOT LISTED",N33="CORROSION CONTROL",O33="NOT LISTED",'WELL INPUTS'!$B$10="Yes",'WELL INPUTS'!$B$4="Unknown"),"REVIEW","CANDIDATE — VERIFY"))))</x:f>
        <x:v>EXCLUDE — REFERENCE</x:v>
      </x:c>
      <x:c r="S33" t="str">
        <x:f>IF(L33="BELOW","Increase minimum grade strength",IF(P33="OVER CAP","Relax cost tier or exclude",IF(K33="Yes","Identify qualified manufacturer grade",IF(M33="NOT LISTED","Confirm sour-service claim and ISO 15156",IF(O33="NOT LISTED","Obtain manufacturer collapse curve",IF(N33="CORROSION CONTROL","Model CO2 corrosion; review inhibition","Confirm corrosion, cracking, loads and connection"))))))</x:f>
        <x:v>Identify qualified manufacturer grade</x:v>
      </x:c>
      <x:c r="T33" t="str">
        <x:v>https://www.api.org/-/media/Files/Certification/Monogram-APIQR/0_API-Monogram-APIQR/LIFs/API_5CRA_Licensing_Information_Form_20230821.pdf</x:v>
      </x:c>
    </x:row>
    <x:row r="34" ht="23" customHeight="1">
      <x:c r="A34" t="str">
        <x:v>OCTG-0033</x:v>
      </x:c>
      <x:c r="B34" t="str">
        <x:v>API reference</x:v>
      </x:c>
      <x:c r="C34" t="str">
        <x:v>20-54-9 / N06950 / 125</x:v>
      </x:c>
      <x:c r="D34" t="str">
        <x:v>Ni-base CRA</x:v>
      </x:c>
      <x:c r="E34" t="str">
        <x:v>Severe CO2 / H2S / chloride (qualify)</x:v>
      </x:c>
      <x:c r="F34" s="82" t="n">
        <x:v>125</x:v>
      </x:c>
      <x:c r="G34" t="str">
        <x:v>No</x:v>
      </x:c>
      <x:c r="H34" t="str">
        <x:v>I</x:v>
      </x:c>
      <x:c r="I34" t="str">
        <x:v>Yes</x:v>
      </x:c>
      <x:c r="J34" t="str">
        <x:v>Yes</x:v>
      </x:c>
      <x:c r="K34" t="str">
        <x:v>Yes</x:v>
      </x:c>
      <x:c r="L34" t="str">
        <x:f>IF(F34="","UNKNOWN",IF(F34&lt;'WELL INPUTS'!$B$11,"BELOW","OK"))</x:f>
        <x:v>OK</x:v>
      </x:c>
      <x:c r="M34" t="str">
        <x:f>IF(AND('WELL INPUTS'!$B$4="Wet",'WELL INPUTS'!$B$5&gt;0),IF(I34="Yes","CATALOG SOUR","NOT LISTED"),"N/A")</x:f>
        <x:v>N/A</x:v>
      </x:c>
      <x:c r="N34" t="str">
        <x:f>IF(AND('WELL INPUTS'!$B$4="Wet",'WELL INPUTS'!$B$6&gt;0),IF(J34="Yes","ALLOY FAMILY","CORROSION CONTROL"),"N/A")</x:f>
        <x:v>ALLOY FAMILY</x:v>
      </x:c>
      <x:c r="O34" t="str">
        <x:f>IF('WELL INPUTS'!$B$12="Yes",IF(G34="Yes","CLAIMED","NOT LISTED"),"N/A")</x:f>
        <x:v>N/A</x:v>
      </x:c>
      <x:c r="P34" t="str">
        <x:f>IF(OR('WELL INPUTS'!$B$13="Unrestricted",CODE(H34)&lt;=CODE('WELL INPUTS'!$B$13)),"WITHIN TIER","OVER CAP")</x:f>
        <x:v>WITHIN TIER</x:v>
      </x:c>
      <x:c r="Q34" t="n">
        <x:f>MAX(0,MIN(100,43+IF(L34="OK",14,-20)+IF(M34="CATALOG SOUR",24,IF(M34="NOT LISTED",-18,0))+IF(N34="ALLOY FAMILY",14,IF(N34="CORROSION CONTROL",-13,0))+IF(O34="CLAIMED",17,IF(O34="NOT LISTED",-14,0))+IF(K34="Yes",-15,0)+IF('WELL INPUTS'!$B$10="Yes",-17,0)))</x:f>
        <x:v>56</x:v>
      </x:c>
      <x:c r="R34" s="83" t="str">
        <x:f>IF(L34="BELOW","EXCLUDE — STRENGTH",IF(P34="OVER CAP","EXCLUDE — COST",IF(K34="Yes",IF('WELL INPUTS'!$B$14="No","EXCLUDE — REFERENCE","REFERENCE ONLY"),IF(OR(L34="UNKNOWN",M34="NOT LISTED",N34="CORROSION CONTROL",O34="NOT LISTED",'WELL INPUTS'!$B$10="Yes",'WELL INPUTS'!$B$4="Unknown"),"REVIEW","CANDIDATE — VERIFY"))))</x:f>
        <x:v>EXCLUDE — REFERENCE</x:v>
      </x:c>
      <x:c r="S34" t="str">
        <x:f>IF(L34="BELOW","Increase minimum grade strength",IF(P34="OVER CAP","Relax cost tier or exclude",IF(K34="Yes","Identify qualified manufacturer grade",IF(M34="NOT LISTED","Confirm sour-service claim and ISO 15156",IF(O34="NOT LISTED","Obtain manufacturer collapse curve",IF(N34="CORROSION CONTROL","Model CO2 corrosion; review inhibition","Confirm corrosion, cracking, loads and connection"))))))</x:f>
        <x:v>Identify qualified manufacturer grade</x:v>
      </x:c>
      <x:c r="T34" t="str">
        <x:v>https://www.api.org/-/media/Files/Certification/Monogram-APIQR/0_API-Monogram-APIQR/LIFs/API_5CRA_Licensing_Information_Form_20230821.pdf</x:v>
      </x:c>
    </x:row>
    <x:row r="35" ht="23" customHeight="1">
      <x:c r="A35" t="str">
        <x:v>OCTG-0034</x:v>
      </x:c>
      <x:c r="B35" t="str">
        <x:v>API reference</x:v>
      </x:c>
      <x:c r="C35" t="str">
        <x:v>21-42-3 / N08825 / 110</x:v>
      </x:c>
      <x:c r="D35" t="str">
        <x:v>Ni-base CRA</x:v>
      </x:c>
      <x:c r="E35" t="str">
        <x:v>Severe CO2 / H2S / chloride (qualify)</x:v>
      </x:c>
      <x:c r="F35" s="82" t="n">
        <x:v>110</x:v>
      </x:c>
      <x:c r="G35" t="str">
        <x:v>No</x:v>
      </x:c>
      <x:c r="H35" t="str">
        <x:v>I</x:v>
      </x:c>
      <x:c r="I35" t="str">
        <x:v>Yes</x:v>
      </x:c>
      <x:c r="J35" t="str">
        <x:v>Yes</x:v>
      </x:c>
      <x:c r="K35" t="str">
        <x:v>Yes</x:v>
      </x:c>
      <x:c r="L35" t="str">
        <x:f>IF(F35="","UNKNOWN",IF(F35&lt;'WELL INPUTS'!$B$11,"BELOW","OK"))</x:f>
        <x:v>OK</x:v>
      </x:c>
      <x:c r="M35" t="str">
        <x:f>IF(AND('WELL INPUTS'!$B$4="Wet",'WELL INPUTS'!$B$5&gt;0),IF(I35="Yes","CATALOG SOUR","NOT LISTED"),"N/A")</x:f>
        <x:v>N/A</x:v>
      </x:c>
      <x:c r="N35" t="str">
        <x:f>IF(AND('WELL INPUTS'!$B$4="Wet",'WELL INPUTS'!$B$6&gt;0),IF(J35="Yes","ALLOY FAMILY","CORROSION CONTROL"),"N/A")</x:f>
        <x:v>ALLOY FAMILY</x:v>
      </x:c>
      <x:c r="O35" t="str">
        <x:f>IF('WELL INPUTS'!$B$12="Yes",IF(G35="Yes","CLAIMED","NOT LISTED"),"N/A")</x:f>
        <x:v>N/A</x:v>
      </x:c>
      <x:c r="P35" t="str">
        <x:f>IF(OR('WELL INPUTS'!$B$13="Unrestricted",CODE(H35)&lt;=CODE('WELL INPUTS'!$B$13)),"WITHIN TIER","OVER CAP")</x:f>
        <x:v>WITHIN TIER</x:v>
      </x:c>
      <x:c r="Q35" t="n">
        <x:f>MAX(0,MIN(100,43+IF(L35="OK",14,-20)+IF(M35="CATALOG SOUR",24,IF(M35="NOT LISTED",-18,0))+IF(N35="ALLOY FAMILY",14,IF(N35="CORROSION CONTROL",-13,0))+IF(O35="CLAIMED",17,IF(O35="NOT LISTED",-14,0))+IF(K35="Yes",-15,0)+IF('WELL INPUTS'!$B$10="Yes",-17,0)))</x:f>
        <x:v>56</x:v>
      </x:c>
      <x:c r="R35" s="83" t="str">
        <x:f>IF(L35="BELOW","EXCLUDE — STRENGTH",IF(P35="OVER CAP","EXCLUDE — COST",IF(K35="Yes",IF('WELL INPUTS'!$B$14="No","EXCLUDE — REFERENCE","REFERENCE ONLY"),IF(OR(L35="UNKNOWN",M35="NOT LISTED",N35="CORROSION CONTROL",O35="NOT LISTED",'WELL INPUTS'!$B$10="Yes",'WELL INPUTS'!$B$4="Unknown"),"REVIEW","CANDIDATE — VERIFY"))))</x:f>
        <x:v>EXCLUDE — REFERENCE</x:v>
      </x:c>
      <x:c r="S35" t="str">
        <x:f>IF(L35="BELOW","Increase minimum grade strength",IF(P35="OVER CAP","Relax cost tier or exclude",IF(K35="Yes","Identify qualified manufacturer grade",IF(M35="NOT LISTED","Confirm sour-service claim and ISO 15156",IF(O35="NOT LISTED","Obtain manufacturer collapse curve",IF(N35="CORROSION CONTROL","Model CO2 corrosion; review inhibition","Confirm corrosion, cracking, loads and connection"))))))</x:f>
        <x:v>Identify qualified manufacturer grade</x:v>
      </x:c>
      <x:c r="T35" t="str">
        <x:v>https://www.api.org/-/media/Files/Certification/Monogram-APIQR/0_API-Monogram-APIQR/LIFs/API_5CRA_Licensing_Information_Form_20230821.pdf</x:v>
      </x:c>
    </x:row>
    <x:row r="36" ht="23" customHeight="1">
      <x:c r="A36" t="str">
        <x:v>OCTG-0035</x:v>
      </x:c>
      <x:c r="B36" t="str">
        <x:v>API reference</x:v>
      </x:c>
      <x:c r="C36" t="str">
        <x:v>21-42-3 / N08825 / 125</x:v>
      </x:c>
      <x:c r="D36" t="str">
        <x:v>Ni-base CRA</x:v>
      </x:c>
      <x:c r="E36" t="str">
        <x:v>Severe CO2 / H2S / chloride (qualify)</x:v>
      </x:c>
      <x:c r="F36" s="82" t="n">
        <x:v>125</x:v>
      </x:c>
      <x:c r="G36" t="str">
        <x:v>No</x:v>
      </x:c>
      <x:c r="H36" t="str">
        <x:v>I</x:v>
      </x:c>
      <x:c r="I36" t="str">
        <x:v>Yes</x:v>
      </x:c>
      <x:c r="J36" t="str">
        <x:v>Yes</x:v>
      </x:c>
      <x:c r="K36" t="str">
        <x:v>Yes</x:v>
      </x:c>
      <x:c r="L36" t="str">
        <x:f>IF(F36="","UNKNOWN",IF(F36&lt;'WELL INPUTS'!$B$11,"BELOW","OK"))</x:f>
        <x:v>OK</x:v>
      </x:c>
      <x:c r="M36" t="str">
        <x:f>IF(AND('WELL INPUTS'!$B$4="Wet",'WELL INPUTS'!$B$5&gt;0),IF(I36="Yes","CATALOG SOUR","NOT LISTED"),"N/A")</x:f>
        <x:v>N/A</x:v>
      </x:c>
      <x:c r="N36" t="str">
        <x:f>IF(AND('WELL INPUTS'!$B$4="Wet",'WELL INPUTS'!$B$6&gt;0),IF(J36="Yes","ALLOY FAMILY","CORROSION CONTROL"),"N/A")</x:f>
        <x:v>ALLOY FAMILY</x:v>
      </x:c>
      <x:c r="O36" t="str">
        <x:f>IF('WELL INPUTS'!$B$12="Yes",IF(G36="Yes","CLAIMED","NOT LISTED"),"N/A")</x:f>
        <x:v>N/A</x:v>
      </x:c>
      <x:c r="P36" t="str">
        <x:f>IF(OR('WELL INPUTS'!$B$13="Unrestricted",CODE(H36)&lt;=CODE('WELL INPUTS'!$B$13)),"WITHIN TIER","OVER CAP")</x:f>
        <x:v>WITHIN TIER</x:v>
      </x:c>
      <x:c r="Q36" t="n">
        <x:f>MAX(0,MIN(100,43+IF(L36="OK",14,-20)+IF(M36="CATALOG SOUR",24,IF(M36="NOT LISTED",-18,0))+IF(N36="ALLOY FAMILY",14,IF(N36="CORROSION CONTROL",-13,0))+IF(O36="CLAIMED",17,IF(O36="NOT LISTED",-14,0))+IF(K36="Yes",-15,0)+IF('WELL INPUTS'!$B$10="Yes",-17,0)))</x:f>
        <x:v>56</x:v>
      </x:c>
      <x:c r="R36" s="83" t="str">
        <x:f>IF(L36="BELOW","EXCLUDE — STRENGTH",IF(P36="OVER CAP","EXCLUDE — COST",IF(K36="Yes",IF('WELL INPUTS'!$B$14="No","EXCLUDE — REFERENCE","REFERENCE ONLY"),IF(OR(L36="UNKNOWN",M36="NOT LISTED",N36="CORROSION CONTROL",O36="NOT LISTED",'WELL INPUTS'!$B$10="Yes",'WELL INPUTS'!$B$4="Unknown"),"REVIEW","CANDIDATE — VERIFY"))))</x:f>
        <x:v>EXCLUDE — REFERENCE</x:v>
      </x:c>
      <x:c r="S36" t="str">
        <x:f>IF(L36="BELOW","Increase minimum grade strength",IF(P36="OVER CAP","Relax cost tier or exclude",IF(K36="Yes","Identify qualified manufacturer grade",IF(M36="NOT LISTED","Confirm sour-service claim and ISO 15156",IF(O36="NOT LISTED","Obtain manufacturer collapse curve",IF(N36="CORROSION CONTROL","Model CO2 corrosion; review inhibition","Confirm corrosion, cracking, loads and connection"))))))</x:f>
        <x:v>Identify qualified manufacturer grade</x:v>
      </x:c>
      <x:c r="T36" t="str">
        <x:v>https://www.api.org/-/media/Files/Certification/Monogram-APIQR/0_API-Monogram-APIQR/LIFs/API_5CRA_Licensing_Information_Form_20230821.pdf</x:v>
      </x:c>
    </x:row>
    <x:row r="37" ht="23" customHeight="1">
      <x:c r="A37" t="str">
        <x:v>OCTG-0036</x:v>
      </x:c>
      <x:c r="B37" t="str">
        <x:v>API reference</x:v>
      </x:c>
      <x:c r="C37" t="str">
        <x:v>22-50-7 / N06985 / 110</x:v>
      </x:c>
      <x:c r="D37" t="str">
        <x:v>Ni-base CRA</x:v>
      </x:c>
      <x:c r="E37" t="str">
        <x:v>Severe CO2 / H2S / chloride (qualify)</x:v>
      </x:c>
      <x:c r="F37" s="82" t="n">
        <x:v>110</x:v>
      </x:c>
      <x:c r="G37" t="str">
        <x:v>No</x:v>
      </x:c>
      <x:c r="H37" t="str">
        <x:v>I</x:v>
      </x:c>
      <x:c r="I37" t="str">
        <x:v>Yes</x:v>
      </x:c>
      <x:c r="J37" t="str">
        <x:v>Yes</x:v>
      </x:c>
      <x:c r="K37" t="str">
        <x:v>Yes</x:v>
      </x:c>
      <x:c r="L37" t="str">
        <x:f>IF(F37="","UNKNOWN",IF(F37&lt;'WELL INPUTS'!$B$11,"BELOW","OK"))</x:f>
        <x:v>OK</x:v>
      </x:c>
      <x:c r="M37" t="str">
        <x:f>IF(AND('WELL INPUTS'!$B$4="Wet",'WELL INPUTS'!$B$5&gt;0),IF(I37="Yes","CATALOG SOUR","NOT LISTED"),"N/A")</x:f>
        <x:v>N/A</x:v>
      </x:c>
      <x:c r="N37" t="str">
        <x:f>IF(AND('WELL INPUTS'!$B$4="Wet",'WELL INPUTS'!$B$6&gt;0),IF(J37="Yes","ALLOY FAMILY","CORROSION CONTROL"),"N/A")</x:f>
        <x:v>ALLOY FAMILY</x:v>
      </x:c>
      <x:c r="O37" t="str">
        <x:f>IF('WELL INPUTS'!$B$12="Yes",IF(G37="Yes","CLAIMED","NOT LISTED"),"N/A")</x:f>
        <x:v>N/A</x:v>
      </x:c>
      <x:c r="P37" t="str">
        <x:f>IF(OR('WELL INPUTS'!$B$13="Unrestricted",CODE(H37)&lt;=CODE('WELL INPUTS'!$B$13)),"WITHIN TIER","OVER CAP")</x:f>
        <x:v>WITHIN TIER</x:v>
      </x:c>
      <x:c r="Q37" t="n">
        <x:f>MAX(0,MIN(100,43+IF(L37="OK",14,-20)+IF(M37="CATALOG SOUR",24,IF(M37="NOT LISTED",-18,0))+IF(N37="ALLOY FAMILY",14,IF(N37="CORROSION CONTROL",-13,0))+IF(O37="CLAIMED",17,IF(O37="NOT LISTED",-14,0))+IF(K37="Yes",-15,0)+IF('WELL INPUTS'!$B$10="Yes",-17,0)))</x:f>
        <x:v>56</x:v>
      </x:c>
      <x:c r="R37" s="83" t="str">
        <x:f>IF(L37="BELOW","EXCLUDE — STRENGTH",IF(P37="OVER CAP","EXCLUDE — COST",IF(K37="Yes",IF('WELL INPUTS'!$B$14="No","EXCLUDE — REFERENCE","REFERENCE ONLY"),IF(OR(L37="UNKNOWN",M37="NOT LISTED",N37="CORROSION CONTROL",O37="NOT LISTED",'WELL INPUTS'!$B$10="Yes",'WELL INPUTS'!$B$4="Unknown"),"REVIEW","CANDIDATE — VERIFY"))))</x:f>
        <x:v>EXCLUDE — REFERENCE</x:v>
      </x:c>
      <x:c r="S37" t="str">
        <x:f>IF(L37="BELOW","Increase minimum grade strength",IF(P37="OVER CAP","Relax cost tier or exclude",IF(K37="Yes","Identify qualified manufacturer grade",IF(M37="NOT LISTED","Confirm sour-service claim and ISO 15156",IF(O37="NOT LISTED","Obtain manufacturer collapse curve",IF(N37="CORROSION CONTROL","Model CO2 corrosion; review inhibition","Confirm corrosion, cracking, loads and connection"))))))</x:f>
        <x:v>Identify qualified manufacturer grade</x:v>
      </x:c>
      <x:c r="T37" t="str">
        <x:v>https://www.api.org/-/media/Files/Certification/Monogram-APIQR/0_API-Monogram-APIQR/LIFs/API_5CRA_Licensing_Information_Form_20230821.pdf</x:v>
      </x:c>
    </x:row>
    <x:row r="38" ht="23" customHeight="1">
      <x:c r="A38" t="str">
        <x:v>OCTG-0037</x:v>
      </x:c>
      <x:c r="B38" t="str">
        <x:v>API reference</x:v>
      </x:c>
      <x:c r="C38" t="str">
        <x:v>22-50-7 / N06985 / 125</x:v>
      </x:c>
      <x:c r="D38" t="str">
        <x:v>Ni-base CRA</x:v>
      </x:c>
      <x:c r="E38" t="str">
        <x:v>Severe CO2 / H2S / chloride (qualify)</x:v>
      </x:c>
      <x:c r="F38" s="82" t="n">
        <x:v>125</x:v>
      </x:c>
      <x:c r="G38" t="str">
        <x:v>No</x:v>
      </x:c>
      <x:c r="H38" t="str">
        <x:v>I</x:v>
      </x:c>
      <x:c r="I38" t="str">
        <x:v>Yes</x:v>
      </x:c>
      <x:c r="J38" t="str">
        <x:v>Yes</x:v>
      </x:c>
      <x:c r="K38" t="str">
        <x:v>Yes</x:v>
      </x:c>
      <x:c r="L38" t="str">
        <x:f>IF(F38="","UNKNOWN",IF(F38&lt;'WELL INPUTS'!$B$11,"BELOW","OK"))</x:f>
        <x:v>OK</x:v>
      </x:c>
      <x:c r="M38" t="str">
        <x:f>IF(AND('WELL INPUTS'!$B$4="Wet",'WELL INPUTS'!$B$5&gt;0),IF(I38="Yes","CATALOG SOUR","NOT LISTED"),"N/A")</x:f>
        <x:v>N/A</x:v>
      </x:c>
      <x:c r="N38" t="str">
        <x:f>IF(AND('WELL INPUTS'!$B$4="Wet",'WELL INPUTS'!$B$6&gt;0),IF(J38="Yes","ALLOY FAMILY","CORROSION CONTROL"),"N/A")</x:f>
        <x:v>ALLOY FAMILY</x:v>
      </x:c>
      <x:c r="O38" t="str">
        <x:f>IF('WELL INPUTS'!$B$12="Yes",IF(G38="Yes","CLAIMED","NOT LISTED"),"N/A")</x:f>
        <x:v>N/A</x:v>
      </x:c>
      <x:c r="P38" t="str">
        <x:f>IF(OR('WELL INPUTS'!$B$13="Unrestricted",CODE(H38)&lt;=CODE('WELL INPUTS'!$B$13)),"WITHIN TIER","OVER CAP")</x:f>
        <x:v>WITHIN TIER</x:v>
      </x:c>
      <x:c r="Q38" t="n">
        <x:f>MAX(0,MIN(100,43+IF(L38="OK",14,-20)+IF(M38="CATALOG SOUR",24,IF(M38="NOT LISTED",-18,0))+IF(N38="ALLOY FAMILY",14,IF(N38="CORROSION CONTROL",-13,0))+IF(O38="CLAIMED",17,IF(O38="NOT LISTED",-14,0))+IF(K38="Yes",-15,0)+IF('WELL INPUTS'!$B$10="Yes",-17,0)))</x:f>
        <x:v>56</x:v>
      </x:c>
      <x:c r="R38" s="83" t="str">
        <x:f>IF(L38="BELOW","EXCLUDE — STRENGTH",IF(P38="OVER CAP","EXCLUDE — COST",IF(K38="Yes",IF('WELL INPUTS'!$B$14="No","EXCLUDE — REFERENCE","REFERENCE ONLY"),IF(OR(L38="UNKNOWN",M38="NOT LISTED",N38="CORROSION CONTROL",O38="NOT LISTED",'WELL INPUTS'!$B$10="Yes",'WELL INPUTS'!$B$4="Unknown"),"REVIEW","CANDIDATE — VERIFY"))))</x:f>
        <x:v>EXCLUDE — REFERENCE</x:v>
      </x:c>
      <x:c r="S38" t="str">
        <x:f>IF(L38="BELOW","Increase minimum grade strength",IF(P38="OVER CAP","Relax cost tier or exclude",IF(K38="Yes","Identify qualified manufacturer grade",IF(M38="NOT LISTED","Confirm sour-service claim and ISO 15156",IF(O38="NOT LISTED","Obtain manufacturer collapse curve",IF(N38="CORROSION CONTROL","Model CO2 corrosion; review inhibition","Confirm corrosion, cracking, loads and connection"))))))</x:f>
        <x:v>Identify qualified manufacturer grade</x:v>
      </x:c>
      <x:c r="T38" t="str">
        <x:v>https://www.api.org/-/media/Files/Certification/Monogram-APIQR/0_API-Monogram-APIQR/LIFs/API_5CRA_Licensing_Information_Form_20230821.pdf</x:v>
      </x:c>
    </x:row>
    <x:row r="39" ht="23" customHeight="1">
      <x:c r="A39" t="str">
        <x:v>OCTG-0038</x:v>
      </x:c>
      <x:c r="B39" t="str">
        <x:v>API reference</x:v>
      </x:c>
      <x:c r="C39" t="str">
        <x:v>22-52-11 / 110 (PSL1)</x:v>
      </x:c>
      <x:c r="D39" t="str">
        <x:v>Ni-base CRA</x:v>
      </x:c>
      <x:c r="E39" t="str">
        <x:v>Highly corrosive mixed gases</x:v>
      </x:c>
      <x:c r="F39" s="82" t="n">
        <x:v>110</x:v>
      </x:c>
      <x:c r="G39" t="str">
        <x:v>No</x:v>
      </x:c>
      <x:c r="H39" t="str">
        <x:v>I</x:v>
      </x:c>
      <x:c r="I39" t="str">
        <x:v>No</x:v>
      </x:c>
      <x:c r="J39" t="str">
        <x:v>Yes</x:v>
      </x:c>
      <x:c r="K39" t="str">
        <x:v>Yes</x:v>
      </x:c>
      <x:c r="L39" t="str">
        <x:f>IF(F39="","UNKNOWN",IF(F39&lt;'WELL INPUTS'!$B$11,"BELOW","OK"))</x:f>
        <x:v>OK</x:v>
      </x:c>
      <x:c r="M39" t="str">
        <x:f>IF(AND('WELL INPUTS'!$B$4="Wet",'WELL INPUTS'!$B$5&gt;0),IF(I39="Yes","CATALOG SOUR","NOT LISTED"),"N/A")</x:f>
        <x:v>N/A</x:v>
      </x:c>
      <x:c r="N39" t="str">
        <x:f>IF(AND('WELL INPUTS'!$B$4="Wet",'WELL INPUTS'!$B$6&gt;0),IF(J39="Yes","ALLOY FAMILY","CORROSION CONTROL"),"N/A")</x:f>
        <x:v>ALLOY FAMILY</x:v>
      </x:c>
      <x:c r="O39" t="str">
        <x:f>IF('WELL INPUTS'!$B$12="Yes",IF(G39="Yes","CLAIMED","NOT LISTED"),"N/A")</x:f>
        <x:v>N/A</x:v>
      </x:c>
      <x:c r="P39" t="str">
        <x:f>IF(OR('WELL INPUTS'!$B$13="Unrestricted",CODE(H39)&lt;=CODE('WELL INPUTS'!$B$13)),"WITHIN TIER","OVER CAP")</x:f>
        <x:v>WITHIN TIER</x:v>
      </x:c>
      <x:c r="Q39" t="n">
        <x:f>MAX(0,MIN(100,43+IF(L39="OK",14,-20)+IF(M39="CATALOG SOUR",24,IF(M39="NOT LISTED",-18,0))+IF(N39="ALLOY FAMILY",14,IF(N39="CORROSION CONTROL",-13,0))+IF(O39="CLAIMED",17,IF(O39="NOT LISTED",-14,0))+IF(K39="Yes",-15,0)+IF('WELL INPUTS'!$B$10="Yes",-17,0)))</x:f>
        <x:v>56</x:v>
      </x:c>
      <x:c r="R39" s="83" t="str">
        <x:f>IF(L39="BELOW","EXCLUDE — STRENGTH",IF(P39="OVER CAP","EXCLUDE — COST",IF(K39="Yes",IF('WELL INPUTS'!$B$14="No","EXCLUDE — REFERENCE","REFERENCE ONLY"),IF(OR(L39="UNKNOWN",M39="NOT LISTED",N39="CORROSION CONTROL",O39="NOT LISTED",'WELL INPUTS'!$B$10="Yes",'WELL INPUTS'!$B$4="Unknown"),"REVIEW","CANDIDATE — VERIFY"))))</x:f>
        <x:v>EXCLUDE — REFERENCE</x:v>
      </x:c>
      <x:c r="S39" t="str">
        <x:f>IF(L39="BELOW","Increase minimum grade strength",IF(P39="OVER CAP","Relax cost tier or exclude",IF(K39="Yes","Identify qualified manufacturer grade",IF(M39="NOT LISTED","Confirm sour-service claim and ISO 15156",IF(O39="NOT LISTED","Obtain manufacturer collapse curve",IF(N39="CORROSION CONTROL","Model CO2 corrosion; review inhibition","Confirm corrosion, cracking, loads and connection"))))))</x:f>
        <x:v>Identify qualified manufacturer grade</x:v>
      </x:c>
      <x:c r="T39" t="str">
        <x:v>https://www.api.org/-/media/Files/Certification/Monogram-APIQR/0_API-Monogram-APIQR/LIFs/API_5CRA_Licensing_Information_Form_20230821.pdf</x:v>
      </x:c>
    </x:row>
    <x:row r="40" ht="23" customHeight="1">
      <x:c r="A40" t="str">
        <x:v>OCTG-0039</x:v>
      </x:c>
      <x:c r="B40" t="str">
        <x:v>API reference</x:v>
      </x:c>
      <x:c r="C40" t="str">
        <x:v>22-52-11 / 125 (PSL1)</x:v>
      </x:c>
      <x:c r="D40" t="str">
        <x:v>Ni-base CRA</x:v>
      </x:c>
      <x:c r="E40" t="str">
        <x:v>Highly corrosive mixed gases</x:v>
      </x:c>
      <x:c r="F40" s="82" t="n">
        <x:v>125</x:v>
      </x:c>
      <x:c r="G40" t="str">
        <x:v>No</x:v>
      </x:c>
      <x:c r="H40" t="str">
        <x:v>I</x:v>
      </x:c>
      <x:c r="I40" t="str">
        <x:v>No</x:v>
      </x:c>
      <x:c r="J40" t="str">
        <x:v>Yes</x:v>
      </x:c>
      <x:c r="K40" t="str">
        <x:v>Yes</x:v>
      </x:c>
      <x:c r="L40" t="str">
        <x:f>IF(F40="","UNKNOWN",IF(F40&lt;'WELL INPUTS'!$B$11,"BELOW","OK"))</x:f>
        <x:v>OK</x:v>
      </x:c>
      <x:c r="M40" t="str">
        <x:f>IF(AND('WELL INPUTS'!$B$4="Wet",'WELL INPUTS'!$B$5&gt;0),IF(I40="Yes","CATALOG SOUR","NOT LISTED"),"N/A")</x:f>
        <x:v>N/A</x:v>
      </x:c>
      <x:c r="N40" t="str">
        <x:f>IF(AND('WELL INPUTS'!$B$4="Wet",'WELL INPUTS'!$B$6&gt;0),IF(J40="Yes","ALLOY FAMILY","CORROSION CONTROL"),"N/A")</x:f>
        <x:v>ALLOY FAMILY</x:v>
      </x:c>
      <x:c r="O40" t="str">
        <x:f>IF('WELL INPUTS'!$B$12="Yes",IF(G40="Yes","CLAIMED","NOT LISTED"),"N/A")</x:f>
        <x:v>N/A</x:v>
      </x:c>
      <x:c r="P40" t="str">
        <x:f>IF(OR('WELL INPUTS'!$B$13="Unrestricted",CODE(H40)&lt;=CODE('WELL INPUTS'!$B$13)),"WITHIN TIER","OVER CAP")</x:f>
        <x:v>WITHIN TIER</x:v>
      </x:c>
      <x:c r="Q40" t="n">
        <x:f>MAX(0,MIN(100,43+IF(L40="OK",14,-20)+IF(M40="CATALOG SOUR",24,IF(M40="NOT LISTED",-18,0))+IF(N40="ALLOY FAMILY",14,IF(N40="CORROSION CONTROL",-13,0))+IF(O40="CLAIMED",17,IF(O40="NOT LISTED",-14,0))+IF(K40="Yes",-15,0)+IF('WELL INPUTS'!$B$10="Yes",-17,0)))</x:f>
        <x:v>56</x:v>
      </x:c>
      <x:c r="R40" s="83" t="str">
        <x:f>IF(L40="BELOW","EXCLUDE — STRENGTH",IF(P40="OVER CAP","EXCLUDE — COST",IF(K40="Yes",IF('WELL INPUTS'!$B$14="No","EXCLUDE — REFERENCE","REFERENCE ONLY"),IF(OR(L40="UNKNOWN",M40="NOT LISTED",N40="CORROSION CONTROL",O40="NOT LISTED",'WELL INPUTS'!$B$10="Yes",'WELL INPUTS'!$B$4="Unknown"),"REVIEW","CANDIDATE — VERIFY"))))</x:f>
        <x:v>EXCLUDE — REFERENCE</x:v>
      </x:c>
      <x:c r="S40" t="str">
        <x:f>IF(L40="BELOW","Increase minimum grade strength",IF(P40="OVER CAP","Relax cost tier or exclude",IF(K40="Yes","Identify qualified manufacturer grade",IF(M40="NOT LISTED","Confirm sour-service claim and ISO 15156",IF(O40="NOT LISTED","Obtain manufacturer collapse curve",IF(N40="CORROSION CONTROL","Model CO2 corrosion; review inhibition","Confirm corrosion, cracking, loads and connection"))))))</x:f>
        <x:v>Identify qualified manufacturer grade</x:v>
      </x:c>
      <x:c r="T40" t="str">
        <x:v>https://www.api.org/-/media/Files/Certification/Monogram-APIQR/0_API-Monogram-APIQR/LIFs/API_5CRA_Licensing_Information_Form_20230821.pdf</x:v>
      </x:c>
    </x:row>
    <x:row r="41" ht="23" customHeight="1">
      <x:c r="A41" t="str">
        <x:v>OCTG-0040</x:v>
      </x:c>
      <x:c r="B41" t="str">
        <x:v>API reference</x:v>
      </x:c>
      <x:c r="C41" t="str">
        <x:v>22-52-11 / 140 (PSL1)</x:v>
      </x:c>
      <x:c r="D41" t="str">
        <x:v>Ni-base CRA</x:v>
      </x:c>
      <x:c r="E41" t="str">
        <x:v>Highly corrosive mixed gases</x:v>
      </x:c>
      <x:c r="F41" s="82" t="n">
        <x:v>140</x:v>
      </x:c>
      <x:c r="G41" t="str">
        <x:v>No</x:v>
      </x:c>
      <x:c r="H41" t="str">
        <x:v>I</x:v>
      </x:c>
      <x:c r="I41" t="str">
        <x:v>No</x:v>
      </x:c>
      <x:c r="J41" t="str">
        <x:v>Yes</x:v>
      </x:c>
      <x:c r="K41" t="str">
        <x:v>Yes</x:v>
      </x:c>
      <x:c r="L41" t="str">
        <x:f>IF(F41="","UNKNOWN",IF(F41&lt;'WELL INPUTS'!$B$11,"BELOW","OK"))</x:f>
        <x:v>OK</x:v>
      </x:c>
      <x:c r="M41" t="str">
        <x:f>IF(AND('WELL INPUTS'!$B$4="Wet",'WELL INPUTS'!$B$5&gt;0),IF(I41="Yes","CATALOG SOUR","NOT LISTED"),"N/A")</x:f>
        <x:v>N/A</x:v>
      </x:c>
      <x:c r="N41" t="str">
        <x:f>IF(AND('WELL INPUTS'!$B$4="Wet",'WELL INPUTS'!$B$6&gt;0),IF(J41="Yes","ALLOY FAMILY","CORROSION CONTROL"),"N/A")</x:f>
        <x:v>ALLOY FAMILY</x:v>
      </x:c>
      <x:c r="O41" t="str">
        <x:f>IF('WELL INPUTS'!$B$12="Yes",IF(G41="Yes","CLAIMED","NOT LISTED"),"N/A")</x:f>
        <x:v>N/A</x:v>
      </x:c>
      <x:c r="P41" t="str">
        <x:f>IF(OR('WELL INPUTS'!$B$13="Unrestricted",CODE(H41)&lt;=CODE('WELL INPUTS'!$B$13)),"WITHIN TIER","OVER CAP")</x:f>
        <x:v>WITHIN TIER</x:v>
      </x:c>
      <x:c r="Q41" t="n">
        <x:f>MAX(0,MIN(100,43+IF(L41="OK",14,-20)+IF(M41="CATALOG SOUR",24,IF(M41="NOT LISTED",-18,0))+IF(N41="ALLOY FAMILY",14,IF(N41="CORROSION CONTROL",-13,0))+IF(O41="CLAIMED",17,IF(O41="NOT LISTED",-14,0))+IF(K41="Yes",-15,0)+IF('WELL INPUTS'!$B$10="Yes",-17,0)))</x:f>
        <x:v>56</x:v>
      </x:c>
      <x:c r="R41" s="83" t="str">
        <x:f>IF(L41="BELOW","EXCLUDE — STRENGTH",IF(P41="OVER CAP","EXCLUDE — COST",IF(K41="Yes",IF('WELL INPUTS'!$B$14="No","EXCLUDE — REFERENCE","REFERENCE ONLY"),IF(OR(L41="UNKNOWN",M41="NOT LISTED",N41="CORROSION CONTROL",O41="NOT LISTED",'WELL INPUTS'!$B$10="Yes",'WELL INPUTS'!$B$4="Unknown"),"REVIEW","CANDIDATE — VERIFY"))))</x:f>
        <x:v>EXCLUDE — REFERENCE</x:v>
      </x:c>
      <x:c r="S41" t="str">
        <x:f>IF(L41="BELOW","Increase minimum grade strength",IF(P41="OVER CAP","Relax cost tier or exclude",IF(K41="Yes","Identify qualified manufacturer grade",IF(M41="NOT LISTED","Confirm sour-service claim and ISO 15156",IF(O41="NOT LISTED","Obtain manufacturer collapse curve",IF(N41="CORROSION CONTROL","Model CO2 corrosion; review inhibition","Confirm corrosion, cracking, loads and connection"))))))</x:f>
        <x:v>Identify qualified manufacturer grade</x:v>
      </x:c>
      <x:c r="T41" t="str">
        <x:v>https://www.api.org/-/media/Files/Certification/Monogram-APIQR/0_API-Monogram-APIQR/LIFs/API_5CRA_Licensing_Information_Form_20230821.pdf</x:v>
      </x:c>
    </x:row>
    <x:row r="42" ht="23" customHeight="1">
      <x:c r="A42" t="str">
        <x:v>OCTG-0041</x:v>
      </x:c>
      <x:c r="B42" t="str">
        <x:v>API reference</x:v>
      </x:c>
      <x:c r="C42" t="str">
        <x:v>25-50-6 / N06255 / 110</x:v>
      </x:c>
      <x:c r="D42" t="str">
        <x:v>Ni-base CRA</x:v>
      </x:c>
      <x:c r="E42" t="str">
        <x:v>Severe CO2 / H2S / chloride (qualify)</x:v>
      </x:c>
      <x:c r="F42" s="82" t="n">
        <x:v>110</x:v>
      </x:c>
      <x:c r="G42" t="str">
        <x:v>No</x:v>
      </x:c>
      <x:c r="H42" t="str">
        <x:v>I</x:v>
      </x:c>
      <x:c r="I42" t="str">
        <x:v>Yes</x:v>
      </x:c>
      <x:c r="J42" t="str">
        <x:v>Yes</x:v>
      </x:c>
      <x:c r="K42" t="str">
        <x:v>Yes</x:v>
      </x:c>
      <x:c r="L42" t="str">
        <x:f>IF(F42="","UNKNOWN",IF(F42&lt;'WELL INPUTS'!$B$11,"BELOW","OK"))</x:f>
        <x:v>OK</x:v>
      </x:c>
      <x:c r="M42" t="str">
        <x:f>IF(AND('WELL INPUTS'!$B$4="Wet",'WELL INPUTS'!$B$5&gt;0),IF(I42="Yes","CATALOG SOUR","NOT LISTED"),"N/A")</x:f>
        <x:v>N/A</x:v>
      </x:c>
      <x:c r="N42" t="str">
        <x:f>IF(AND('WELL INPUTS'!$B$4="Wet",'WELL INPUTS'!$B$6&gt;0),IF(J42="Yes","ALLOY FAMILY","CORROSION CONTROL"),"N/A")</x:f>
        <x:v>ALLOY FAMILY</x:v>
      </x:c>
      <x:c r="O42" t="str">
        <x:f>IF('WELL INPUTS'!$B$12="Yes",IF(G42="Yes","CLAIMED","NOT LISTED"),"N/A")</x:f>
        <x:v>N/A</x:v>
      </x:c>
      <x:c r="P42" t="str">
        <x:f>IF(OR('WELL INPUTS'!$B$13="Unrestricted",CODE(H42)&lt;=CODE('WELL INPUTS'!$B$13)),"WITHIN TIER","OVER CAP")</x:f>
        <x:v>WITHIN TIER</x:v>
      </x:c>
      <x:c r="Q42" t="n">
        <x:f>MAX(0,MIN(100,43+IF(L42="OK",14,-20)+IF(M42="CATALOG SOUR",24,IF(M42="NOT LISTED",-18,0))+IF(N42="ALLOY FAMILY",14,IF(N42="CORROSION CONTROL",-13,0))+IF(O42="CLAIMED",17,IF(O42="NOT LISTED",-14,0))+IF(K42="Yes",-15,0)+IF('WELL INPUTS'!$B$10="Yes",-17,0)))</x:f>
        <x:v>56</x:v>
      </x:c>
      <x:c r="R42" s="83" t="str">
        <x:f>IF(L42="BELOW","EXCLUDE — STRENGTH",IF(P42="OVER CAP","EXCLUDE — COST",IF(K42="Yes",IF('WELL INPUTS'!$B$14="No","EXCLUDE — REFERENCE","REFERENCE ONLY"),IF(OR(L42="UNKNOWN",M42="NOT LISTED",N42="CORROSION CONTROL",O42="NOT LISTED",'WELL INPUTS'!$B$10="Yes",'WELL INPUTS'!$B$4="Unknown"),"REVIEW","CANDIDATE — VERIFY"))))</x:f>
        <x:v>EXCLUDE — REFERENCE</x:v>
      </x:c>
      <x:c r="S42" t="str">
        <x:f>IF(L42="BELOW","Increase minimum grade strength",IF(P42="OVER CAP","Relax cost tier or exclude",IF(K42="Yes","Identify qualified manufacturer grade",IF(M42="NOT LISTED","Confirm sour-service claim and ISO 15156",IF(O42="NOT LISTED","Obtain manufacturer collapse curve",IF(N42="CORROSION CONTROL","Model CO2 corrosion; review inhibition","Confirm corrosion, cracking, loads and connection"))))))</x:f>
        <x:v>Identify qualified manufacturer grade</x:v>
      </x:c>
      <x:c r="T42" t="str">
        <x:v>https://www.api.org/-/media/Files/Certification/Monogram-APIQR/0_API-Monogram-APIQR/LIFs/API_5CRA_Licensing_Information_Form_20230821.pdf</x:v>
      </x:c>
    </x:row>
    <x:row r="43" ht="23" customHeight="1">
      <x:c r="A43" t="str">
        <x:v>OCTG-0042</x:v>
      </x:c>
      <x:c r="B43" t="str">
        <x:v>API reference</x:v>
      </x:c>
      <x:c r="C43" t="str">
        <x:v>25-50-6 / N06255 / 125</x:v>
      </x:c>
      <x:c r="D43" t="str">
        <x:v>Ni-base CRA</x:v>
      </x:c>
      <x:c r="E43" t="str">
        <x:v>Severe CO2 / H2S / chloride (qualify)</x:v>
      </x:c>
      <x:c r="F43" s="82" t="n">
        <x:v>125</x:v>
      </x:c>
      <x:c r="G43" t="str">
        <x:v>No</x:v>
      </x:c>
      <x:c r="H43" t="str">
        <x:v>I</x:v>
      </x:c>
      <x:c r="I43" t="str">
        <x:v>Yes</x:v>
      </x:c>
      <x:c r="J43" t="str">
        <x:v>Yes</x:v>
      </x:c>
      <x:c r="K43" t="str">
        <x:v>Yes</x:v>
      </x:c>
      <x:c r="L43" t="str">
        <x:f>IF(F43="","UNKNOWN",IF(F43&lt;'WELL INPUTS'!$B$11,"BELOW","OK"))</x:f>
        <x:v>OK</x:v>
      </x:c>
      <x:c r="M43" t="str">
        <x:f>IF(AND('WELL INPUTS'!$B$4="Wet",'WELL INPUTS'!$B$5&gt;0),IF(I43="Yes","CATALOG SOUR","NOT LISTED"),"N/A")</x:f>
        <x:v>N/A</x:v>
      </x:c>
      <x:c r="N43" t="str">
        <x:f>IF(AND('WELL INPUTS'!$B$4="Wet",'WELL INPUTS'!$B$6&gt;0),IF(J43="Yes","ALLOY FAMILY","CORROSION CONTROL"),"N/A")</x:f>
        <x:v>ALLOY FAMILY</x:v>
      </x:c>
      <x:c r="O43" t="str">
        <x:f>IF('WELL INPUTS'!$B$12="Yes",IF(G43="Yes","CLAIMED","NOT LISTED"),"N/A")</x:f>
        <x:v>N/A</x:v>
      </x:c>
      <x:c r="P43" t="str">
        <x:f>IF(OR('WELL INPUTS'!$B$13="Unrestricted",CODE(H43)&lt;=CODE('WELL INPUTS'!$B$13)),"WITHIN TIER","OVER CAP")</x:f>
        <x:v>WITHIN TIER</x:v>
      </x:c>
      <x:c r="Q43" t="n">
        <x:f>MAX(0,MIN(100,43+IF(L43="OK",14,-20)+IF(M43="CATALOG SOUR",24,IF(M43="NOT LISTED",-18,0))+IF(N43="ALLOY FAMILY",14,IF(N43="CORROSION CONTROL",-13,0))+IF(O43="CLAIMED",17,IF(O43="NOT LISTED",-14,0))+IF(K43="Yes",-15,0)+IF('WELL INPUTS'!$B$10="Yes",-17,0)))</x:f>
        <x:v>56</x:v>
      </x:c>
      <x:c r="R43" s="83" t="str">
        <x:f>IF(L43="BELOW","EXCLUDE — STRENGTH",IF(P43="OVER CAP","EXCLUDE — COST",IF(K43="Yes",IF('WELL INPUTS'!$B$14="No","EXCLUDE — REFERENCE","REFERENCE ONLY"),IF(OR(L43="UNKNOWN",M43="NOT LISTED",N43="CORROSION CONTROL",O43="NOT LISTED",'WELL INPUTS'!$B$10="Yes",'WELL INPUTS'!$B$4="Unknown"),"REVIEW","CANDIDATE — VERIFY"))))</x:f>
        <x:v>EXCLUDE — REFERENCE</x:v>
      </x:c>
      <x:c r="S43" t="str">
        <x:f>IF(L43="BELOW","Increase minimum grade strength",IF(P43="OVER CAP","Relax cost tier or exclude",IF(K43="Yes","Identify qualified manufacturer grade",IF(M43="NOT LISTED","Confirm sour-service claim and ISO 15156",IF(O43="NOT LISTED","Obtain manufacturer collapse curve",IF(N43="CORROSION CONTROL","Model CO2 corrosion; review inhibition","Confirm corrosion, cracking, loads and connection"))))))</x:f>
        <x:v>Identify qualified manufacturer grade</x:v>
      </x:c>
      <x:c r="T43" t="str">
        <x:v>https://www.api.org/-/media/Files/Certification/Monogram-APIQR/0_API-Monogram-APIQR/LIFs/API_5CRA_Licensing_Information_Form_20230821.pdf</x:v>
      </x:c>
    </x:row>
    <x:row r="44" ht="23" customHeight="1">
      <x:c r="A44" t="str">
        <x:v>OCTG-0043</x:v>
      </x:c>
      <x:c r="B44" t="str">
        <x:v>API reference</x:v>
      </x:c>
      <x:c r="C44" t="str">
        <x:v>25-50-6 / N06975 / 110</x:v>
      </x:c>
      <x:c r="D44" t="str">
        <x:v>Ni-base CRA</x:v>
      </x:c>
      <x:c r="E44" t="str">
        <x:v>Severe CO2 / H2S / chloride (qualify)</x:v>
      </x:c>
      <x:c r="F44" s="82" t="n">
        <x:v>110</x:v>
      </x:c>
      <x:c r="G44" t="str">
        <x:v>No</x:v>
      </x:c>
      <x:c r="H44" t="str">
        <x:v>I</x:v>
      </x:c>
      <x:c r="I44" t="str">
        <x:v>Yes</x:v>
      </x:c>
      <x:c r="J44" t="str">
        <x:v>Yes</x:v>
      </x:c>
      <x:c r="K44" t="str">
        <x:v>Yes</x:v>
      </x:c>
      <x:c r="L44" t="str">
        <x:f>IF(F44="","UNKNOWN",IF(F44&lt;'WELL INPUTS'!$B$11,"BELOW","OK"))</x:f>
        <x:v>OK</x:v>
      </x:c>
      <x:c r="M44" t="str">
        <x:f>IF(AND('WELL INPUTS'!$B$4="Wet",'WELL INPUTS'!$B$5&gt;0),IF(I44="Yes","CATALOG SOUR","NOT LISTED"),"N/A")</x:f>
        <x:v>N/A</x:v>
      </x:c>
      <x:c r="N44" t="str">
        <x:f>IF(AND('WELL INPUTS'!$B$4="Wet",'WELL INPUTS'!$B$6&gt;0),IF(J44="Yes","ALLOY FAMILY","CORROSION CONTROL"),"N/A")</x:f>
        <x:v>ALLOY FAMILY</x:v>
      </x:c>
      <x:c r="O44" t="str">
        <x:f>IF('WELL INPUTS'!$B$12="Yes",IF(G44="Yes","CLAIMED","NOT LISTED"),"N/A")</x:f>
        <x:v>N/A</x:v>
      </x:c>
      <x:c r="P44" t="str">
        <x:f>IF(OR('WELL INPUTS'!$B$13="Unrestricted",CODE(H44)&lt;=CODE('WELL INPUTS'!$B$13)),"WITHIN TIER","OVER CAP")</x:f>
        <x:v>WITHIN TIER</x:v>
      </x:c>
      <x:c r="Q44" t="n">
        <x:f>MAX(0,MIN(100,43+IF(L44="OK",14,-20)+IF(M44="CATALOG SOUR",24,IF(M44="NOT LISTED",-18,0))+IF(N44="ALLOY FAMILY",14,IF(N44="CORROSION CONTROL",-13,0))+IF(O44="CLAIMED",17,IF(O44="NOT LISTED",-14,0))+IF(K44="Yes",-15,0)+IF('WELL INPUTS'!$B$10="Yes",-17,0)))</x:f>
        <x:v>56</x:v>
      </x:c>
      <x:c r="R44" s="83" t="str">
        <x:f>IF(L44="BELOW","EXCLUDE — STRENGTH",IF(P44="OVER CAP","EXCLUDE — COST",IF(K44="Yes",IF('WELL INPUTS'!$B$14="No","EXCLUDE — REFERENCE","REFERENCE ONLY"),IF(OR(L44="UNKNOWN",M44="NOT LISTED",N44="CORROSION CONTROL",O44="NOT LISTED",'WELL INPUTS'!$B$10="Yes",'WELL INPUTS'!$B$4="Unknown"),"REVIEW","CANDIDATE — VERIFY"))))</x:f>
        <x:v>EXCLUDE — REFERENCE</x:v>
      </x:c>
      <x:c r="S44" t="str">
        <x:f>IF(L44="BELOW","Increase minimum grade strength",IF(P44="OVER CAP","Relax cost tier or exclude",IF(K44="Yes","Identify qualified manufacturer grade",IF(M44="NOT LISTED","Confirm sour-service claim and ISO 15156",IF(O44="NOT LISTED","Obtain manufacturer collapse curve",IF(N44="CORROSION CONTROL","Model CO2 corrosion; review inhibition","Confirm corrosion, cracking, loads and connection"))))))</x:f>
        <x:v>Identify qualified manufacturer grade</x:v>
      </x:c>
      <x:c r="T44" t="str">
        <x:v>https://www.api.org/-/media/Files/Certification/Monogram-APIQR/0_API-Monogram-APIQR/LIFs/API_5CRA_Licensing_Information_Form_20230821.pdf</x:v>
      </x:c>
    </x:row>
    <x:row r="45" ht="23" customHeight="1">
      <x:c r="A45" t="str">
        <x:v>OCTG-0044</x:v>
      </x:c>
      <x:c r="B45" t="str">
        <x:v>API reference</x:v>
      </x:c>
      <x:c r="C45" t="str">
        <x:v>25-50-6 / N06975 / 125</x:v>
      </x:c>
      <x:c r="D45" t="str">
        <x:v>Ni-base CRA</x:v>
      </x:c>
      <x:c r="E45" t="str">
        <x:v>Severe CO2 / H2S / chloride (qualify)</x:v>
      </x:c>
      <x:c r="F45" s="82" t="n">
        <x:v>125</x:v>
      </x:c>
      <x:c r="G45" t="str">
        <x:v>No</x:v>
      </x:c>
      <x:c r="H45" t="str">
        <x:v>I</x:v>
      </x:c>
      <x:c r="I45" t="str">
        <x:v>Yes</x:v>
      </x:c>
      <x:c r="J45" t="str">
        <x:v>Yes</x:v>
      </x:c>
      <x:c r="K45" t="str">
        <x:v>Yes</x:v>
      </x:c>
      <x:c r="L45" t="str">
        <x:f>IF(F45="","UNKNOWN",IF(F45&lt;'WELL INPUTS'!$B$11,"BELOW","OK"))</x:f>
        <x:v>OK</x:v>
      </x:c>
      <x:c r="M45" t="str">
        <x:f>IF(AND('WELL INPUTS'!$B$4="Wet",'WELL INPUTS'!$B$5&gt;0),IF(I45="Yes","CATALOG SOUR","NOT LISTED"),"N/A")</x:f>
        <x:v>N/A</x:v>
      </x:c>
      <x:c r="N45" t="str">
        <x:f>IF(AND('WELL INPUTS'!$B$4="Wet",'WELL INPUTS'!$B$6&gt;0),IF(J45="Yes","ALLOY FAMILY","CORROSION CONTROL"),"N/A")</x:f>
        <x:v>ALLOY FAMILY</x:v>
      </x:c>
      <x:c r="O45" t="str">
        <x:f>IF('WELL INPUTS'!$B$12="Yes",IF(G45="Yes","CLAIMED","NOT LISTED"),"N/A")</x:f>
        <x:v>N/A</x:v>
      </x:c>
      <x:c r="P45" t="str">
        <x:f>IF(OR('WELL INPUTS'!$B$13="Unrestricted",CODE(H45)&lt;=CODE('WELL INPUTS'!$B$13)),"WITHIN TIER","OVER CAP")</x:f>
        <x:v>WITHIN TIER</x:v>
      </x:c>
      <x:c r="Q45" t="n">
        <x:f>MAX(0,MIN(100,43+IF(L45="OK",14,-20)+IF(M45="CATALOG SOUR",24,IF(M45="NOT LISTED",-18,0))+IF(N45="ALLOY FAMILY",14,IF(N45="CORROSION CONTROL",-13,0))+IF(O45="CLAIMED",17,IF(O45="NOT LISTED",-14,0))+IF(K45="Yes",-15,0)+IF('WELL INPUTS'!$B$10="Yes",-17,0)))</x:f>
        <x:v>56</x:v>
      </x:c>
      <x:c r="R45" s="83" t="str">
        <x:f>IF(L45="BELOW","EXCLUDE — STRENGTH",IF(P45="OVER CAP","EXCLUDE — COST",IF(K45="Yes",IF('WELL INPUTS'!$B$14="No","EXCLUDE — REFERENCE","REFERENCE ONLY"),IF(OR(L45="UNKNOWN",M45="NOT LISTED",N45="CORROSION CONTROL",O45="NOT LISTED",'WELL INPUTS'!$B$10="Yes",'WELL INPUTS'!$B$4="Unknown"),"REVIEW","CANDIDATE — VERIFY"))))</x:f>
        <x:v>EXCLUDE — REFERENCE</x:v>
      </x:c>
      <x:c r="S45" t="str">
        <x:f>IF(L45="BELOW","Increase minimum grade strength",IF(P45="OVER CAP","Relax cost tier or exclude",IF(K45="Yes","Identify qualified manufacturer grade",IF(M45="NOT LISTED","Confirm sour-service claim and ISO 15156",IF(O45="NOT LISTED","Obtain manufacturer collapse curve",IF(N45="CORROSION CONTROL","Model CO2 corrosion; review inhibition","Confirm corrosion, cracking, loads and connection"))))))</x:f>
        <x:v>Identify qualified manufacturer grade</x:v>
      </x:c>
      <x:c r="T45" t="str">
        <x:v>https://www.api.org/-/media/Files/Certification/Monogram-APIQR/0_API-Monogram-APIQR/LIFs/API_5CRA_Licensing_Information_Form_20230821.pdf</x:v>
      </x:c>
    </x:row>
    <x:row r="46" ht="23" customHeight="1">
      <x:c r="A46" t="str">
        <x:v>OCTG-0045</x:v>
      </x:c>
      <x:c r="B46" t="str">
        <x:v>API reference</x:v>
      </x:c>
      <x:c r="C46" t="str">
        <x:v>25-7-3 / S31260 / 110</x:v>
      </x:c>
      <x:c r="D46" t="str">
        <x:v>Super duplex 25Cr</x:v>
      </x:c>
      <x:c r="E46" t="str">
        <x:v>High CO2 / chloride, project-qualified sour</x:v>
      </x:c>
      <x:c r="F46" s="82" t="n">
        <x:v>110</x:v>
      </x:c>
      <x:c r="G46" t="str">
        <x:v>No</x:v>
      </x:c>
      <x:c r="H46" t="str">
        <x:v>G</x:v>
      </x:c>
      <x:c r="I46" t="str">
        <x:v>Yes</x:v>
      </x:c>
      <x:c r="J46" t="str">
        <x:v>Yes</x:v>
      </x:c>
      <x:c r="K46" t="str">
        <x:v>Yes</x:v>
      </x:c>
      <x:c r="L46" t="str">
        <x:f>IF(F46="","UNKNOWN",IF(F46&lt;'WELL INPUTS'!$B$11,"BELOW","OK"))</x:f>
        <x:v>OK</x:v>
      </x:c>
      <x:c r="M46" t="str">
        <x:f>IF(AND('WELL INPUTS'!$B$4="Wet",'WELL INPUTS'!$B$5&gt;0),IF(I46="Yes","CATALOG SOUR","NOT LISTED"),"N/A")</x:f>
        <x:v>N/A</x:v>
      </x:c>
      <x:c r="N46" t="str">
        <x:f>IF(AND('WELL INPUTS'!$B$4="Wet",'WELL INPUTS'!$B$6&gt;0),IF(J46="Yes","ALLOY FAMILY","CORROSION CONTROL"),"N/A")</x:f>
        <x:v>ALLOY FAMILY</x:v>
      </x:c>
      <x:c r="O46" t="str">
        <x:f>IF('WELL INPUTS'!$B$12="Yes",IF(G46="Yes","CLAIMED","NOT LISTED"),"N/A")</x:f>
        <x:v>N/A</x:v>
      </x:c>
      <x:c r="P46" t="str">
        <x:f>IF(OR('WELL INPUTS'!$B$13="Unrestricted",CODE(H46)&lt;=CODE('WELL INPUTS'!$B$13)),"WITHIN TIER","OVER CAP")</x:f>
        <x:v>WITHIN TIER</x:v>
      </x:c>
      <x:c r="Q46" t="n">
        <x:f>MAX(0,MIN(100,43+IF(L46="OK",14,-20)+IF(M46="CATALOG SOUR",24,IF(M46="NOT LISTED",-18,0))+IF(N46="ALLOY FAMILY",14,IF(N46="CORROSION CONTROL",-13,0))+IF(O46="CLAIMED",17,IF(O46="NOT LISTED",-14,0))+IF(K46="Yes",-15,0)+IF('WELL INPUTS'!$B$10="Yes",-17,0)))</x:f>
        <x:v>56</x:v>
      </x:c>
      <x:c r="R46" s="83" t="str">
        <x:f>IF(L46="BELOW","EXCLUDE — STRENGTH",IF(P46="OVER CAP","EXCLUDE — COST",IF(K46="Yes",IF('WELL INPUTS'!$B$14="No","EXCLUDE — REFERENCE","REFERENCE ONLY"),IF(OR(L46="UNKNOWN",M46="NOT LISTED",N46="CORROSION CONTROL",O46="NOT LISTED",'WELL INPUTS'!$B$10="Yes",'WELL INPUTS'!$B$4="Unknown"),"REVIEW","CANDIDATE — VERIFY"))))</x:f>
        <x:v>EXCLUDE — REFERENCE</x:v>
      </x:c>
      <x:c r="S46" t="str">
        <x:f>IF(L46="BELOW","Increase minimum grade strength",IF(P46="OVER CAP","Relax cost tier or exclude",IF(K46="Yes","Identify qualified manufacturer grade",IF(M46="NOT LISTED","Confirm sour-service claim and ISO 15156",IF(O46="NOT LISTED","Obtain manufacturer collapse curve",IF(N46="CORROSION CONTROL","Model CO2 corrosion; review inhibition","Confirm corrosion, cracking, loads and connection"))))))</x:f>
        <x:v>Identify qualified manufacturer grade</x:v>
      </x:c>
      <x:c r="T46" t="str">
        <x:v>https://www.api.org/-/media/Files/Certification/Monogram-APIQR/0_API-Monogram-APIQR/LIFs/API_5CRA_Licensing_Information_Form_20230821.pdf</x:v>
      </x:c>
    </x:row>
    <x:row r="47" ht="23" customHeight="1">
      <x:c r="A47" t="str">
        <x:v>OCTG-0046</x:v>
      </x:c>
      <x:c r="B47" t="str">
        <x:v>API reference</x:v>
      </x:c>
      <x:c r="C47" t="str">
        <x:v>25-7-3 / S31260 / 125</x:v>
      </x:c>
      <x:c r="D47" t="str">
        <x:v>Super duplex 25Cr</x:v>
      </x:c>
      <x:c r="E47" t="str">
        <x:v>High CO2 / chloride, project-qualified sour</x:v>
      </x:c>
      <x:c r="F47" s="82" t="n">
        <x:v>125</x:v>
      </x:c>
      <x:c r="G47" t="str">
        <x:v>No</x:v>
      </x:c>
      <x:c r="H47" t="str">
        <x:v>G</x:v>
      </x:c>
      <x:c r="I47" t="str">
        <x:v>Yes</x:v>
      </x:c>
      <x:c r="J47" t="str">
        <x:v>Yes</x:v>
      </x:c>
      <x:c r="K47" t="str">
        <x:v>Yes</x:v>
      </x:c>
      <x:c r="L47" t="str">
        <x:f>IF(F47="","UNKNOWN",IF(F47&lt;'WELL INPUTS'!$B$11,"BELOW","OK"))</x:f>
        <x:v>OK</x:v>
      </x:c>
      <x:c r="M47" t="str">
        <x:f>IF(AND('WELL INPUTS'!$B$4="Wet",'WELL INPUTS'!$B$5&gt;0),IF(I47="Yes","CATALOG SOUR","NOT LISTED"),"N/A")</x:f>
        <x:v>N/A</x:v>
      </x:c>
      <x:c r="N47" t="str">
        <x:f>IF(AND('WELL INPUTS'!$B$4="Wet",'WELL INPUTS'!$B$6&gt;0),IF(J47="Yes","ALLOY FAMILY","CORROSION CONTROL"),"N/A")</x:f>
        <x:v>ALLOY FAMILY</x:v>
      </x:c>
      <x:c r="O47" t="str">
        <x:f>IF('WELL INPUTS'!$B$12="Yes",IF(G47="Yes","CLAIMED","NOT LISTED"),"N/A")</x:f>
        <x:v>N/A</x:v>
      </x:c>
      <x:c r="P47" t="str">
        <x:f>IF(OR('WELL INPUTS'!$B$13="Unrestricted",CODE(H47)&lt;=CODE('WELL INPUTS'!$B$13)),"WITHIN TIER","OVER CAP")</x:f>
        <x:v>WITHIN TIER</x:v>
      </x:c>
      <x:c r="Q47" t="n">
        <x:f>MAX(0,MIN(100,43+IF(L47="OK",14,-20)+IF(M47="CATALOG SOUR",24,IF(M47="NOT LISTED",-18,0))+IF(N47="ALLOY FAMILY",14,IF(N47="CORROSION CONTROL",-13,0))+IF(O47="CLAIMED",17,IF(O47="NOT LISTED",-14,0))+IF(K47="Yes",-15,0)+IF('WELL INPUTS'!$B$10="Yes",-17,0)))</x:f>
        <x:v>56</x:v>
      </x:c>
      <x:c r="R47" s="83" t="str">
        <x:f>IF(L47="BELOW","EXCLUDE — STRENGTH",IF(P47="OVER CAP","EXCLUDE — COST",IF(K47="Yes",IF('WELL INPUTS'!$B$14="No","EXCLUDE — REFERENCE","REFERENCE ONLY"),IF(OR(L47="UNKNOWN",M47="NOT LISTED",N47="CORROSION CONTROL",O47="NOT LISTED",'WELL INPUTS'!$B$10="Yes",'WELL INPUTS'!$B$4="Unknown"),"REVIEW","CANDIDATE — VERIFY"))))</x:f>
        <x:v>EXCLUDE — REFERENCE</x:v>
      </x:c>
      <x:c r="S47" t="str">
        <x:f>IF(L47="BELOW","Increase minimum grade strength",IF(P47="OVER CAP","Relax cost tier or exclude",IF(K47="Yes","Identify qualified manufacturer grade",IF(M47="NOT LISTED","Confirm sour-service claim and ISO 15156",IF(O47="NOT LISTED","Obtain manufacturer collapse curve",IF(N47="CORROSION CONTROL","Model CO2 corrosion; review inhibition","Confirm corrosion, cracking, loads and connection"))))))</x:f>
        <x:v>Identify qualified manufacturer grade</x:v>
      </x:c>
      <x:c r="T47" t="str">
        <x:v>https://www.api.org/-/media/Files/Certification/Monogram-APIQR/0_API-Monogram-APIQR/LIFs/API_5CRA_Licensing_Information_Form_20230821.pdf</x:v>
      </x:c>
    </x:row>
    <x:row r="48" ht="23" customHeight="1">
      <x:c r="A48" t="str">
        <x:v>OCTG-0047</x:v>
      </x:c>
      <x:c r="B48" t="str">
        <x:v>API reference</x:v>
      </x:c>
      <x:c r="C48" t="str">
        <x:v>25-7-3 / S31260 / 75</x:v>
      </x:c>
      <x:c r="D48" t="str">
        <x:v>Super duplex 25Cr</x:v>
      </x:c>
      <x:c r="E48" t="str">
        <x:v>High CO2 / chloride, project-qualified sour</x:v>
      </x:c>
      <x:c r="F48" s="82" t="n">
        <x:v>75</x:v>
      </x:c>
      <x:c r="G48" t="str">
        <x:v>No</x:v>
      </x:c>
      <x:c r="H48" t="str">
        <x:v>G</x:v>
      </x:c>
      <x:c r="I48" t="str">
        <x:v>Yes</x:v>
      </x:c>
      <x:c r="J48" t="str">
        <x:v>Yes</x:v>
      </x:c>
      <x:c r="K48" t="str">
        <x:v>Yes</x:v>
      </x:c>
      <x:c r="L48" t="str">
        <x:f>IF(F48="","UNKNOWN",IF(F48&lt;'WELL INPUTS'!$B$11,"BELOW","OK"))</x:f>
        <x:v>BELOW</x:v>
      </x:c>
      <x:c r="M48" t="str">
        <x:f>IF(AND('WELL INPUTS'!$B$4="Wet",'WELL INPUTS'!$B$5&gt;0),IF(I48="Yes","CATALOG SOUR","NOT LISTED"),"N/A")</x:f>
        <x:v>N/A</x:v>
      </x:c>
      <x:c r="N48" t="str">
        <x:f>IF(AND('WELL INPUTS'!$B$4="Wet",'WELL INPUTS'!$B$6&gt;0),IF(J48="Yes","ALLOY FAMILY","CORROSION CONTROL"),"N/A")</x:f>
        <x:v>ALLOY FAMILY</x:v>
      </x:c>
      <x:c r="O48" t="str">
        <x:f>IF('WELL INPUTS'!$B$12="Yes",IF(G48="Yes","CLAIMED","NOT LISTED"),"N/A")</x:f>
        <x:v>N/A</x:v>
      </x:c>
      <x:c r="P48" t="str">
        <x:f>IF(OR('WELL INPUTS'!$B$13="Unrestricted",CODE(H48)&lt;=CODE('WELL INPUTS'!$B$13)),"WITHIN TIER","OVER CAP")</x:f>
        <x:v>WITHIN TIER</x:v>
      </x:c>
      <x:c r="Q48" t="n">
        <x:f>MAX(0,MIN(100,43+IF(L48="OK",14,-20)+IF(M48="CATALOG SOUR",24,IF(M48="NOT LISTED",-18,0))+IF(N48="ALLOY FAMILY",14,IF(N48="CORROSION CONTROL",-13,0))+IF(O48="CLAIMED",17,IF(O48="NOT LISTED",-14,0))+IF(K48="Yes",-15,0)+IF('WELL INPUTS'!$B$10="Yes",-17,0)))</x:f>
        <x:v>22</x:v>
      </x:c>
      <x:c r="R48" s="83" t="str">
        <x:f>IF(L48="BELOW","EXCLUDE — STRENGTH",IF(P48="OVER CAP","EXCLUDE — COST",IF(K48="Yes",IF('WELL INPUTS'!$B$14="No","EXCLUDE — REFERENCE","REFERENCE ONLY"),IF(OR(L48="UNKNOWN",M48="NOT LISTED",N48="CORROSION CONTROL",O48="NOT LISTED",'WELL INPUTS'!$B$10="Yes",'WELL INPUTS'!$B$4="Unknown"),"REVIEW","CANDIDATE — VERIFY"))))</x:f>
        <x:v>EXCLUDE — STRENGTH</x:v>
      </x:c>
      <x:c r="S48" t="str">
        <x:f>IF(L48="BELOW","Increase minimum grade strength",IF(P48="OVER CAP","Relax cost tier or exclude",IF(K48="Yes","Identify qualified manufacturer grade",IF(M48="NOT LISTED","Confirm sour-service claim and ISO 15156",IF(O48="NOT LISTED","Obtain manufacturer collapse curve",IF(N48="CORROSION CONTROL","Model CO2 corrosion; review inhibition","Confirm corrosion, cracking, loads and connection"))))))</x:f>
        <x:v>Increase minimum grade strength</x:v>
      </x:c>
      <x:c r="T48" t="str">
        <x:v>https://www.api.org/-/media/Files/Certification/Monogram-APIQR/0_API-Monogram-APIQR/LIFs/API_5CRA_Licensing_Information_Form_20230821.pdf</x:v>
      </x:c>
    </x:row>
    <x:row r="49" ht="23" customHeight="1">
      <x:c r="A49" t="str">
        <x:v>OCTG-0048</x:v>
      </x:c>
      <x:c r="B49" t="str">
        <x:v>API reference</x:v>
      </x:c>
      <x:c r="C49" t="str">
        <x:v>25-7-4 / S32750 / 110</x:v>
      </x:c>
      <x:c r="D49" t="str">
        <x:v>Super duplex 25Cr</x:v>
      </x:c>
      <x:c r="E49" t="str">
        <x:v>High CO2 / chloride, project-qualified sour</x:v>
      </x:c>
      <x:c r="F49" s="82" t="n">
        <x:v>110</x:v>
      </x:c>
      <x:c r="G49" t="str">
        <x:v>No</x:v>
      </x:c>
      <x:c r="H49" t="str">
        <x:v>G</x:v>
      </x:c>
      <x:c r="I49" t="str">
        <x:v>Yes</x:v>
      </x:c>
      <x:c r="J49" t="str">
        <x:v>Yes</x:v>
      </x:c>
      <x:c r="K49" t="str">
        <x:v>Yes</x:v>
      </x:c>
      <x:c r="L49" t="str">
        <x:f>IF(F49="","UNKNOWN",IF(F49&lt;'WELL INPUTS'!$B$11,"BELOW","OK"))</x:f>
        <x:v>OK</x:v>
      </x:c>
      <x:c r="M49" t="str">
        <x:f>IF(AND('WELL INPUTS'!$B$4="Wet",'WELL INPUTS'!$B$5&gt;0),IF(I49="Yes","CATALOG SOUR","NOT LISTED"),"N/A")</x:f>
        <x:v>N/A</x:v>
      </x:c>
      <x:c r="N49" t="str">
        <x:f>IF(AND('WELL INPUTS'!$B$4="Wet",'WELL INPUTS'!$B$6&gt;0),IF(J49="Yes","ALLOY FAMILY","CORROSION CONTROL"),"N/A")</x:f>
        <x:v>ALLOY FAMILY</x:v>
      </x:c>
      <x:c r="O49" t="str">
        <x:f>IF('WELL INPUTS'!$B$12="Yes",IF(G49="Yes","CLAIMED","NOT LISTED"),"N/A")</x:f>
        <x:v>N/A</x:v>
      </x:c>
      <x:c r="P49" t="str">
        <x:f>IF(OR('WELL INPUTS'!$B$13="Unrestricted",CODE(H49)&lt;=CODE('WELL INPUTS'!$B$13)),"WITHIN TIER","OVER CAP")</x:f>
        <x:v>WITHIN TIER</x:v>
      </x:c>
      <x:c r="Q49" t="n">
        <x:f>MAX(0,MIN(100,43+IF(L49="OK",14,-20)+IF(M49="CATALOG SOUR",24,IF(M49="NOT LISTED",-18,0))+IF(N49="ALLOY FAMILY",14,IF(N49="CORROSION CONTROL",-13,0))+IF(O49="CLAIMED",17,IF(O49="NOT LISTED",-14,0))+IF(K49="Yes",-15,0)+IF('WELL INPUTS'!$B$10="Yes",-17,0)))</x:f>
        <x:v>56</x:v>
      </x:c>
      <x:c r="R49" s="83" t="str">
        <x:f>IF(L49="BELOW","EXCLUDE — STRENGTH",IF(P49="OVER CAP","EXCLUDE — COST",IF(K49="Yes",IF('WELL INPUTS'!$B$14="No","EXCLUDE — REFERENCE","REFERENCE ONLY"),IF(OR(L49="UNKNOWN",M49="NOT LISTED",N49="CORROSION CONTROL",O49="NOT LISTED",'WELL INPUTS'!$B$10="Yes",'WELL INPUTS'!$B$4="Unknown"),"REVIEW","CANDIDATE — VERIFY"))))</x:f>
        <x:v>EXCLUDE — REFERENCE</x:v>
      </x:c>
      <x:c r="S49" t="str">
        <x:f>IF(L49="BELOW","Increase minimum grade strength",IF(P49="OVER CAP","Relax cost tier or exclude",IF(K49="Yes","Identify qualified manufacturer grade",IF(M49="NOT LISTED","Confirm sour-service claim and ISO 15156",IF(O49="NOT LISTED","Obtain manufacturer collapse curve",IF(N49="CORROSION CONTROL","Model CO2 corrosion; review inhibition","Confirm corrosion, cracking, loads and connection"))))))</x:f>
        <x:v>Identify qualified manufacturer grade</x:v>
      </x:c>
      <x:c r="T49" t="str">
        <x:v>https://www.api.org/-/media/Files/Certification/Monogram-APIQR/0_API-Monogram-APIQR/LIFs/API_5CRA_Licensing_Information_Form_20230821.pdf</x:v>
      </x:c>
    </x:row>
    <x:row r="50" ht="23" customHeight="1">
      <x:c r="A50" t="str">
        <x:v>OCTG-0049</x:v>
      </x:c>
      <x:c r="B50" t="str">
        <x:v>API reference</x:v>
      </x:c>
      <x:c r="C50" t="str">
        <x:v>25-7-4 / S32750 / 125</x:v>
      </x:c>
      <x:c r="D50" t="str">
        <x:v>Super duplex 25Cr</x:v>
      </x:c>
      <x:c r="E50" t="str">
        <x:v>High CO2 / chloride, project-qualified sour</x:v>
      </x:c>
      <x:c r="F50" s="82" t="n">
        <x:v>125</x:v>
      </x:c>
      <x:c r="G50" t="str">
        <x:v>No</x:v>
      </x:c>
      <x:c r="H50" t="str">
        <x:v>G</x:v>
      </x:c>
      <x:c r="I50" t="str">
        <x:v>Yes</x:v>
      </x:c>
      <x:c r="J50" t="str">
        <x:v>Yes</x:v>
      </x:c>
      <x:c r="K50" t="str">
        <x:v>Yes</x:v>
      </x:c>
      <x:c r="L50" t="str">
        <x:f>IF(F50="","UNKNOWN",IF(F50&lt;'WELL INPUTS'!$B$11,"BELOW","OK"))</x:f>
        <x:v>OK</x:v>
      </x:c>
      <x:c r="M50" t="str">
        <x:f>IF(AND('WELL INPUTS'!$B$4="Wet",'WELL INPUTS'!$B$5&gt;0),IF(I50="Yes","CATALOG SOUR","NOT LISTED"),"N/A")</x:f>
        <x:v>N/A</x:v>
      </x:c>
      <x:c r="N50" t="str">
        <x:f>IF(AND('WELL INPUTS'!$B$4="Wet",'WELL INPUTS'!$B$6&gt;0),IF(J50="Yes","ALLOY FAMILY","CORROSION CONTROL"),"N/A")</x:f>
        <x:v>ALLOY FAMILY</x:v>
      </x:c>
      <x:c r="O50" t="str">
        <x:f>IF('WELL INPUTS'!$B$12="Yes",IF(G50="Yes","CLAIMED","NOT LISTED"),"N/A")</x:f>
        <x:v>N/A</x:v>
      </x:c>
      <x:c r="P50" t="str">
        <x:f>IF(OR('WELL INPUTS'!$B$13="Unrestricted",CODE(H50)&lt;=CODE('WELL INPUTS'!$B$13)),"WITHIN TIER","OVER CAP")</x:f>
        <x:v>WITHIN TIER</x:v>
      </x:c>
      <x:c r="Q50" t="n">
        <x:f>MAX(0,MIN(100,43+IF(L50="OK",14,-20)+IF(M50="CATALOG SOUR",24,IF(M50="NOT LISTED",-18,0))+IF(N50="ALLOY FAMILY",14,IF(N50="CORROSION CONTROL",-13,0))+IF(O50="CLAIMED",17,IF(O50="NOT LISTED",-14,0))+IF(K50="Yes",-15,0)+IF('WELL INPUTS'!$B$10="Yes",-17,0)))</x:f>
        <x:v>56</x:v>
      </x:c>
      <x:c r="R50" s="83" t="str">
        <x:f>IF(L50="BELOW","EXCLUDE — STRENGTH",IF(P50="OVER CAP","EXCLUDE — COST",IF(K50="Yes",IF('WELL INPUTS'!$B$14="No","EXCLUDE — REFERENCE","REFERENCE ONLY"),IF(OR(L50="UNKNOWN",M50="NOT LISTED",N50="CORROSION CONTROL",O50="NOT LISTED",'WELL INPUTS'!$B$10="Yes",'WELL INPUTS'!$B$4="Unknown"),"REVIEW","CANDIDATE — VERIFY"))))</x:f>
        <x:v>EXCLUDE — REFERENCE</x:v>
      </x:c>
      <x:c r="S50" t="str">
        <x:f>IF(L50="BELOW","Increase minimum grade strength",IF(P50="OVER CAP","Relax cost tier or exclude",IF(K50="Yes","Identify qualified manufacturer grade",IF(M50="NOT LISTED","Confirm sour-service claim and ISO 15156",IF(O50="NOT LISTED","Obtain manufacturer collapse curve",IF(N50="CORROSION CONTROL","Model CO2 corrosion; review inhibition","Confirm corrosion, cracking, loads and connection"))))))</x:f>
        <x:v>Identify qualified manufacturer grade</x:v>
      </x:c>
      <x:c r="T50" t="str">
        <x:v>https://www.api.org/-/media/Files/Certification/Monogram-APIQR/0_API-Monogram-APIQR/LIFs/API_5CRA_Licensing_Information_Form_20230821.pdf</x:v>
      </x:c>
    </x:row>
    <x:row r="51" ht="23" customHeight="1">
      <x:c r="A51" t="str">
        <x:v>OCTG-0050</x:v>
      </x:c>
      <x:c r="B51" t="str">
        <x:v>API reference</x:v>
      </x:c>
      <x:c r="C51" t="str">
        <x:v>25-7-4 / S32750 / 80</x:v>
      </x:c>
      <x:c r="D51" t="str">
        <x:v>Super duplex 25Cr</x:v>
      </x:c>
      <x:c r="E51" t="str">
        <x:v>High CO2 / chloride, project-qualified sour</x:v>
      </x:c>
      <x:c r="F51" s="82" t="n">
        <x:v>80</x:v>
      </x:c>
      <x:c r="G51" t="str">
        <x:v>No</x:v>
      </x:c>
      <x:c r="H51" t="str">
        <x:v>G</x:v>
      </x:c>
      <x:c r="I51" t="str">
        <x:v>Yes</x:v>
      </x:c>
      <x:c r="J51" t="str">
        <x:v>Yes</x:v>
      </x:c>
      <x:c r="K51" t="str">
        <x:v>Yes</x:v>
      </x:c>
      <x:c r="L51" t="str">
        <x:f>IF(F51="","UNKNOWN",IF(F51&lt;'WELL INPUTS'!$B$11,"BELOW","OK"))</x:f>
        <x:v>OK</x:v>
      </x:c>
      <x:c r="M51" t="str">
        <x:f>IF(AND('WELL INPUTS'!$B$4="Wet",'WELL INPUTS'!$B$5&gt;0),IF(I51="Yes","CATALOG SOUR","NOT LISTED"),"N/A")</x:f>
        <x:v>N/A</x:v>
      </x:c>
      <x:c r="N51" t="str">
        <x:f>IF(AND('WELL INPUTS'!$B$4="Wet",'WELL INPUTS'!$B$6&gt;0),IF(J51="Yes","ALLOY FAMILY","CORROSION CONTROL"),"N/A")</x:f>
        <x:v>ALLOY FAMILY</x:v>
      </x:c>
      <x:c r="O51" t="str">
        <x:f>IF('WELL INPUTS'!$B$12="Yes",IF(G51="Yes","CLAIMED","NOT LISTED"),"N/A")</x:f>
        <x:v>N/A</x:v>
      </x:c>
      <x:c r="P51" t="str">
        <x:f>IF(OR('WELL INPUTS'!$B$13="Unrestricted",CODE(H51)&lt;=CODE('WELL INPUTS'!$B$13)),"WITHIN TIER","OVER CAP")</x:f>
        <x:v>WITHIN TIER</x:v>
      </x:c>
      <x:c r="Q51" t="n">
        <x:f>MAX(0,MIN(100,43+IF(L51="OK",14,-20)+IF(M51="CATALOG SOUR",24,IF(M51="NOT LISTED",-18,0))+IF(N51="ALLOY FAMILY",14,IF(N51="CORROSION CONTROL",-13,0))+IF(O51="CLAIMED",17,IF(O51="NOT LISTED",-14,0))+IF(K51="Yes",-15,0)+IF('WELL INPUTS'!$B$10="Yes",-17,0)))</x:f>
        <x:v>56</x:v>
      </x:c>
      <x:c r="R51" s="83" t="str">
        <x:f>IF(L51="BELOW","EXCLUDE — STRENGTH",IF(P51="OVER CAP","EXCLUDE — COST",IF(K51="Yes",IF('WELL INPUTS'!$B$14="No","EXCLUDE — REFERENCE","REFERENCE ONLY"),IF(OR(L51="UNKNOWN",M51="NOT LISTED",N51="CORROSION CONTROL",O51="NOT LISTED",'WELL INPUTS'!$B$10="Yes",'WELL INPUTS'!$B$4="Unknown"),"REVIEW","CANDIDATE — VERIFY"))))</x:f>
        <x:v>EXCLUDE — REFERENCE</x:v>
      </x:c>
      <x:c r="S51" t="str">
        <x:f>IF(L51="BELOW","Increase minimum grade strength",IF(P51="OVER CAP","Relax cost tier or exclude",IF(K51="Yes","Identify qualified manufacturer grade",IF(M51="NOT LISTED","Confirm sour-service claim and ISO 15156",IF(O51="NOT LISTED","Obtain manufacturer collapse curve",IF(N51="CORROSION CONTROL","Model CO2 corrosion; review inhibition","Confirm corrosion, cracking, loads and connection"))))))</x:f>
        <x:v>Identify qualified manufacturer grade</x:v>
      </x:c>
      <x:c r="T51" t="str">
        <x:v>https://www.api.org/-/media/Files/Certification/Monogram-APIQR/0_API-Monogram-APIQR/LIFs/API_5CRA_Licensing_Information_Form_20230821.pdf</x:v>
      </x:c>
    </x:row>
    <x:row r="52" ht="23" customHeight="1">
      <x:c r="A52" t="str">
        <x:v>OCTG-0051</x:v>
      </x:c>
      <x:c r="B52" t="str">
        <x:v>API reference</x:v>
      </x:c>
      <x:c r="C52" t="str">
        <x:v>25-7-4 / S32750 / 90</x:v>
      </x:c>
      <x:c r="D52" t="str">
        <x:v>Super duplex 25Cr</x:v>
      </x:c>
      <x:c r="E52" t="str">
        <x:v>High CO2 / chloride, project-qualified sour</x:v>
      </x:c>
      <x:c r="F52" s="82" t="n">
        <x:v>90</x:v>
      </x:c>
      <x:c r="G52" t="str">
        <x:v>No</x:v>
      </x:c>
      <x:c r="H52" t="str">
        <x:v>G</x:v>
      </x:c>
      <x:c r="I52" t="str">
        <x:v>Yes</x:v>
      </x:c>
      <x:c r="J52" t="str">
        <x:v>Yes</x:v>
      </x:c>
      <x:c r="K52" t="str">
        <x:v>Yes</x:v>
      </x:c>
      <x:c r="L52" t="str">
        <x:f>IF(F52="","UNKNOWN",IF(F52&lt;'WELL INPUTS'!$B$11,"BELOW","OK"))</x:f>
        <x:v>OK</x:v>
      </x:c>
      <x:c r="M52" t="str">
        <x:f>IF(AND('WELL INPUTS'!$B$4="Wet",'WELL INPUTS'!$B$5&gt;0),IF(I52="Yes","CATALOG SOUR","NOT LISTED"),"N/A")</x:f>
        <x:v>N/A</x:v>
      </x:c>
      <x:c r="N52" t="str">
        <x:f>IF(AND('WELL INPUTS'!$B$4="Wet",'WELL INPUTS'!$B$6&gt;0),IF(J52="Yes","ALLOY FAMILY","CORROSION CONTROL"),"N/A")</x:f>
        <x:v>ALLOY FAMILY</x:v>
      </x:c>
      <x:c r="O52" t="str">
        <x:f>IF('WELL INPUTS'!$B$12="Yes",IF(G52="Yes","CLAIMED","NOT LISTED"),"N/A")</x:f>
        <x:v>N/A</x:v>
      </x:c>
      <x:c r="P52" t="str">
        <x:f>IF(OR('WELL INPUTS'!$B$13="Unrestricted",CODE(H52)&lt;=CODE('WELL INPUTS'!$B$13)),"WITHIN TIER","OVER CAP")</x:f>
        <x:v>WITHIN TIER</x:v>
      </x:c>
      <x:c r="Q52" t="n">
        <x:f>MAX(0,MIN(100,43+IF(L52="OK",14,-20)+IF(M52="CATALOG SOUR",24,IF(M52="NOT LISTED",-18,0))+IF(N52="ALLOY FAMILY",14,IF(N52="CORROSION CONTROL",-13,0))+IF(O52="CLAIMED",17,IF(O52="NOT LISTED",-14,0))+IF(K52="Yes",-15,0)+IF('WELL INPUTS'!$B$10="Yes",-17,0)))</x:f>
        <x:v>56</x:v>
      </x:c>
      <x:c r="R52" s="83" t="str">
        <x:f>IF(L52="BELOW","EXCLUDE — STRENGTH",IF(P52="OVER CAP","EXCLUDE — COST",IF(K52="Yes",IF('WELL INPUTS'!$B$14="No","EXCLUDE — REFERENCE","REFERENCE ONLY"),IF(OR(L52="UNKNOWN",M52="NOT LISTED",N52="CORROSION CONTROL",O52="NOT LISTED",'WELL INPUTS'!$B$10="Yes",'WELL INPUTS'!$B$4="Unknown"),"REVIEW","CANDIDATE — VERIFY"))))</x:f>
        <x:v>EXCLUDE — REFERENCE</x:v>
      </x:c>
      <x:c r="S52" t="str">
        <x:f>IF(L52="BELOW","Increase minimum grade strength",IF(P52="OVER CAP","Relax cost tier or exclude",IF(K52="Yes","Identify qualified manufacturer grade",IF(M52="NOT LISTED","Confirm sour-service claim and ISO 15156",IF(O52="NOT LISTED","Obtain manufacturer collapse curve",IF(N52="CORROSION CONTROL","Model CO2 corrosion; review inhibition","Confirm corrosion, cracking, loads and connection"))))))</x:f>
        <x:v>Identify qualified manufacturer grade</x:v>
      </x:c>
      <x:c r="T52" t="str">
        <x:v>https://www.api.org/-/media/Files/Certification/Monogram-APIQR/0_API-Monogram-APIQR/LIFs/API_5CRA_Licensing_Information_Form_20230821.pdf</x:v>
      </x:c>
    </x:row>
    <x:row r="53" ht="23" customHeight="1">
      <x:c r="A53" t="str">
        <x:v>OCTG-0052</x:v>
      </x:c>
      <x:c r="B53" t="str">
        <x:v>API reference</x:v>
      </x:c>
      <x:c r="C53" t="str">
        <x:v>25-7-4 / S32760 / 110</x:v>
      </x:c>
      <x:c r="D53" t="str">
        <x:v>Super duplex 25Cr</x:v>
      </x:c>
      <x:c r="E53" t="str">
        <x:v>High CO2 / chloride, project-qualified sour</x:v>
      </x:c>
      <x:c r="F53" s="82" t="n">
        <x:v>110</x:v>
      </x:c>
      <x:c r="G53" t="str">
        <x:v>No</x:v>
      </x:c>
      <x:c r="H53" t="str">
        <x:v>G</x:v>
      </x:c>
      <x:c r="I53" t="str">
        <x:v>Yes</x:v>
      </x:c>
      <x:c r="J53" t="str">
        <x:v>Yes</x:v>
      </x:c>
      <x:c r="K53" t="str">
        <x:v>Yes</x:v>
      </x:c>
      <x:c r="L53" t="str">
        <x:f>IF(F53="","UNKNOWN",IF(F53&lt;'WELL INPUTS'!$B$11,"BELOW","OK"))</x:f>
        <x:v>OK</x:v>
      </x:c>
      <x:c r="M53" t="str">
        <x:f>IF(AND('WELL INPUTS'!$B$4="Wet",'WELL INPUTS'!$B$5&gt;0),IF(I53="Yes","CATALOG SOUR","NOT LISTED"),"N/A")</x:f>
        <x:v>N/A</x:v>
      </x:c>
      <x:c r="N53" t="str">
        <x:f>IF(AND('WELL INPUTS'!$B$4="Wet",'WELL INPUTS'!$B$6&gt;0),IF(J53="Yes","ALLOY FAMILY","CORROSION CONTROL"),"N/A")</x:f>
        <x:v>ALLOY FAMILY</x:v>
      </x:c>
      <x:c r="O53" t="str">
        <x:f>IF('WELL INPUTS'!$B$12="Yes",IF(G53="Yes","CLAIMED","NOT LISTED"),"N/A")</x:f>
        <x:v>N/A</x:v>
      </x:c>
      <x:c r="P53" t="str">
        <x:f>IF(OR('WELL INPUTS'!$B$13="Unrestricted",CODE(H53)&lt;=CODE('WELL INPUTS'!$B$13)),"WITHIN TIER","OVER CAP")</x:f>
        <x:v>WITHIN TIER</x:v>
      </x:c>
      <x:c r="Q53" t="n">
        <x:f>MAX(0,MIN(100,43+IF(L53="OK",14,-20)+IF(M53="CATALOG SOUR",24,IF(M53="NOT LISTED",-18,0))+IF(N53="ALLOY FAMILY",14,IF(N53="CORROSION CONTROL",-13,0))+IF(O53="CLAIMED",17,IF(O53="NOT LISTED",-14,0))+IF(K53="Yes",-15,0)+IF('WELL INPUTS'!$B$10="Yes",-17,0)))</x:f>
        <x:v>56</x:v>
      </x:c>
      <x:c r="R53" s="83" t="str">
        <x:f>IF(L53="BELOW","EXCLUDE — STRENGTH",IF(P53="OVER CAP","EXCLUDE — COST",IF(K53="Yes",IF('WELL INPUTS'!$B$14="No","EXCLUDE — REFERENCE","REFERENCE ONLY"),IF(OR(L53="UNKNOWN",M53="NOT LISTED",N53="CORROSION CONTROL",O53="NOT LISTED",'WELL INPUTS'!$B$10="Yes",'WELL INPUTS'!$B$4="Unknown"),"REVIEW","CANDIDATE — VERIFY"))))</x:f>
        <x:v>EXCLUDE — REFERENCE</x:v>
      </x:c>
      <x:c r="S53" t="str">
        <x:f>IF(L53="BELOW","Increase minimum grade strength",IF(P53="OVER CAP","Relax cost tier or exclude",IF(K53="Yes","Identify qualified manufacturer grade",IF(M53="NOT LISTED","Confirm sour-service claim and ISO 15156",IF(O53="NOT LISTED","Obtain manufacturer collapse curve",IF(N53="CORROSION CONTROL","Model CO2 corrosion; review inhibition","Confirm corrosion, cracking, loads and connection"))))))</x:f>
        <x:v>Identify qualified manufacturer grade</x:v>
      </x:c>
      <x:c r="T53" t="str">
        <x:v>https://www.api.org/-/media/Files/Certification/Monogram-APIQR/0_API-Monogram-APIQR/LIFs/API_5CRA_Licensing_Information_Form_20230821.pdf</x:v>
      </x:c>
    </x:row>
    <x:row r="54" ht="23" customHeight="1">
      <x:c r="A54" t="str">
        <x:v>OCTG-0053</x:v>
      </x:c>
      <x:c r="B54" t="str">
        <x:v>API reference</x:v>
      </x:c>
      <x:c r="C54" t="str">
        <x:v>25-7-4 / S32760 / 125</x:v>
      </x:c>
      <x:c r="D54" t="str">
        <x:v>Super duplex 25Cr</x:v>
      </x:c>
      <x:c r="E54" t="str">
        <x:v>High CO2 / chloride, project-qualified sour</x:v>
      </x:c>
      <x:c r="F54" s="82" t="n">
        <x:v>125</x:v>
      </x:c>
      <x:c r="G54" t="str">
        <x:v>No</x:v>
      </x:c>
      <x:c r="H54" t="str">
        <x:v>G</x:v>
      </x:c>
      <x:c r="I54" t="str">
        <x:v>Yes</x:v>
      </x:c>
      <x:c r="J54" t="str">
        <x:v>Yes</x:v>
      </x:c>
      <x:c r="K54" t="str">
        <x:v>Yes</x:v>
      </x:c>
      <x:c r="L54" t="str">
        <x:f>IF(F54="","UNKNOWN",IF(F54&lt;'WELL INPUTS'!$B$11,"BELOW","OK"))</x:f>
        <x:v>OK</x:v>
      </x:c>
      <x:c r="M54" t="str">
        <x:f>IF(AND('WELL INPUTS'!$B$4="Wet",'WELL INPUTS'!$B$5&gt;0),IF(I54="Yes","CATALOG SOUR","NOT LISTED"),"N/A")</x:f>
        <x:v>N/A</x:v>
      </x:c>
      <x:c r="N54" t="str">
        <x:f>IF(AND('WELL INPUTS'!$B$4="Wet",'WELL INPUTS'!$B$6&gt;0),IF(J54="Yes","ALLOY FAMILY","CORROSION CONTROL"),"N/A")</x:f>
        <x:v>ALLOY FAMILY</x:v>
      </x:c>
      <x:c r="O54" t="str">
        <x:f>IF('WELL INPUTS'!$B$12="Yes",IF(G54="Yes","CLAIMED","NOT LISTED"),"N/A")</x:f>
        <x:v>N/A</x:v>
      </x:c>
      <x:c r="P54" t="str">
        <x:f>IF(OR('WELL INPUTS'!$B$13="Unrestricted",CODE(H54)&lt;=CODE('WELL INPUTS'!$B$13)),"WITHIN TIER","OVER CAP")</x:f>
        <x:v>WITHIN TIER</x:v>
      </x:c>
      <x:c r="Q54" t="n">
        <x:f>MAX(0,MIN(100,43+IF(L54="OK",14,-20)+IF(M54="CATALOG SOUR",24,IF(M54="NOT LISTED",-18,0))+IF(N54="ALLOY FAMILY",14,IF(N54="CORROSION CONTROL",-13,0))+IF(O54="CLAIMED",17,IF(O54="NOT LISTED",-14,0))+IF(K54="Yes",-15,0)+IF('WELL INPUTS'!$B$10="Yes",-17,0)))</x:f>
        <x:v>56</x:v>
      </x:c>
      <x:c r="R54" s="83" t="str">
        <x:f>IF(L54="BELOW","EXCLUDE — STRENGTH",IF(P54="OVER CAP","EXCLUDE — COST",IF(K54="Yes",IF('WELL INPUTS'!$B$14="No","EXCLUDE — REFERENCE","REFERENCE ONLY"),IF(OR(L54="UNKNOWN",M54="NOT LISTED",N54="CORROSION CONTROL",O54="NOT LISTED",'WELL INPUTS'!$B$10="Yes",'WELL INPUTS'!$B$4="Unknown"),"REVIEW","CANDIDATE — VERIFY"))))</x:f>
        <x:v>EXCLUDE — REFERENCE</x:v>
      </x:c>
      <x:c r="S54" t="str">
        <x:f>IF(L54="BELOW","Increase minimum grade strength",IF(P54="OVER CAP","Relax cost tier or exclude",IF(K54="Yes","Identify qualified manufacturer grade",IF(M54="NOT LISTED","Confirm sour-service claim and ISO 15156",IF(O54="NOT LISTED","Obtain manufacturer collapse curve",IF(N54="CORROSION CONTROL","Model CO2 corrosion; review inhibition","Confirm corrosion, cracking, loads and connection"))))))</x:f>
        <x:v>Identify qualified manufacturer grade</x:v>
      </x:c>
      <x:c r="T54" t="str">
        <x:v>https://www.api.org/-/media/Files/Certification/Monogram-APIQR/0_API-Monogram-APIQR/LIFs/API_5CRA_Licensing_Information_Form_20230821.pdf</x:v>
      </x:c>
    </x:row>
    <x:row r="55" ht="23" customHeight="1">
      <x:c r="A55" t="str">
        <x:v>OCTG-0054</x:v>
      </x:c>
      <x:c r="B55" t="str">
        <x:v>API reference</x:v>
      </x:c>
      <x:c r="C55" t="str">
        <x:v>25-7-4 / S32760 / 80</x:v>
      </x:c>
      <x:c r="D55" t="str">
        <x:v>Super duplex 25Cr</x:v>
      </x:c>
      <x:c r="E55" t="str">
        <x:v>High CO2 / chloride, project-qualified sour</x:v>
      </x:c>
      <x:c r="F55" s="82" t="n">
        <x:v>80</x:v>
      </x:c>
      <x:c r="G55" t="str">
        <x:v>No</x:v>
      </x:c>
      <x:c r="H55" t="str">
        <x:v>G</x:v>
      </x:c>
      <x:c r="I55" t="str">
        <x:v>Yes</x:v>
      </x:c>
      <x:c r="J55" t="str">
        <x:v>Yes</x:v>
      </x:c>
      <x:c r="K55" t="str">
        <x:v>Yes</x:v>
      </x:c>
      <x:c r="L55" t="str">
        <x:f>IF(F55="","UNKNOWN",IF(F55&lt;'WELL INPUTS'!$B$11,"BELOW","OK"))</x:f>
        <x:v>OK</x:v>
      </x:c>
      <x:c r="M55" t="str">
        <x:f>IF(AND('WELL INPUTS'!$B$4="Wet",'WELL INPUTS'!$B$5&gt;0),IF(I55="Yes","CATALOG SOUR","NOT LISTED"),"N/A")</x:f>
        <x:v>N/A</x:v>
      </x:c>
      <x:c r="N55" t="str">
        <x:f>IF(AND('WELL INPUTS'!$B$4="Wet",'WELL INPUTS'!$B$6&gt;0),IF(J55="Yes","ALLOY FAMILY","CORROSION CONTROL"),"N/A")</x:f>
        <x:v>ALLOY FAMILY</x:v>
      </x:c>
      <x:c r="O55" t="str">
        <x:f>IF('WELL INPUTS'!$B$12="Yes",IF(G55="Yes","CLAIMED","NOT LISTED"),"N/A")</x:f>
        <x:v>N/A</x:v>
      </x:c>
      <x:c r="P55" t="str">
        <x:f>IF(OR('WELL INPUTS'!$B$13="Unrestricted",CODE(H55)&lt;=CODE('WELL INPUTS'!$B$13)),"WITHIN TIER","OVER CAP")</x:f>
        <x:v>WITHIN TIER</x:v>
      </x:c>
      <x:c r="Q55" t="n">
        <x:f>MAX(0,MIN(100,43+IF(L55="OK",14,-20)+IF(M55="CATALOG SOUR",24,IF(M55="NOT LISTED",-18,0))+IF(N55="ALLOY FAMILY",14,IF(N55="CORROSION CONTROL",-13,0))+IF(O55="CLAIMED",17,IF(O55="NOT LISTED",-14,0))+IF(K55="Yes",-15,0)+IF('WELL INPUTS'!$B$10="Yes",-17,0)))</x:f>
        <x:v>56</x:v>
      </x:c>
      <x:c r="R55" s="83" t="str">
        <x:f>IF(L55="BELOW","EXCLUDE — STRENGTH",IF(P55="OVER CAP","EXCLUDE — COST",IF(K55="Yes",IF('WELL INPUTS'!$B$14="No","EXCLUDE — REFERENCE","REFERENCE ONLY"),IF(OR(L55="UNKNOWN",M55="NOT LISTED",N55="CORROSION CONTROL",O55="NOT LISTED",'WELL INPUTS'!$B$10="Yes",'WELL INPUTS'!$B$4="Unknown"),"REVIEW","CANDIDATE — VERIFY"))))</x:f>
        <x:v>EXCLUDE — REFERENCE</x:v>
      </x:c>
      <x:c r="S55" t="str">
        <x:f>IF(L55="BELOW","Increase minimum grade strength",IF(P55="OVER CAP","Relax cost tier or exclude",IF(K55="Yes","Identify qualified manufacturer grade",IF(M55="NOT LISTED","Confirm sour-service claim and ISO 15156",IF(O55="NOT LISTED","Obtain manufacturer collapse curve",IF(N55="CORROSION CONTROL","Model CO2 corrosion; review inhibition","Confirm corrosion, cracking, loads and connection"))))))</x:f>
        <x:v>Identify qualified manufacturer grade</x:v>
      </x:c>
      <x:c r="T55" t="str">
        <x:v>https://www.api.org/-/media/Files/Certification/Monogram-APIQR/0_API-Monogram-APIQR/LIFs/API_5CRA_Licensing_Information_Form_20230821.pdf</x:v>
      </x:c>
    </x:row>
    <x:row r="56" ht="23" customHeight="1">
      <x:c r="A56" t="str">
        <x:v>OCTG-0055</x:v>
      </x:c>
      <x:c r="B56" t="str">
        <x:v>API reference</x:v>
      </x:c>
      <x:c r="C56" t="str">
        <x:v>25-7-4 / S32760 / 90</x:v>
      </x:c>
      <x:c r="D56" t="str">
        <x:v>Super duplex 25Cr</x:v>
      </x:c>
      <x:c r="E56" t="str">
        <x:v>High CO2 / chloride, project-qualified sour</x:v>
      </x:c>
      <x:c r="F56" s="82" t="n">
        <x:v>90</x:v>
      </x:c>
      <x:c r="G56" t="str">
        <x:v>No</x:v>
      </x:c>
      <x:c r="H56" t="str">
        <x:v>G</x:v>
      </x:c>
      <x:c r="I56" t="str">
        <x:v>Yes</x:v>
      </x:c>
      <x:c r="J56" t="str">
        <x:v>Yes</x:v>
      </x:c>
      <x:c r="K56" t="str">
        <x:v>Yes</x:v>
      </x:c>
      <x:c r="L56" t="str">
        <x:f>IF(F56="","UNKNOWN",IF(F56&lt;'WELL INPUTS'!$B$11,"BELOW","OK"))</x:f>
        <x:v>OK</x:v>
      </x:c>
      <x:c r="M56" t="str">
        <x:f>IF(AND('WELL INPUTS'!$B$4="Wet",'WELL INPUTS'!$B$5&gt;0),IF(I56="Yes","CATALOG SOUR","NOT LISTED"),"N/A")</x:f>
        <x:v>N/A</x:v>
      </x:c>
      <x:c r="N56" t="str">
        <x:f>IF(AND('WELL INPUTS'!$B$4="Wet",'WELL INPUTS'!$B$6&gt;0),IF(J56="Yes","ALLOY FAMILY","CORROSION CONTROL"),"N/A")</x:f>
        <x:v>ALLOY FAMILY</x:v>
      </x:c>
      <x:c r="O56" t="str">
        <x:f>IF('WELL INPUTS'!$B$12="Yes",IF(G56="Yes","CLAIMED","NOT LISTED"),"N/A")</x:f>
        <x:v>N/A</x:v>
      </x:c>
      <x:c r="P56" t="str">
        <x:f>IF(OR('WELL INPUTS'!$B$13="Unrestricted",CODE(H56)&lt;=CODE('WELL INPUTS'!$B$13)),"WITHIN TIER","OVER CAP")</x:f>
        <x:v>WITHIN TIER</x:v>
      </x:c>
      <x:c r="Q56" t="n">
        <x:f>MAX(0,MIN(100,43+IF(L56="OK",14,-20)+IF(M56="CATALOG SOUR",24,IF(M56="NOT LISTED",-18,0))+IF(N56="ALLOY FAMILY",14,IF(N56="CORROSION CONTROL",-13,0))+IF(O56="CLAIMED",17,IF(O56="NOT LISTED",-14,0))+IF(K56="Yes",-15,0)+IF('WELL INPUTS'!$B$10="Yes",-17,0)))</x:f>
        <x:v>56</x:v>
      </x:c>
      <x:c r="R56" s="83" t="str">
        <x:f>IF(L56="BELOW","EXCLUDE — STRENGTH",IF(P56="OVER CAP","EXCLUDE — COST",IF(K56="Yes",IF('WELL INPUTS'!$B$14="No","EXCLUDE — REFERENCE","REFERENCE ONLY"),IF(OR(L56="UNKNOWN",M56="NOT LISTED",N56="CORROSION CONTROL",O56="NOT LISTED",'WELL INPUTS'!$B$10="Yes",'WELL INPUTS'!$B$4="Unknown"),"REVIEW","CANDIDATE — VERIFY"))))</x:f>
        <x:v>EXCLUDE — REFERENCE</x:v>
      </x:c>
      <x:c r="S56" t="str">
        <x:f>IF(L56="BELOW","Increase minimum grade strength",IF(P56="OVER CAP","Relax cost tier or exclude",IF(K56="Yes","Identify qualified manufacturer grade",IF(M56="NOT LISTED","Confirm sour-service claim and ISO 15156",IF(O56="NOT LISTED","Obtain manufacturer collapse curve",IF(N56="CORROSION CONTROL","Model CO2 corrosion; review inhibition","Confirm corrosion, cracking, loads and connection"))))))</x:f>
        <x:v>Identify qualified manufacturer grade</x:v>
      </x:c>
      <x:c r="T56" t="str">
        <x:v>https://www.api.org/-/media/Files/Certification/Monogram-APIQR/0_API-Monogram-APIQR/LIFs/API_5CRA_Licensing_Information_Form_20230821.pdf</x:v>
      </x:c>
    </x:row>
    <x:row r="57" ht="23" customHeight="1">
      <x:c r="A57" t="str">
        <x:v>OCTG-0056</x:v>
      </x:c>
      <x:c r="B57" t="str">
        <x:v>API reference</x:v>
      </x:c>
      <x:c r="C57" t="str">
        <x:v>25-7-4 / S39274 / 110</x:v>
      </x:c>
      <x:c r="D57" t="str">
        <x:v>Super duplex 25Cr</x:v>
      </x:c>
      <x:c r="E57" t="str">
        <x:v>High CO2 / chloride, project-qualified sour</x:v>
      </x:c>
      <x:c r="F57" s="82" t="n">
        <x:v>110</x:v>
      </x:c>
      <x:c r="G57" t="str">
        <x:v>No</x:v>
      </x:c>
      <x:c r="H57" t="str">
        <x:v>G</x:v>
      </x:c>
      <x:c r="I57" t="str">
        <x:v>Yes</x:v>
      </x:c>
      <x:c r="J57" t="str">
        <x:v>Yes</x:v>
      </x:c>
      <x:c r="K57" t="str">
        <x:v>Yes</x:v>
      </x:c>
      <x:c r="L57" t="str">
        <x:f>IF(F57="","UNKNOWN",IF(F57&lt;'WELL INPUTS'!$B$11,"BELOW","OK"))</x:f>
        <x:v>OK</x:v>
      </x:c>
      <x:c r="M57" t="str">
        <x:f>IF(AND('WELL INPUTS'!$B$4="Wet",'WELL INPUTS'!$B$5&gt;0),IF(I57="Yes","CATALOG SOUR","NOT LISTED"),"N/A")</x:f>
        <x:v>N/A</x:v>
      </x:c>
      <x:c r="N57" t="str">
        <x:f>IF(AND('WELL INPUTS'!$B$4="Wet",'WELL INPUTS'!$B$6&gt;0),IF(J57="Yes","ALLOY FAMILY","CORROSION CONTROL"),"N/A")</x:f>
        <x:v>ALLOY FAMILY</x:v>
      </x:c>
      <x:c r="O57" t="str">
        <x:f>IF('WELL INPUTS'!$B$12="Yes",IF(G57="Yes","CLAIMED","NOT LISTED"),"N/A")</x:f>
        <x:v>N/A</x:v>
      </x:c>
      <x:c r="P57" t="str">
        <x:f>IF(OR('WELL INPUTS'!$B$13="Unrestricted",CODE(H57)&lt;=CODE('WELL INPUTS'!$B$13)),"WITHIN TIER","OVER CAP")</x:f>
        <x:v>WITHIN TIER</x:v>
      </x:c>
      <x:c r="Q57" t="n">
        <x:f>MAX(0,MIN(100,43+IF(L57="OK",14,-20)+IF(M57="CATALOG SOUR",24,IF(M57="NOT LISTED",-18,0))+IF(N57="ALLOY FAMILY",14,IF(N57="CORROSION CONTROL",-13,0))+IF(O57="CLAIMED",17,IF(O57="NOT LISTED",-14,0))+IF(K57="Yes",-15,0)+IF('WELL INPUTS'!$B$10="Yes",-17,0)))</x:f>
        <x:v>56</x:v>
      </x:c>
      <x:c r="R57" s="83" t="str">
        <x:f>IF(L57="BELOW","EXCLUDE — STRENGTH",IF(P57="OVER CAP","EXCLUDE — COST",IF(K57="Yes",IF('WELL INPUTS'!$B$14="No","EXCLUDE — REFERENCE","REFERENCE ONLY"),IF(OR(L57="UNKNOWN",M57="NOT LISTED",N57="CORROSION CONTROL",O57="NOT LISTED",'WELL INPUTS'!$B$10="Yes",'WELL INPUTS'!$B$4="Unknown"),"REVIEW","CANDIDATE — VERIFY"))))</x:f>
        <x:v>EXCLUDE — REFERENCE</x:v>
      </x:c>
      <x:c r="S57" t="str">
        <x:f>IF(L57="BELOW","Increase minimum grade strength",IF(P57="OVER CAP","Relax cost tier or exclude",IF(K57="Yes","Identify qualified manufacturer grade",IF(M57="NOT LISTED","Confirm sour-service claim and ISO 15156",IF(O57="NOT LISTED","Obtain manufacturer collapse curve",IF(N57="CORROSION CONTROL","Model CO2 corrosion; review inhibition","Confirm corrosion, cracking, loads and connection"))))))</x:f>
        <x:v>Identify qualified manufacturer grade</x:v>
      </x:c>
      <x:c r="T57" t="str">
        <x:v>https://www.api.org/-/media/Files/Certification/Monogram-APIQR/0_API-Monogram-APIQR/LIFs/API_5CRA_Licensing_Information_Form_20230821.pdf</x:v>
      </x:c>
    </x:row>
    <x:row r="58" ht="23" customHeight="1">
      <x:c r="A58" t="str">
        <x:v>OCTG-0057</x:v>
      </x:c>
      <x:c r="B58" t="str">
        <x:v>API reference</x:v>
      </x:c>
      <x:c r="C58" t="str">
        <x:v>25-7-4 / S39274 / 125</x:v>
      </x:c>
      <x:c r="D58" t="str">
        <x:v>Super duplex 25Cr</x:v>
      </x:c>
      <x:c r="E58" t="str">
        <x:v>High CO2 / chloride, project-qualified sour</x:v>
      </x:c>
      <x:c r="F58" s="82" t="n">
        <x:v>125</x:v>
      </x:c>
      <x:c r="G58" t="str">
        <x:v>No</x:v>
      </x:c>
      <x:c r="H58" t="str">
        <x:v>G</x:v>
      </x:c>
      <x:c r="I58" t="str">
        <x:v>Yes</x:v>
      </x:c>
      <x:c r="J58" t="str">
        <x:v>Yes</x:v>
      </x:c>
      <x:c r="K58" t="str">
        <x:v>Yes</x:v>
      </x:c>
      <x:c r="L58" t="str">
        <x:f>IF(F58="","UNKNOWN",IF(F58&lt;'WELL INPUTS'!$B$11,"BELOW","OK"))</x:f>
        <x:v>OK</x:v>
      </x:c>
      <x:c r="M58" t="str">
        <x:f>IF(AND('WELL INPUTS'!$B$4="Wet",'WELL INPUTS'!$B$5&gt;0),IF(I58="Yes","CATALOG SOUR","NOT LISTED"),"N/A")</x:f>
        <x:v>N/A</x:v>
      </x:c>
      <x:c r="N58" t="str">
        <x:f>IF(AND('WELL INPUTS'!$B$4="Wet",'WELL INPUTS'!$B$6&gt;0),IF(J58="Yes","ALLOY FAMILY","CORROSION CONTROL"),"N/A")</x:f>
        <x:v>ALLOY FAMILY</x:v>
      </x:c>
      <x:c r="O58" t="str">
        <x:f>IF('WELL INPUTS'!$B$12="Yes",IF(G58="Yes","CLAIMED","NOT LISTED"),"N/A")</x:f>
        <x:v>N/A</x:v>
      </x:c>
      <x:c r="P58" t="str">
        <x:f>IF(OR('WELL INPUTS'!$B$13="Unrestricted",CODE(H58)&lt;=CODE('WELL INPUTS'!$B$13)),"WITHIN TIER","OVER CAP")</x:f>
        <x:v>WITHIN TIER</x:v>
      </x:c>
      <x:c r="Q58" t="n">
        <x:f>MAX(0,MIN(100,43+IF(L58="OK",14,-20)+IF(M58="CATALOG SOUR",24,IF(M58="NOT LISTED",-18,0))+IF(N58="ALLOY FAMILY",14,IF(N58="CORROSION CONTROL",-13,0))+IF(O58="CLAIMED",17,IF(O58="NOT LISTED",-14,0))+IF(K58="Yes",-15,0)+IF('WELL INPUTS'!$B$10="Yes",-17,0)))</x:f>
        <x:v>56</x:v>
      </x:c>
      <x:c r="R58" s="83" t="str">
        <x:f>IF(L58="BELOW","EXCLUDE — STRENGTH",IF(P58="OVER CAP","EXCLUDE — COST",IF(K58="Yes",IF('WELL INPUTS'!$B$14="No","EXCLUDE — REFERENCE","REFERENCE ONLY"),IF(OR(L58="UNKNOWN",M58="NOT LISTED",N58="CORROSION CONTROL",O58="NOT LISTED",'WELL INPUTS'!$B$10="Yes",'WELL INPUTS'!$B$4="Unknown"),"REVIEW","CANDIDATE — VERIFY"))))</x:f>
        <x:v>EXCLUDE — REFERENCE</x:v>
      </x:c>
      <x:c r="S58" t="str">
        <x:f>IF(L58="BELOW","Increase minimum grade strength",IF(P58="OVER CAP","Relax cost tier or exclude",IF(K58="Yes","Identify qualified manufacturer grade",IF(M58="NOT LISTED","Confirm sour-service claim and ISO 15156",IF(O58="NOT LISTED","Obtain manufacturer collapse curve",IF(N58="CORROSION CONTROL","Model CO2 corrosion; review inhibition","Confirm corrosion, cracking, loads and connection"))))))</x:f>
        <x:v>Identify qualified manufacturer grade</x:v>
      </x:c>
      <x:c r="T58" t="str">
        <x:v>https://www.api.org/-/media/Files/Certification/Monogram-APIQR/0_API-Monogram-APIQR/LIFs/API_5CRA_Licensing_Information_Form_20230821.pdf</x:v>
      </x:c>
    </x:row>
    <x:row r="59" ht="23" customHeight="1">
      <x:c r="A59" t="str">
        <x:v>OCTG-0058</x:v>
      </x:c>
      <x:c r="B59" t="str">
        <x:v>API reference</x:v>
      </x:c>
      <x:c r="C59" t="str">
        <x:v>25-7-4 / S39274 / 80</x:v>
      </x:c>
      <x:c r="D59" t="str">
        <x:v>Super duplex 25Cr</x:v>
      </x:c>
      <x:c r="E59" t="str">
        <x:v>High CO2 / chloride, project-qualified sour</x:v>
      </x:c>
      <x:c r="F59" s="82" t="n">
        <x:v>80</x:v>
      </x:c>
      <x:c r="G59" t="str">
        <x:v>No</x:v>
      </x:c>
      <x:c r="H59" t="str">
        <x:v>G</x:v>
      </x:c>
      <x:c r="I59" t="str">
        <x:v>Yes</x:v>
      </x:c>
      <x:c r="J59" t="str">
        <x:v>Yes</x:v>
      </x:c>
      <x:c r="K59" t="str">
        <x:v>Yes</x:v>
      </x:c>
      <x:c r="L59" t="str">
        <x:f>IF(F59="","UNKNOWN",IF(F59&lt;'WELL INPUTS'!$B$11,"BELOW","OK"))</x:f>
        <x:v>OK</x:v>
      </x:c>
      <x:c r="M59" t="str">
        <x:f>IF(AND('WELL INPUTS'!$B$4="Wet",'WELL INPUTS'!$B$5&gt;0),IF(I59="Yes","CATALOG SOUR","NOT LISTED"),"N/A")</x:f>
        <x:v>N/A</x:v>
      </x:c>
      <x:c r="N59" t="str">
        <x:f>IF(AND('WELL INPUTS'!$B$4="Wet",'WELL INPUTS'!$B$6&gt;0),IF(J59="Yes","ALLOY FAMILY","CORROSION CONTROL"),"N/A")</x:f>
        <x:v>ALLOY FAMILY</x:v>
      </x:c>
      <x:c r="O59" t="str">
        <x:f>IF('WELL INPUTS'!$B$12="Yes",IF(G59="Yes","CLAIMED","NOT LISTED"),"N/A")</x:f>
        <x:v>N/A</x:v>
      </x:c>
      <x:c r="P59" t="str">
        <x:f>IF(OR('WELL INPUTS'!$B$13="Unrestricted",CODE(H59)&lt;=CODE('WELL INPUTS'!$B$13)),"WITHIN TIER","OVER CAP")</x:f>
        <x:v>WITHIN TIER</x:v>
      </x:c>
      <x:c r="Q59" t="n">
        <x:f>MAX(0,MIN(100,43+IF(L59="OK",14,-20)+IF(M59="CATALOG SOUR",24,IF(M59="NOT LISTED",-18,0))+IF(N59="ALLOY FAMILY",14,IF(N59="CORROSION CONTROL",-13,0))+IF(O59="CLAIMED",17,IF(O59="NOT LISTED",-14,0))+IF(K59="Yes",-15,0)+IF('WELL INPUTS'!$B$10="Yes",-17,0)))</x:f>
        <x:v>56</x:v>
      </x:c>
      <x:c r="R59" s="83" t="str">
        <x:f>IF(L59="BELOW","EXCLUDE — STRENGTH",IF(P59="OVER CAP","EXCLUDE — COST",IF(K59="Yes",IF('WELL INPUTS'!$B$14="No","EXCLUDE — REFERENCE","REFERENCE ONLY"),IF(OR(L59="UNKNOWN",M59="NOT LISTED",N59="CORROSION CONTROL",O59="NOT LISTED",'WELL INPUTS'!$B$10="Yes",'WELL INPUTS'!$B$4="Unknown"),"REVIEW","CANDIDATE — VERIFY"))))</x:f>
        <x:v>EXCLUDE — REFERENCE</x:v>
      </x:c>
      <x:c r="S59" t="str">
        <x:f>IF(L59="BELOW","Increase minimum grade strength",IF(P59="OVER CAP","Relax cost tier or exclude",IF(K59="Yes","Identify qualified manufacturer grade",IF(M59="NOT LISTED","Confirm sour-service claim and ISO 15156",IF(O59="NOT LISTED","Obtain manufacturer collapse curve",IF(N59="CORROSION CONTROL","Model CO2 corrosion; review inhibition","Confirm corrosion, cracking, loads and connection"))))))</x:f>
        <x:v>Identify qualified manufacturer grade</x:v>
      </x:c>
      <x:c r="T59" t="str">
        <x:v>https://www.api.org/-/media/Files/Certification/Monogram-APIQR/0_API-Monogram-APIQR/LIFs/API_5CRA_Licensing_Information_Form_20230821.pdf</x:v>
      </x:c>
    </x:row>
    <x:row r="60" ht="23" customHeight="1">
      <x:c r="A60" t="str">
        <x:v>OCTG-0059</x:v>
      </x:c>
      <x:c r="B60" t="str">
        <x:v>API reference</x:v>
      </x:c>
      <x:c r="C60" t="str">
        <x:v>25-7-4 / S39274 / 90</x:v>
      </x:c>
      <x:c r="D60" t="str">
        <x:v>Super duplex 25Cr</x:v>
      </x:c>
      <x:c r="E60" t="str">
        <x:v>High CO2 / chloride, project-qualified sour</x:v>
      </x:c>
      <x:c r="F60" s="82" t="n">
        <x:v>90</x:v>
      </x:c>
      <x:c r="G60" t="str">
        <x:v>No</x:v>
      </x:c>
      <x:c r="H60" t="str">
        <x:v>G</x:v>
      </x:c>
      <x:c r="I60" t="str">
        <x:v>Yes</x:v>
      </x:c>
      <x:c r="J60" t="str">
        <x:v>Yes</x:v>
      </x:c>
      <x:c r="K60" t="str">
        <x:v>Yes</x:v>
      </x:c>
      <x:c r="L60" t="str">
        <x:f>IF(F60="","UNKNOWN",IF(F60&lt;'WELL INPUTS'!$B$11,"BELOW","OK"))</x:f>
        <x:v>OK</x:v>
      </x:c>
      <x:c r="M60" t="str">
        <x:f>IF(AND('WELL INPUTS'!$B$4="Wet",'WELL INPUTS'!$B$5&gt;0),IF(I60="Yes","CATALOG SOUR","NOT LISTED"),"N/A")</x:f>
        <x:v>N/A</x:v>
      </x:c>
      <x:c r="N60" t="str">
        <x:f>IF(AND('WELL INPUTS'!$B$4="Wet",'WELL INPUTS'!$B$6&gt;0),IF(J60="Yes","ALLOY FAMILY","CORROSION CONTROL"),"N/A")</x:f>
        <x:v>ALLOY FAMILY</x:v>
      </x:c>
      <x:c r="O60" t="str">
        <x:f>IF('WELL INPUTS'!$B$12="Yes",IF(G60="Yes","CLAIMED","NOT LISTED"),"N/A")</x:f>
        <x:v>N/A</x:v>
      </x:c>
      <x:c r="P60" t="str">
        <x:f>IF(OR('WELL INPUTS'!$B$13="Unrestricted",CODE(H60)&lt;=CODE('WELL INPUTS'!$B$13)),"WITHIN TIER","OVER CAP")</x:f>
        <x:v>WITHIN TIER</x:v>
      </x:c>
      <x:c r="Q60" t="n">
        <x:f>MAX(0,MIN(100,43+IF(L60="OK",14,-20)+IF(M60="CATALOG SOUR",24,IF(M60="NOT LISTED",-18,0))+IF(N60="ALLOY FAMILY",14,IF(N60="CORROSION CONTROL",-13,0))+IF(O60="CLAIMED",17,IF(O60="NOT LISTED",-14,0))+IF(K60="Yes",-15,0)+IF('WELL INPUTS'!$B$10="Yes",-17,0)))</x:f>
        <x:v>56</x:v>
      </x:c>
      <x:c r="R60" s="83" t="str">
        <x:f>IF(L60="BELOW","EXCLUDE — STRENGTH",IF(P60="OVER CAP","EXCLUDE — COST",IF(K60="Yes",IF('WELL INPUTS'!$B$14="No","EXCLUDE — REFERENCE","REFERENCE ONLY"),IF(OR(L60="UNKNOWN",M60="NOT LISTED",N60="CORROSION CONTROL",O60="NOT LISTED",'WELL INPUTS'!$B$10="Yes",'WELL INPUTS'!$B$4="Unknown"),"REVIEW","CANDIDATE — VERIFY"))))</x:f>
        <x:v>EXCLUDE — REFERENCE</x:v>
      </x:c>
      <x:c r="S60" t="str">
        <x:f>IF(L60="BELOW","Increase minimum grade strength",IF(P60="OVER CAP","Relax cost tier or exclude",IF(K60="Yes","Identify qualified manufacturer grade",IF(M60="NOT LISTED","Confirm sour-service claim and ISO 15156",IF(O60="NOT LISTED","Obtain manufacturer collapse curve",IF(N60="CORROSION CONTROL","Model CO2 corrosion; review inhibition","Confirm corrosion, cracking, loads and connection"))))))</x:f>
        <x:v>Identify qualified manufacturer grade</x:v>
      </x:c>
      <x:c r="T60" t="str">
        <x:v>https://www.api.org/-/media/Files/Certification/Monogram-APIQR/0_API-Monogram-APIQR/LIFs/API_5CRA_Licensing_Information_Form_20230821.pdf</x:v>
      </x:c>
    </x:row>
    <x:row r="61" ht="23" customHeight="1">
      <x:c r="A61" t="str">
        <x:v>OCTG-0060</x:v>
      </x:c>
      <x:c r="B61" t="str">
        <x:v>API reference</x:v>
      </x:c>
      <x:c r="C61" t="str">
        <x:v>26-6-3 / 110 (PSL1)</x:v>
      </x:c>
      <x:c r="D61" t="str">
        <x:v>Super duplex 25Cr</x:v>
      </x:c>
      <x:c r="E61" t="str">
        <x:v>Wet CO2/chloride</x:v>
      </x:c>
      <x:c r="F61" s="82" t="n">
        <x:v>110</x:v>
      </x:c>
      <x:c r="G61" t="str">
        <x:v>No</x:v>
      </x:c>
      <x:c r="H61" t="str">
        <x:v>G</x:v>
      </x:c>
      <x:c r="I61" t="str">
        <x:v>No</x:v>
      </x:c>
      <x:c r="J61" t="str">
        <x:v>Yes</x:v>
      </x:c>
      <x:c r="K61" t="str">
        <x:v>Yes</x:v>
      </x:c>
      <x:c r="L61" t="str">
        <x:f>IF(F61="","UNKNOWN",IF(F61&lt;'WELL INPUTS'!$B$11,"BELOW","OK"))</x:f>
        <x:v>OK</x:v>
      </x:c>
      <x:c r="M61" t="str">
        <x:f>IF(AND('WELL INPUTS'!$B$4="Wet",'WELL INPUTS'!$B$5&gt;0),IF(I61="Yes","CATALOG SOUR","NOT LISTED"),"N/A")</x:f>
        <x:v>N/A</x:v>
      </x:c>
      <x:c r="N61" t="str">
        <x:f>IF(AND('WELL INPUTS'!$B$4="Wet",'WELL INPUTS'!$B$6&gt;0),IF(J61="Yes","ALLOY FAMILY","CORROSION CONTROL"),"N/A")</x:f>
        <x:v>ALLOY FAMILY</x:v>
      </x:c>
      <x:c r="O61" t="str">
        <x:f>IF('WELL INPUTS'!$B$12="Yes",IF(G61="Yes","CLAIMED","NOT LISTED"),"N/A")</x:f>
        <x:v>N/A</x:v>
      </x:c>
      <x:c r="P61" t="str">
        <x:f>IF(OR('WELL INPUTS'!$B$13="Unrestricted",CODE(H61)&lt;=CODE('WELL INPUTS'!$B$13)),"WITHIN TIER","OVER CAP")</x:f>
        <x:v>WITHIN TIER</x:v>
      </x:c>
      <x:c r="Q61" t="n">
        <x:f>MAX(0,MIN(100,43+IF(L61="OK",14,-20)+IF(M61="CATALOG SOUR",24,IF(M61="NOT LISTED",-18,0))+IF(N61="ALLOY FAMILY",14,IF(N61="CORROSION CONTROL",-13,0))+IF(O61="CLAIMED",17,IF(O61="NOT LISTED",-14,0))+IF(K61="Yes",-15,0)+IF('WELL INPUTS'!$B$10="Yes",-17,0)))</x:f>
        <x:v>56</x:v>
      </x:c>
      <x:c r="R61" s="83" t="str">
        <x:f>IF(L61="BELOW","EXCLUDE — STRENGTH",IF(P61="OVER CAP","EXCLUDE — COST",IF(K61="Yes",IF('WELL INPUTS'!$B$14="No","EXCLUDE — REFERENCE","REFERENCE ONLY"),IF(OR(L61="UNKNOWN",M61="NOT LISTED",N61="CORROSION CONTROL",O61="NOT LISTED",'WELL INPUTS'!$B$10="Yes",'WELL INPUTS'!$B$4="Unknown"),"REVIEW","CANDIDATE — VERIFY"))))</x:f>
        <x:v>EXCLUDE — REFERENCE</x:v>
      </x:c>
      <x:c r="S61" t="str">
        <x:f>IF(L61="BELOW","Increase minimum grade strength",IF(P61="OVER CAP","Relax cost tier or exclude",IF(K61="Yes","Identify qualified manufacturer grade",IF(M61="NOT LISTED","Confirm sour-service claim and ISO 15156",IF(O61="NOT LISTED","Obtain manufacturer collapse curve",IF(N61="CORROSION CONTROL","Model CO2 corrosion; review inhibition","Confirm corrosion, cracking, loads and connection"))))))</x:f>
        <x:v>Identify qualified manufacturer grade</x:v>
      </x:c>
      <x:c r="T61" t="str">
        <x:v>https://www.api.org/-/media/Files/Certification/Monogram-APIQR/0_API-Monogram-APIQR/LIFs/API_5CRA_Licensing_Information_Form_20230821.pdf</x:v>
      </x:c>
    </x:row>
    <x:row r="62" ht="23" customHeight="1">
      <x:c r="A62" t="str">
        <x:v>OCTG-0061</x:v>
      </x:c>
      <x:c r="B62" t="str">
        <x:v>API reference</x:v>
      </x:c>
      <x:c r="C62" t="str">
        <x:v>26-6-3 / 125 (PSL1)</x:v>
      </x:c>
      <x:c r="D62" t="str">
        <x:v>Super duplex 25Cr</x:v>
      </x:c>
      <x:c r="E62" t="str">
        <x:v>Wet CO2/chloride</x:v>
      </x:c>
      <x:c r="F62" s="82" t="n">
        <x:v>125</x:v>
      </x:c>
      <x:c r="G62" t="str">
        <x:v>No</x:v>
      </x:c>
      <x:c r="H62" t="str">
        <x:v>G</x:v>
      </x:c>
      <x:c r="I62" t="str">
        <x:v>No</x:v>
      </x:c>
      <x:c r="J62" t="str">
        <x:v>Yes</x:v>
      </x:c>
      <x:c r="K62" t="str">
        <x:v>Yes</x:v>
      </x:c>
      <x:c r="L62" t="str">
        <x:f>IF(F62="","UNKNOWN",IF(F62&lt;'WELL INPUTS'!$B$11,"BELOW","OK"))</x:f>
        <x:v>OK</x:v>
      </x:c>
      <x:c r="M62" t="str">
        <x:f>IF(AND('WELL INPUTS'!$B$4="Wet",'WELL INPUTS'!$B$5&gt;0),IF(I62="Yes","CATALOG SOUR","NOT LISTED"),"N/A")</x:f>
        <x:v>N/A</x:v>
      </x:c>
      <x:c r="N62" t="str">
        <x:f>IF(AND('WELL INPUTS'!$B$4="Wet",'WELL INPUTS'!$B$6&gt;0),IF(J62="Yes","ALLOY FAMILY","CORROSION CONTROL"),"N/A")</x:f>
        <x:v>ALLOY FAMILY</x:v>
      </x:c>
      <x:c r="O62" t="str">
        <x:f>IF('WELL INPUTS'!$B$12="Yes",IF(G62="Yes","CLAIMED","NOT LISTED"),"N/A")</x:f>
        <x:v>N/A</x:v>
      </x:c>
      <x:c r="P62" t="str">
        <x:f>IF(OR('WELL INPUTS'!$B$13="Unrestricted",CODE(H62)&lt;=CODE('WELL INPUTS'!$B$13)),"WITHIN TIER","OVER CAP")</x:f>
        <x:v>WITHIN TIER</x:v>
      </x:c>
      <x:c r="Q62" t="n">
        <x:f>MAX(0,MIN(100,43+IF(L62="OK",14,-20)+IF(M62="CATALOG SOUR",24,IF(M62="NOT LISTED",-18,0))+IF(N62="ALLOY FAMILY",14,IF(N62="CORROSION CONTROL",-13,0))+IF(O62="CLAIMED",17,IF(O62="NOT LISTED",-14,0))+IF(K62="Yes",-15,0)+IF('WELL INPUTS'!$B$10="Yes",-17,0)))</x:f>
        <x:v>56</x:v>
      </x:c>
      <x:c r="R62" s="83" t="str">
        <x:f>IF(L62="BELOW","EXCLUDE — STRENGTH",IF(P62="OVER CAP","EXCLUDE — COST",IF(K62="Yes",IF('WELL INPUTS'!$B$14="No","EXCLUDE — REFERENCE","REFERENCE ONLY"),IF(OR(L62="UNKNOWN",M62="NOT LISTED",N62="CORROSION CONTROL",O62="NOT LISTED",'WELL INPUTS'!$B$10="Yes",'WELL INPUTS'!$B$4="Unknown"),"REVIEW","CANDIDATE — VERIFY"))))</x:f>
        <x:v>EXCLUDE — REFERENCE</x:v>
      </x:c>
      <x:c r="S62" t="str">
        <x:f>IF(L62="BELOW","Increase minimum grade strength",IF(P62="OVER CAP","Relax cost tier or exclude",IF(K62="Yes","Identify qualified manufacturer grade",IF(M62="NOT LISTED","Confirm sour-service claim and ISO 15156",IF(O62="NOT LISTED","Obtain manufacturer collapse curve",IF(N62="CORROSION CONTROL","Model CO2 corrosion; review inhibition","Confirm corrosion, cracking, loads and connection"))))))</x:f>
        <x:v>Identify qualified manufacturer grade</x:v>
      </x:c>
      <x:c r="T62" t="str">
        <x:v>https://www.api.org/-/media/Files/Certification/Monogram-APIQR/0_API-Monogram-APIQR/LIFs/API_5CRA_Licensing_Information_Form_20230821.pdf</x:v>
      </x:c>
    </x:row>
    <x:row r="63" ht="23" customHeight="1">
      <x:c r="A63" t="str">
        <x:v>OCTG-0062</x:v>
      </x:c>
      <x:c r="B63" t="str">
        <x:v>API reference</x:v>
      </x:c>
      <x:c r="C63" t="str">
        <x:v>26-6-3 / 140 (PSL1)</x:v>
      </x:c>
      <x:c r="D63" t="str">
        <x:v>Super duplex 25Cr</x:v>
      </x:c>
      <x:c r="E63" t="str">
        <x:v>Wet CO2/chloride</x:v>
      </x:c>
      <x:c r="F63" s="82" t="n">
        <x:v>140</x:v>
      </x:c>
      <x:c r="G63" t="str">
        <x:v>No</x:v>
      </x:c>
      <x:c r="H63" t="str">
        <x:v>G</x:v>
      </x:c>
      <x:c r="I63" t="str">
        <x:v>No</x:v>
      </x:c>
      <x:c r="J63" t="str">
        <x:v>Yes</x:v>
      </x:c>
      <x:c r="K63" t="str">
        <x:v>Yes</x:v>
      </x:c>
      <x:c r="L63" t="str">
        <x:f>IF(F63="","UNKNOWN",IF(F63&lt;'WELL INPUTS'!$B$11,"BELOW","OK"))</x:f>
        <x:v>OK</x:v>
      </x:c>
      <x:c r="M63" t="str">
        <x:f>IF(AND('WELL INPUTS'!$B$4="Wet",'WELL INPUTS'!$B$5&gt;0),IF(I63="Yes","CATALOG SOUR","NOT LISTED"),"N/A")</x:f>
        <x:v>N/A</x:v>
      </x:c>
      <x:c r="N63" t="str">
        <x:f>IF(AND('WELL INPUTS'!$B$4="Wet",'WELL INPUTS'!$B$6&gt;0),IF(J63="Yes","ALLOY FAMILY","CORROSION CONTROL"),"N/A")</x:f>
        <x:v>ALLOY FAMILY</x:v>
      </x:c>
      <x:c r="O63" t="str">
        <x:f>IF('WELL INPUTS'!$B$12="Yes",IF(G63="Yes","CLAIMED","NOT LISTED"),"N/A")</x:f>
        <x:v>N/A</x:v>
      </x:c>
      <x:c r="P63" t="str">
        <x:f>IF(OR('WELL INPUTS'!$B$13="Unrestricted",CODE(H63)&lt;=CODE('WELL INPUTS'!$B$13)),"WITHIN TIER","OVER CAP")</x:f>
        <x:v>WITHIN TIER</x:v>
      </x:c>
      <x:c r="Q63" t="n">
        <x:f>MAX(0,MIN(100,43+IF(L63="OK",14,-20)+IF(M63="CATALOG SOUR",24,IF(M63="NOT LISTED",-18,0))+IF(N63="ALLOY FAMILY",14,IF(N63="CORROSION CONTROL",-13,0))+IF(O63="CLAIMED",17,IF(O63="NOT LISTED",-14,0))+IF(K63="Yes",-15,0)+IF('WELL INPUTS'!$B$10="Yes",-17,0)))</x:f>
        <x:v>56</x:v>
      </x:c>
      <x:c r="R63" s="83" t="str">
        <x:f>IF(L63="BELOW","EXCLUDE — STRENGTH",IF(P63="OVER CAP","EXCLUDE — COST",IF(K63="Yes",IF('WELL INPUTS'!$B$14="No","EXCLUDE — REFERENCE","REFERENCE ONLY"),IF(OR(L63="UNKNOWN",M63="NOT LISTED",N63="CORROSION CONTROL",O63="NOT LISTED",'WELL INPUTS'!$B$10="Yes",'WELL INPUTS'!$B$4="Unknown"),"REVIEW","CANDIDATE — VERIFY"))))</x:f>
        <x:v>EXCLUDE — REFERENCE</x:v>
      </x:c>
      <x:c r="S63" t="str">
        <x:f>IF(L63="BELOW","Increase minimum grade strength",IF(P63="OVER CAP","Relax cost tier or exclude",IF(K63="Yes","Identify qualified manufacturer grade",IF(M63="NOT LISTED","Confirm sour-service claim and ISO 15156",IF(O63="NOT LISTED","Obtain manufacturer collapse curve",IF(N63="CORROSION CONTROL","Model CO2 corrosion; review inhibition","Confirm corrosion, cracking, loads and connection"))))))</x:f>
        <x:v>Identify qualified manufacturer grade</x:v>
      </x:c>
      <x:c r="T63" t="str">
        <x:v>https://www.api.org/-/media/Files/Certification/Monogram-APIQR/0_API-Monogram-APIQR/LIFs/API_5CRA_Licensing_Information_Form_20230821.pdf</x:v>
      </x:c>
    </x:row>
    <x:row r="64" ht="23" customHeight="1">
      <x:c r="A64" t="str">
        <x:v>OCTG-0063</x:v>
      </x:c>
      <x:c r="B64" t="str">
        <x:v>API reference</x:v>
      </x:c>
      <x:c r="C64" t="str">
        <x:v>26-6-3 / 80 (PSL1)</x:v>
      </x:c>
      <x:c r="D64" t="str">
        <x:v>Super duplex 25Cr</x:v>
      </x:c>
      <x:c r="E64" t="str">
        <x:v>Wet CO2/chloride</x:v>
      </x:c>
      <x:c r="F64" s="82" t="n">
        <x:v>80</x:v>
      </x:c>
      <x:c r="G64" t="str">
        <x:v>No</x:v>
      </x:c>
      <x:c r="H64" t="str">
        <x:v>G</x:v>
      </x:c>
      <x:c r="I64" t="str">
        <x:v>No</x:v>
      </x:c>
      <x:c r="J64" t="str">
        <x:v>Yes</x:v>
      </x:c>
      <x:c r="K64" t="str">
        <x:v>Yes</x:v>
      </x:c>
      <x:c r="L64" t="str">
        <x:f>IF(F64="","UNKNOWN",IF(F64&lt;'WELL INPUTS'!$B$11,"BELOW","OK"))</x:f>
        <x:v>OK</x:v>
      </x:c>
      <x:c r="M64" t="str">
        <x:f>IF(AND('WELL INPUTS'!$B$4="Wet",'WELL INPUTS'!$B$5&gt;0),IF(I64="Yes","CATALOG SOUR","NOT LISTED"),"N/A")</x:f>
        <x:v>N/A</x:v>
      </x:c>
      <x:c r="N64" t="str">
        <x:f>IF(AND('WELL INPUTS'!$B$4="Wet",'WELL INPUTS'!$B$6&gt;0),IF(J64="Yes","ALLOY FAMILY","CORROSION CONTROL"),"N/A")</x:f>
        <x:v>ALLOY FAMILY</x:v>
      </x:c>
      <x:c r="O64" t="str">
        <x:f>IF('WELL INPUTS'!$B$12="Yes",IF(G64="Yes","CLAIMED","NOT LISTED"),"N/A")</x:f>
        <x:v>N/A</x:v>
      </x:c>
      <x:c r="P64" t="str">
        <x:f>IF(OR('WELL INPUTS'!$B$13="Unrestricted",CODE(H64)&lt;=CODE('WELL INPUTS'!$B$13)),"WITHIN TIER","OVER CAP")</x:f>
        <x:v>WITHIN TIER</x:v>
      </x:c>
      <x:c r="Q64" t="n">
        <x:f>MAX(0,MIN(100,43+IF(L64="OK",14,-20)+IF(M64="CATALOG SOUR",24,IF(M64="NOT LISTED",-18,0))+IF(N64="ALLOY FAMILY",14,IF(N64="CORROSION CONTROL",-13,0))+IF(O64="CLAIMED",17,IF(O64="NOT LISTED",-14,0))+IF(K64="Yes",-15,0)+IF('WELL INPUTS'!$B$10="Yes",-17,0)))</x:f>
        <x:v>56</x:v>
      </x:c>
      <x:c r="R64" s="83" t="str">
        <x:f>IF(L64="BELOW","EXCLUDE — STRENGTH",IF(P64="OVER CAP","EXCLUDE — COST",IF(K64="Yes",IF('WELL INPUTS'!$B$14="No","EXCLUDE — REFERENCE","REFERENCE ONLY"),IF(OR(L64="UNKNOWN",M64="NOT LISTED",N64="CORROSION CONTROL",O64="NOT LISTED",'WELL INPUTS'!$B$10="Yes",'WELL INPUTS'!$B$4="Unknown"),"REVIEW","CANDIDATE — VERIFY"))))</x:f>
        <x:v>EXCLUDE — REFERENCE</x:v>
      </x:c>
      <x:c r="S64" t="str">
        <x:f>IF(L64="BELOW","Increase minimum grade strength",IF(P64="OVER CAP","Relax cost tier or exclude",IF(K64="Yes","Identify qualified manufacturer grade",IF(M64="NOT LISTED","Confirm sour-service claim and ISO 15156",IF(O64="NOT LISTED","Obtain manufacturer collapse curve",IF(N64="CORROSION CONTROL","Model CO2 corrosion; review inhibition","Confirm corrosion, cracking, loads and connection"))))))</x:f>
        <x:v>Identify qualified manufacturer grade</x:v>
      </x:c>
      <x:c r="T64" t="str">
        <x:v>https://www.api.org/-/media/Files/Certification/Monogram-APIQR/0_API-Monogram-APIQR/LIFs/API_5CRA_Licensing_Information_Form_20230821.pdf</x:v>
      </x:c>
    </x:row>
    <x:row r="65" ht="23" customHeight="1">
      <x:c r="A65" t="str">
        <x:v>OCTG-0064</x:v>
      </x:c>
      <x:c r="B65" t="str">
        <x:v>API reference</x:v>
      </x:c>
      <x:c r="C65" t="str">
        <x:v>26-6-3 / 90 (PSL1)</x:v>
      </x:c>
      <x:c r="D65" t="str">
        <x:v>Super duplex 25Cr</x:v>
      </x:c>
      <x:c r="E65" t="str">
        <x:v>Wet CO2/chloride</x:v>
      </x:c>
      <x:c r="F65" s="82" t="n">
        <x:v>90</x:v>
      </x:c>
      <x:c r="G65" t="str">
        <x:v>No</x:v>
      </x:c>
      <x:c r="H65" t="str">
        <x:v>G</x:v>
      </x:c>
      <x:c r="I65" t="str">
        <x:v>No</x:v>
      </x:c>
      <x:c r="J65" t="str">
        <x:v>Yes</x:v>
      </x:c>
      <x:c r="K65" t="str">
        <x:v>Yes</x:v>
      </x:c>
      <x:c r="L65" t="str">
        <x:f>IF(F65="","UNKNOWN",IF(F65&lt;'WELL INPUTS'!$B$11,"BELOW","OK"))</x:f>
        <x:v>OK</x:v>
      </x:c>
      <x:c r="M65" t="str">
        <x:f>IF(AND('WELL INPUTS'!$B$4="Wet",'WELL INPUTS'!$B$5&gt;0),IF(I65="Yes","CATALOG SOUR","NOT LISTED"),"N/A")</x:f>
        <x:v>N/A</x:v>
      </x:c>
      <x:c r="N65" t="str">
        <x:f>IF(AND('WELL INPUTS'!$B$4="Wet",'WELL INPUTS'!$B$6&gt;0),IF(J65="Yes","ALLOY FAMILY","CORROSION CONTROL"),"N/A")</x:f>
        <x:v>ALLOY FAMILY</x:v>
      </x:c>
      <x:c r="O65" t="str">
        <x:f>IF('WELL INPUTS'!$B$12="Yes",IF(G65="Yes","CLAIMED","NOT LISTED"),"N/A")</x:f>
        <x:v>N/A</x:v>
      </x:c>
      <x:c r="P65" t="str">
        <x:f>IF(OR('WELL INPUTS'!$B$13="Unrestricted",CODE(H65)&lt;=CODE('WELL INPUTS'!$B$13)),"WITHIN TIER","OVER CAP")</x:f>
        <x:v>WITHIN TIER</x:v>
      </x:c>
      <x:c r="Q65" t="n">
        <x:f>MAX(0,MIN(100,43+IF(L65="OK",14,-20)+IF(M65="CATALOG SOUR",24,IF(M65="NOT LISTED",-18,0))+IF(N65="ALLOY FAMILY",14,IF(N65="CORROSION CONTROL",-13,0))+IF(O65="CLAIMED",17,IF(O65="NOT LISTED",-14,0))+IF(K65="Yes",-15,0)+IF('WELL INPUTS'!$B$10="Yes",-17,0)))</x:f>
        <x:v>56</x:v>
      </x:c>
      <x:c r="R65" s="83" t="str">
        <x:f>IF(L65="BELOW","EXCLUDE — STRENGTH",IF(P65="OVER CAP","EXCLUDE — COST",IF(K65="Yes",IF('WELL INPUTS'!$B$14="No","EXCLUDE — REFERENCE","REFERENCE ONLY"),IF(OR(L65="UNKNOWN",M65="NOT LISTED",N65="CORROSION CONTROL",O65="NOT LISTED",'WELL INPUTS'!$B$10="Yes",'WELL INPUTS'!$B$4="Unknown"),"REVIEW","CANDIDATE — VERIFY"))))</x:f>
        <x:v>EXCLUDE — REFERENCE</x:v>
      </x:c>
      <x:c r="S65" t="str">
        <x:f>IF(L65="BELOW","Increase minimum grade strength",IF(P65="OVER CAP","Relax cost tier or exclude",IF(K65="Yes","Identify qualified manufacturer grade",IF(M65="NOT LISTED","Confirm sour-service claim and ISO 15156",IF(O65="NOT LISTED","Obtain manufacturer collapse curve",IF(N65="CORROSION CONTROL","Model CO2 corrosion; review inhibition","Confirm corrosion, cracking, loads and connection"))))))</x:f>
        <x:v>Identify qualified manufacturer grade</x:v>
      </x:c>
      <x:c r="T65" t="str">
        <x:v>https://www.api.org/-/media/Files/Certification/Monogram-APIQR/0_API-Monogram-APIQR/LIFs/API_5CRA_Licensing_Information_Form_20230821.pdf</x:v>
      </x:c>
    </x:row>
    <x:row r="66" ht="23" customHeight="1">
      <x:c r="A66" t="str">
        <x:v>OCTG-0065</x:v>
      </x:c>
      <x:c r="B66" t="str">
        <x:v>Tenaris</x:v>
      </x:c>
      <x:c r="C66" t="str">
        <x:v>K55-IC</x:v>
      </x:c>
      <x:c r="D66" t="str">
        <x:v>Carbon / low alloy</x:v>
      </x:c>
      <x:c r="E66" t="str">
        <x:v>Improved collapse</x:v>
      </x:c>
      <x:c r="F66" s="82" t="n">
        <x:v>55</x:v>
      </x:c>
      <x:c r="G66" t="str">
        <x:v>Yes</x:v>
      </x:c>
      <x:c r="H66" t="str">
        <x:v>A</x:v>
      </x:c>
      <x:c r="I66" t="str">
        <x:v>No</x:v>
      </x:c>
      <x:c r="J66" t="str">
        <x:v>No</x:v>
      </x:c>
      <x:c r="K66" t="str">
        <x:v>No</x:v>
      </x:c>
      <x:c r="L66" t="str">
        <x:f>IF(F66="","UNKNOWN",IF(F66&lt;'WELL INPUTS'!$B$11,"BELOW","OK"))</x:f>
        <x:v>BELOW</x:v>
      </x:c>
      <x:c r="M66" t="str">
        <x:f>IF(AND('WELL INPUTS'!$B$4="Wet",'WELL INPUTS'!$B$5&gt;0),IF(I66="Yes","CATALOG SOUR","NOT LISTED"),"N/A")</x:f>
        <x:v>N/A</x:v>
      </x:c>
      <x:c r="N66" t="str">
        <x:f>IF(AND('WELL INPUTS'!$B$4="Wet",'WELL INPUTS'!$B$6&gt;0),IF(J66="Yes","ALLOY FAMILY","CORROSION CONTROL"),"N/A")</x:f>
        <x:v>CORROSION CONTROL</x:v>
      </x:c>
      <x:c r="O66" t="str">
        <x:f>IF('WELL INPUTS'!$B$12="Yes",IF(G66="Yes","CLAIMED","NOT LISTED"),"N/A")</x:f>
        <x:v>N/A</x:v>
      </x:c>
      <x:c r="P66" t="str">
        <x:f>IF(OR('WELL INPUTS'!$B$13="Unrestricted",CODE(H66)&lt;=CODE('WELL INPUTS'!$B$13)),"WITHIN TIER","OVER CAP")</x:f>
        <x:v>WITHIN TIER</x:v>
      </x:c>
      <x:c r="Q66" t="n">
        <x:f>MAX(0,MIN(100,43+IF(L66="OK",14,-20)+IF(M66="CATALOG SOUR",24,IF(M66="NOT LISTED",-18,0))+IF(N66="ALLOY FAMILY",14,IF(N66="CORROSION CONTROL",-13,0))+IF(O66="CLAIMED",17,IF(O66="NOT LISTED",-14,0))+IF(K66="Yes",-15,0)+IF('WELL INPUTS'!$B$10="Yes",-17,0)))</x:f>
        <x:v>10</x:v>
      </x:c>
      <x:c r="R66" s="83" t="str">
        <x:f>IF(L66="BELOW","EXCLUDE — STRENGTH",IF(P66="OVER CAP","EXCLUDE — COST",IF(K66="Yes",IF('WELL INPUTS'!$B$14="No","EXCLUDE — REFERENCE","REFERENCE ONLY"),IF(OR(L66="UNKNOWN",M66="NOT LISTED",N66="CORROSION CONTROL",O66="NOT LISTED",'WELL INPUTS'!$B$10="Yes",'WELL INPUTS'!$B$4="Unknown"),"REVIEW","CANDIDATE — VERIFY"))))</x:f>
        <x:v>EXCLUDE — STRENGTH</x:v>
      </x:c>
      <x:c r="S66" t="str">
        <x:f>IF(L66="BELOW","Increase minimum grade strength",IF(P66="OVER CAP","Relax cost tier or exclude",IF(K66="Yes","Identify qualified manufacturer grade",IF(M66="NOT LISTED","Confirm sour-service claim and ISO 15156",IF(O66="NOT LISTED","Obtain manufacturer collapse curve",IF(N66="CORROSION CONTROL","Model CO2 corrosion; review inhibition","Confirm corrosion, cracking, loads and connection"))))))</x:f>
        <x:v>Increase minimum grade strength</x:v>
      </x:c>
      <x:c r="T66" t="str">
        <x:v>https://www.tenaris.com/en/products-and-services/octg/steel-grades/</x:v>
      </x:c>
    </x:row>
    <x:row r="67" ht="23" customHeight="1">
      <x:c r="A67" t="str">
        <x:v>OCTG-0066</x:v>
      </x:c>
      <x:c r="B67" t="str">
        <x:v>Tenaris</x:v>
      </x:c>
      <x:c r="C67" t="str">
        <x:v>L80-EY</x:v>
      </x:c>
      <x:c r="D67" t="str">
        <x:v>Carbon / low alloy</x:v>
      </x:c>
      <x:c r="E67" t="str">
        <x:v>Enhanced yield/controlled mechanical properties</x:v>
      </x:c>
      <x:c r="F67" s="82" t="n">
        <x:v>80</x:v>
      </x:c>
      <x:c r="G67" t="str">
        <x:v>No</x:v>
      </x:c>
      <x:c r="H67" t="str">
        <x:v>A</x:v>
      </x:c>
      <x:c r="I67" t="str">
        <x:v>No</x:v>
      </x:c>
      <x:c r="J67" t="str">
        <x:v>No</x:v>
      </x:c>
      <x:c r="K67" t="str">
        <x:v>No</x:v>
      </x:c>
      <x:c r="L67" t="str">
        <x:f>IF(F67="","UNKNOWN",IF(F67&lt;'WELL INPUTS'!$B$11,"BELOW","OK"))</x:f>
        <x:v>OK</x:v>
      </x:c>
      <x:c r="M67" t="str">
        <x:f>IF(AND('WELL INPUTS'!$B$4="Wet",'WELL INPUTS'!$B$5&gt;0),IF(I67="Yes","CATALOG SOUR","NOT LISTED"),"N/A")</x:f>
        <x:v>N/A</x:v>
      </x:c>
      <x:c r="N67" t="str">
        <x:f>IF(AND('WELL INPUTS'!$B$4="Wet",'WELL INPUTS'!$B$6&gt;0),IF(J67="Yes","ALLOY FAMILY","CORROSION CONTROL"),"N/A")</x:f>
        <x:v>CORROSION CONTROL</x:v>
      </x:c>
      <x:c r="O67" t="str">
        <x:f>IF('WELL INPUTS'!$B$12="Yes",IF(G67="Yes","CLAIMED","NOT LISTED"),"N/A")</x:f>
        <x:v>N/A</x:v>
      </x:c>
      <x:c r="P67" t="str">
        <x:f>IF(OR('WELL INPUTS'!$B$13="Unrestricted",CODE(H67)&lt;=CODE('WELL INPUTS'!$B$13)),"WITHIN TIER","OVER CAP")</x:f>
        <x:v>WITHIN TIER</x:v>
      </x:c>
      <x:c r="Q67" t="n">
        <x:f>MAX(0,MIN(100,43+IF(L67="OK",14,-20)+IF(M67="CATALOG SOUR",24,IF(M67="NOT LISTED",-18,0))+IF(N67="ALLOY FAMILY",14,IF(N67="CORROSION CONTROL",-13,0))+IF(O67="CLAIMED",17,IF(O67="NOT LISTED",-14,0))+IF(K67="Yes",-15,0)+IF('WELL INPUTS'!$B$10="Yes",-17,0)))</x:f>
        <x:v>44</x:v>
      </x:c>
      <x:c r="R67" s="83" t="str">
        <x:f>IF(L67="BELOW","EXCLUDE — STRENGTH",IF(P67="OVER CAP","EXCLUDE — COST",IF(K67="Yes",IF('WELL INPUTS'!$B$14="No","EXCLUDE — REFERENCE","REFERENCE ONLY"),IF(OR(L67="UNKNOWN",M67="NOT LISTED",N67="CORROSION CONTROL",O67="NOT LISTED",'WELL INPUTS'!$B$10="Yes",'WELL INPUTS'!$B$4="Unknown"),"REVIEW","CANDIDATE — VERIFY"))))</x:f>
        <x:v>REVIEW</x:v>
      </x:c>
      <x:c r="S67" t="str">
        <x:f>IF(L67="BELOW","Increase minimum grade strength",IF(P67="OVER CAP","Relax cost tier or exclude",IF(K67="Yes","Identify qualified manufacturer grade",IF(M67="NOT LISTED","Confirm sour-service claim and ISO 15156",IF(O67="NOT LISTED","Obtain manufacturer collapse curve",IF(N67="CORROSION CONTROL","Model CO2 corrosion; review inhibition","Confirm corrosion, cracking, loads and connection"))))))</x:f>
        <x:v>Model CO2 corrosion; review inhibition</x:v>
      </x:c>
      <x:c r="T67" t="str">
        <x:v>https://www.tenaris.com/en/products-and-services/octg/steel-grades/</x:v>
      </x:c>
    </x:row>
    <x:row r="68" ht="23" customHeight="1">
      <x:c r="A68" t="str">
        <x:v>OCTG-0067</x:v>
      </x:c>
      <x:c r="B68" t="str">
        <x:v>Tenaris</x:v>
      </x:c>
      <x:c r="C68" t="str">
        <x:v>L80-IC</x:v>
      </x:c>
      <x:c r="D68" t="str">
        <x:v>Carbon / low alloy</x:v>
      </x:c>
      <x:c r="E68" t="str">
        <x:v>Improved collapse</x:v>
      </x:c>
      <x:c r="F68" s="82" t="n">
        <x:v>80</x:v>
      </x:c>
      <x:c r="G68" t="str">
        <x:v>Yes</x:v>
      </x:c>
      <x:c r="H68" t="str">
        <x:v>A</x:v>
      </x:c>
      <x:c r="I68" t="str">
        <x:v>No</x:v>
      </x:c>
      <x:c r="J68" t="str">
        <x:v>No</x:v>
      </x:c>
      <x:c r="K68" t="str">
        <x:v>No</x:v>
      </x:c>
      <x:c r="L68" t="str">
        <x:f>IF(F68="","UNKNOWN",IF(F68&lt;'WELL INPUTS'!$B$11,"BELOW","OK"))</x:f>
        <x:v>OK</x:v>
      </x:c>
      <x:c r="M68" t="str">
        <x:f>IF(AND('WELL INPUTS'!$B$4="Wet",'WELL INPUTS'!$B$5&gt;0),IF(I68="Yes","CATALOG SOUR","NOT LISTED"),"N/A")</x:f>
        <x:v>N/A</x:v>
      </x:c>
      <x:c r="N68" t="str">
        <x:f>IF(AND('WELL INPUTS'!$B$4="Wet",'WELL INPUTS'!$B$6&gt;0),IF(J68="Yes","ALLOY FAMILY","CORROSION CONTROL"),"N/A")</x:f>
        <x:v>CORROSION CONTROL</x:v>
      </x:c>
      <x:c r="O68" t="str">
        <x:f>IF('WELL INPUTS'!$B$12="Yes",IF(G68="Yes","CLAIMED","NOT LISTED"),"N/A")</x:f>
        <x:v>N/A</x:v>
      </x:c>
      <x:c r="P68" t="str">
        <x:f>IF(OR('WELL INPUTS'!$B$13="Unrestricted",CODE(H68)&lt;=CODE('WELL INPUTS'!$B$13)),"WITHIN TIER","OVER CAP")</x:f>
        <x:v>WITHIN TIER</x:v>
      </x:c>
      <x:c r="Q68" t="n">
        <x:f>MAX(0,MIN(100,43+IF(L68="OK",14,-20)+IF(M68="CATALOG SOUR",24,IF(M68="NOT LISTED",-18,0))+IF(N68="ALLOY FAMILY",14,IF(N68="CORROSION CONTROL",-13,0))+IF(O68="CLAIMED",17,IF(O68="NOT LISTED",-14,0))+IF(K68="Yes",-15,0)+IF('WELL INPUTS'!$B$10="Yes",-17,0)))</x:f>
        <x:v>44</x:v>
      </x:c>
      <x:c r="R68" s="83" t="str">
        <x:f>IF(L68="BELOW","EXCLUDE — STRENGTH",IF(P68="OVER CAP","EXCLUDE — COST",IF(K68="Yes",IF('WELL INPUTS'!$B$14="No","EXCLUDE — REFERENCE","REFERENCE ONLY"),IF(OR(L68="UNKNOWN",M68="NOT LISTED",N68="CORROSION CONTROL",O68="NOT LISTED",'WELL INPUTS'!$B$10="Yes",'WELL INPUTS'!$B$4="Unknown"),"REVIEW","CANDIDATE — VERIFY"))))</x:f>
        <x:v>REVIEW</x:v>
      </x:c>
      <x:c r="S68" t="str">
        <x:f>IF(L68="BELOW","Increase minimum grade strength",IF(P68="OVER CAP","Relax cost tier or exclude",IF(K68="Yes","Identify qualified manufacturer grade",IF(M68="NOT LISTED","Confirm sour-service claim and ISO 15156",IF(O68="NOT LISTED","Obtain manufacturer collapse curve",IF(N68="CORROSION CONTROL","Model CO2 corrosion; review inhibition","Confirm corrosion, cracking, loads and connection"))))))</x:f>
        <x:v>Model CO2 corrosion; review inhibition</x:v>
      </x:c>
      <x:c r="T68" t="str">
        <x:v>https://www.tenaris.com/en/products-and-services/octg/steel-grades/</x:v>
      </x:c>
    </x:row>
    <x:row r="69" ht="23" customHeight="1">
      <x:c r="A69" t="str">
        <x:v>OCTG-0068</x:v>
      </x:c>
      <x:c r="B69" t="str">
        <x:v>Tenaris</x:v>
      </x:c>
      <x:c r="C69" t="str">
        <x:v>L80-ICY</x:v>
      </x:c>
      <x:c r="D69" t="str">
        <x:v>Carbon / low alloy</x:v>
      </x:c>
      <x:c r="E69" t="str">
        <x:v>Improved collapse</x:v>
      </x:c>
      <x:c r="F69" s="82" t="n">
        <x:v>80</x:v>
      </x:c>
      <x:c r="G69" t="str">
        <x:v>Yes</x:v>
      </x:c>
      <x:c r="H69" t="str">
        <x:v>A</x:v>
      </x:c>
      <x:c r="I69" t="str">
        <x:v>No</x:v>
      </x:c>
      <x:c r="J69" t="str">
        <x:v>No</x:v>
      </x:c>
      <x:c r="K69" t="str">
        <x:v>No</x:v>
      </x:c>
      <x:c r="L69" t="str">
        <x:f>IF(F69="","UNKNOWN",IF(F69&lt;'WELL INPUTS'!$B$11,"BELOW","OK"))</x:f>
        <x:v>OK</x:v>
      </x:c>
      <x:c r="M69" t="str">
        <x:f>IF(AND('WELL INPUTS'!$B$4="Wet",'WELL INPUTS'!$B$5&gt;0),IF(I69="Yes","CATALOG SOUR","NOT LISTED"),"N/A")</x:f>
        <x:v>N/A</x:v>
      </x:c>
      <x:c r="N69" t="str">
        <x:f>IF(AND('WELL INPUTS'!$B$4="Wet",'WELL INPUTS'!$B$6&gt;0),IF(J69="Yes","ALLOY FAMILY","CORROSION CONTROL"),"N/A")</x:f>
        <x:v>CORROSION CONTROL</x:v>
      </x:c>
      <x:c r="O69" t="str">
        <x:f>IF('WELL INPUTS'!$B$12="Yes",IF(G69="Yes","CLAIMED","NOT LISTED"),"N/A")</x:f>
        <x:v>N/A</x:v>
      </x:c>
      <x:c r="P69" t="str">
        <x:f>IF(OR('WELL INPUTS'!$B$13="Unrestricted",CODE(H69)&lt;=CODE('WELL INPUTS'!$B$13)),"WITHIN TIER","OVER CAP")</x:f>
        <x:v>WITHIN TIER</x:v>
      </x:c>
      <x:c r="Q69" t="n">
        <x:f>MAX(0,MIN(100,43+IF(L69="OK",14,-20)+IF(M69="CATALOG SOUR",24,IF(M69="NOT LISTED",-18,0))+IF(N69="ALLOY FAMILY",14,IF(N69="CORROSION CONTROL",-13,0))+IF(O69="CLAIMED",17,IF(O69="NOT LISTED",-14,0))+IF(K69="Yes",-15,0)+IF('WELL INPUTS'!$B$10="Yes",-17,0)))</x:f>
        <x:v>44</x:v>
      </x:c>
      <x:c r="R69" s="83" t="str">
        <x:f>IF(L69="BELOW","EXCLUDE — STRENGTH",IF(P69="OVER CAP","EXCLUDE — COST",IF(K69="Yes",IF('WELL INPUTS'!$B$14="No","EXCLUDE — REFERENCE","REFERENCE ONLY"),IF(OR(L69="UNKNOWN",M69="NOT LISTED",N69="CORROSION CONTROL",O69="NOT LISTED",'WELL INPUTS'!$B$10="Yes",'WELL INPUTS'!$B$4="Unknown"),"REVIEW","CANDIDATE — VERIFY"))))</x:f>
        <x:v>REVIEW</x:v>
      </x:c>
      <x:c r="S69" t="str">
        <x:f>IF(L69="BELOW","Increase minimum grade strength",IF(P69="OVER CAP","Relax cost tier or exclude",IF(K69="Yes","Identify qualified manufacturer grade",IF(M69="NOT LISTED","Confirm sour-service claim and ISO 15156",IF(O69="NOT LISTED","Obtain manufacturer collapse curve",IF(N69="CORROSION CONTROL","Model CO2 corrosion; review inhibition","Confirm corrosion, cracking, loads and connection"))))))</x:f>
        <x:v>Model CO2 corrosion; review inhibition</x:v>
      </x:c>
      <x:c r="T69" t="str">
        <x:v>https://www.tenaris.com/en/products-and-services/octg/steel-grades/</x:v>
      </x:c>
    </x:row>
    <x:row r="70" ht="23" customHeight="1">
      <x:c r="A70" t="str">
        <x:v>OCTG-0069</x:v>
      </x:c>
      <x:c r="B70" t="str">
        <x:v>Tenaris</x:v>
      </x:c>
      <x:c r="C70" t="str">
        <x:v>P110-CY</x:v>
      </x:c>
      <x:c r="D70" t="str">
        <x:v>Carbon / low alloy</x:v>
      </x:c>
      <x:c r="E70" t="str">
        <x:v>Controlled yield / mild sour (depending on grade)</x:v>
      </x:c>
      <x:c r="F70" s="82" t="n">
        <x:v>110</x:v>
      </x:c>
      <x:c r="G70" t="str">
        <x:v>No</x:v>
      </x:c>
      <x:c r="H70" t="str">
        <x:v>A</x:v>
      </x:c>
      <x:c r="I70" t="str">
        <x:v>Yes</x:v>
      </x:c>
      <x:c r="J70" t="str">
        <x:v>No</x:v>
      </x:c>
      <x:c r="K70" t="str">
        <x:v>No</x:v>
      </x:c>
      <x:c r="L70" t="str">
        <x:f>IF(F70="","UNKNOWN",IF(F70&lt;'WELL INPUTS'!$B$11,"BELOW","OK"))</x:f>
        <x:v>OK</x:v>
      </x:c>
      <x:c r="M70" t="str">
        <x:f>IF(AND('WELL INPUTS'!$B$4="Wet",'WELL INPUTS'!$B$5&gt;0),IF(I70="Yes","CATALOG SOUR","NOT LISTED"),"N/A")</x:f>
        <x:v>N/A</x:v>
      </x:c>
      <x:c r="N70" t="str">
        <x:f>IF(AND('WELL INPUTS'!$B$4="Wet",'WELL INPUTS'!$B$6&gt;0),IF(J70="Yes","ALLOY FAMILY","CORROSION CONTROL"),"N/A")</x:f>
        <x:v>CORROSION CONTROL</x:v>
      </x:c>
      <x:c r="O70" t="str">
        <x:f>IF('WELL INPUTS'!$B$12="Yes",IF(G70="Yes","CLAIMED","NOT LISTED"),"N/A")</x:f>
        <x:v>N/A</x:v>
      </x:c>
      <x:c r="P70" t="str">
        <x:f>IF(OR('WELL INPUTS'!$B$13="Unrestricted",CODE(H70)&lt;=CODE('WELL INPUTS'!$B$13)),"WITHIN TIER","OVER CAP")</x:f>
        <x:v>WITHIN TIER</x:v>
      </x:c>
      <x:c r="Q70" t="n">
        <x:f>MAX(0,MIN(100,43+IF(L70="OK",14,-20)+IF(M70="CATALOG SOUR",24,IF(M70="NOT LISTED",-18,0))+IF(N70="ALLOY FAMILY",14,IF(N70="CORROSION CONTROL",-13,0))+IF(O70="CLAIMED",17,IF(O70="NOT LISTED",-14,0))+IF(K70="Yes",-15,0)+IF('WELL INPUTS'!$B$10="Yes",-17,0)))</x:f>
        <x:v>44</x:v>
      </x:c>
      <x:c r="R70" s="83" t="str">
        <x:f>IF(L70="BELOW","EXCLUDE — STRENGTH",IF(P70="OVER CAP","EXCLUDE — COST",IF(K70="Yes",IF('WELL INPUTS'!$B$14="No","EXCLUDE — REFERENCE","REFERENCE ONLY"),IF(OR(L70="UNKNOWN",M70="NOT LISTED",N70="CORROSION CONTROL",O70="NOT LISTED",'WELL INPUTS'!$B$10="Yes",'WELL INPUTS'!$B$4="Unknown"),"REVIEW","CANDIDATE — VERIFY"))))</x:f>
        <x:v>REVIEW</x:v>
      </x:c>
      <x:c r="S70" t="str">
        <x:f>IF(L70="BELOW","Increase minimum grade strength",IF(P70="OVER CAP","Relax cost tier or exclude",IF(K70="Yes","Identify qualified manufacturer grade",IF(M70="NOT LISTED","Confirm sour-service claim and ISO 15156",IF(O70="NOT LISTED","Obtain manufacturer collapse curve",IF(N70="CORROSION CONTROL","Model CO2 corrosion; review inhibition","Confirm corrosion, cracking, loads and connection"))))))</x:f>
        <x:v>Model CO2 corrosion; review inhibition</x:v>
      </x:c>
      <x:c r="T70" t="str">
        <x:v>https://www.tenaris.com/en/products-and-services/octg/steel-grades/</x:v>
      </x:c>
    </x:row>
    <x:row r="71" ht="23" customHeight="1">
      <x:c r="A71" t="str">
        <x:v>OCTG-0070</x:v>
      </x:c>
      <x:c r="B71" t="str">
        <x:v>Tenaris</x:v>
      </x:c>
      <x:c r="C71" t="str">
        <x:v>P110-CYE</x:v>
      </x:c>
      <x:c r="D71" t="str">
        <x:v>Carbon / low alloy</x:v>
      </x:c>
      <x:c r="E71" t="str">
        <x:v>Controlled yield / mild sour (depending on grade)</x:v>
      </x:c>
      <x:c r="F71" s="82" t="n">
        <x:v>110</x:v>
      </x:c>
      <x:c r="G71" t="str">
        <x:v>No</x:v>
      </x:c>
      <x:c r="H71" t="str">
        <x:v>A</x:v>
      </x:c>
      <x:c r="I71" t="str">
        <x:v>Yes</x:v>
      </x:c>
      <x:c r="J71" t="str">
        <x:v>No</x:v>
      </x:c>
      <x:c r="K71" t="str">
        <x:v>No</x:v>
      </x:c>
      <x:c r="L71" t="str">
        <x:f>IF(F71="","UNKNOWN",IF(F71&lt;'WELL INPUTS'!$B$11,"BELOW","OK"))</x:f>
        <x:v>OK</x:v>
      </x:c>
      <x:c r="M71" t="str">
        <x:f>IF(AND('WELL INPUTS'!$B$4="Wet",'WELL INPUTS'!$B$5&gt;0),IF(I71="Yes","CATALOG SOUR","NOT LISTED"),"N/A")</x:f>
        <x:v>N/A</x:v>
      </x:c>
      <x:c r="N71" t="str">
        <x:f>IF(AND('WELL INPUTS'!$B$4="Wet",'WELL INPUTS'!$B$6&gt;0),IF(J71="Yes","ALLOY FAMILY","CORROSION CONTROL"),"N/A")</x:f>
        <x:v>CORROSION CONTROL</x:v>
      </x:c>
      <x:c r="O71" t="str">
        <x:f>IF('WELL INPUTS'!$B$12="Yes",IF(G71="Yes","CLAIMED","NOT LISTED"),"N/A")</x:f>
        <x:v>N/A</x:v>
      </x:c>
      <x:c r="P71" t="str">
        <x:f>IF(OR('WELL INPUTS'!$B$13="Unrestricted",CODE(H71)&lt;=CODE('WELL INPUTS'!$B$13)),"WITHIN TIER","OVER CAP")</x:f>
        <x:v>WITHIN TIER</x:v>
      </x:c>
      <x:c r="Q71" t="n">
        <x:f>MAX(0,MIN(100,43+IF(L71="OK",14,-20)+IF(M71="CATALOG SOUR",24,IF(M71="NOT LISTED",-18,0))+IF(N71="ALLOY FAMILY",14,IF(N71="CORROSION CONTROL",-13,0))+IF(O71="CLAIMED",17,IF(O71="NOT LISTED",-14,0))+IF(K71="Yes",-15,0)+IF('WELL INPUTS'!$B$10="Yes",-17,0)))</x:f>
        <x:v>44</x:v>
      </x:c>
      <x:c r="R71" s="83" t="str">
        <x:f>IF(L71="BELOW","EXCLUDE — STRENGTH",IF(P71="OVER CAP","EXCLUDE — COST",IF(K71="Yes",IF('WELL INPUTS'!$B$14="No","EXCLUDE — REFERENCE","REFERENCE ONLY"),IF(OR(L71="UNKNOWN",M71="NOT LISTED",N71="CORROSION CONTROL",O71="NOT LISTED",'WELL INPUTS'!$B$10="Yes",'WELL INPUTS'!$B$4="Unknown"),"REVIEW","CANDIDATE — VERIFY"))))</x:f>
        <x:v>REVIEW</x:v>
      </x:c>
      <x:c r="S71" t="str">
        <x:f>IF(L71="BELOW","Increase minimum grade strength",IF(P71="OVER CAP","Relax cost tier or exclude",IF(K71="Yes","Identify qualified manufacturer grade",IF(M71="NOT LISTED","Confirm sour-service claim and ISO 15156",IF(O71="NOT LISTED","Obtain manufacturer collapse curve",IF(N71="CORROSION CONTROL","Model CO2 corrosion; review inhibition","Confirm corrosion, cracking, loads and connection"))))))</x:f>
        <x:v>Model CO2 corrosion; review inhibition</x:v>
      </x:c>
      <x:c r="T71" t="str">
        <x:v>https://www.tenaris.com/en/products-and-services/octg/steel-grades/</x:v>
      </x:c>
    </x:row>
    <x:row r="72" ht="23" customHeight="1">
      <x:c r="A72" t="str">
        <x:v>OCTG-0071</x:v>
      </x:c>
      <x:c r="B72" t="str">
        <x:v>Tenaris</x:v>
      </x:c>
      <x:c r="C72" t="str">
        <x:v>P110-EY</x:v>
      </x:c>
      <x:c r="D72" t="str">
        <x:v>Carbon / low alloy</x:v>
      </x:c>
      <x:c r="E72" t="str">
        <x:v>Enhanced yield/controlled mechanical properties</x:v>
      </x:c>
      <x:c r="F72" s="82" t="n">
        <x:v>110</x:v>
      </x:c>
      <x:c r="G72" t="str">
        <x:v>No</x:v>
      </x:c>
      <x:c r="H72" t="str">
        <x:v>A</x:v>
      </x:c>
      <x:c r="I72" t="str">
        <x:v>No</x:v>
      </x:c>
      <x:c r="J72" t="str">
        <x:v>No</x:v>
      </x:c>
      <x:c r="K72" t="str">
        <x:v>No</x:v>
      </x:c>
      <x:c r="L72" t="str">
        <x:f>IF(F72="","UNKNOWN",IF(F72&lt;'WELL INPUTS'!$B$11,"BELOW","OK"))</x:f>
        <x:v>OK</x:v>
      </x:c>
      <x:c r="M72" t="str">
        <x:f>IF(AND('WELL INPUTS'!$B$4="Wet",'WELL INPUTS'!$B$5&gt;0),IF(I72="Yes","CATALOG SOUR","NOT LISTED"),"N/A")</x:f>
        <x:v>N/A</x:v>
      </x:c>
      <x:c r="N72" t="str">
        <x:f>IF(AND('WELL INPUTS'!$B$4="Wet",'WELL INPUTS'!$B$6&gt;0),IF(J72="Yes","ALLOY FAMILY","CORROSION CONTROL"),"N/A")</x:f>
        <x:v>CORROSION CONTROL</x:v>
      </x:c>
      <x:c r="O72" t="str">
        <x:f>IF('WELL INPUTS'!$B$12="Yes",IF(G72="Yes","CLAIMED","NOT LISTED"),"N/A")</x:f>
        <x:v>N/A</x:v>
      </x:c>
      <x:c r="P72" t="str">
        <x:f>IF(OR('WELL INPUTS'!$B$13="Unrestricted",CODE(H72)&lt;=CODE('WELL INPUTS'!$B$13)),"WITHIN TIER","OVER CAP")</x:f>
        <x:v>WITHIN TIER</x:v>
      </x:c>
      <x:c r="Q72" t="n">
        <x:f>MAX(0,MIN(100,43+IF(L72="OK",14,-20)+IF(M72="CATALOG SOUR",24,IF(M72="NOT LISTED",-18,0))+IF(N72="ALLOY FAMILY",14,IF(N72="CORROSION CONTROL",-13,0))+IF(O72="CLAIMED",17,IF(O72="NOT LISTED",-14,0))+IF(K72="Yes",-15,0)+IF('WELL INPUTS'!$B$10="Yes",-17,0)))</x:f>
        <x:v>44</x:v>
      </x:c>
      <x:c r="R72" s="83" t="str">
        <x:f>IF(L72="BELOW","EXCLUDE — STRENGTH",IF(P72="OVER CAP","EXCLUDE — COST",IF(K72="Yes",IF('WELL INPUTS'!$B$14="No","EXCLUDE — REFERENCE","REFERENCE ONLY"),IF(OR(L72="UNKNOWN",M72="NOT LISTED",N72="CORROSION CONTROL",O72="NOT LISTED",'WELL INPUTS'!$B$10="Yes",'WELL INPUTS'!$B$4="Unknown"),"REVIEW","CANDIDATE — VERIFY"))))</x:f>
        <x:v>REVIEW</x:v>
      </x:c>
      <x:c r="S72" t="str">
        <x:f>IF(L72="BELOW","Increase minimum grade strength",IF(P72="OVER CAP","Relax cost tier or exclude",IF(K72="Yes","Identify qualified manufacturer grade",IF(M72="NOT LISTED","Confirm sour-service claim and ISO 15156",IF(O72="NOT LISTED","Obtain manufacturer collapse curve",IF(N72="CORROSION CONTROL","Model CO2 corrosion; review inhibition","Confirm corrosion, cracking, loads and connection"))))))</x:f>
        <x:v>Model CO2 corrosion; review inhibition</x:v>
      </x:c>
      <x:c r="T72" t="str">
        <x:v>https://www.tenaris.com/en/products-and-services/octg/steel-grades/</x:v>
      </x:c>
    </x:row>
    <x:row r="73" ht="23" customHeight="1">
      <x:c r="A73" t="str">
        <x:v>OCTG-0072</x:v>
      </x:c>
      <x:c r="B73" t="str">
        <x:v>Tenaris</x:v>
      </x:c>
      <x:c r="C73" t="str">
        <x:v>P110-IC</x:v>
      </x:c>
      <x:c r="D73" t="str">
        <x:v>Carbon / low alloy</x:v>
      </x:c>
      <x:c r="E73" t="str">
        <x:v>Improved collapse</x:v>
      </x:c>
      <x:c r="F73" s="82" t="n">
        <x:v>110</x:v>
      </x:c>
      <x:c r="G73" t="str">
        <x:v>Yes</x:v>
      </x:c>
      <x:c r="H73" t="str">
        <x:v>A</x:v>
      </x:c>
      <x:c r="I73" t="str">
        <x:v>No</x:v>
      </x:c>
      <x:c r="J73" t="str">
        <x:v>No</x:v>
      </x:c>
      <x:c r="K73" t="str">
        <x:v>No</x:v>
      </x:c>
      <x:c r="L73" t="str">
        <x:f>IF(F73="","UNKNOWN",IF(F73&lt;'WELL INPUTS'!$B$11,"BELOW","OK"))</x:f>
        <x:v>OK</x:v>
      </x:c>
      <x:c r="M73" t="str">
        <x:f>IF(AND('WELL INPUTS'!$B$4="Wet",'WELL INPUTS'!$B$5&gt;0),IF(I73="Yes","CATALOG SOUR","NOT LISTED"),"N/A")</x:f>
        <x:v>N/A</x:v>
      </x:c>
      <x:c r="N73" t="str">
        <x:f>IF(AND('WELL INPUTS'!$B$4="Wet",'WELL INPUTS'!$B$6&gt;0),IF(J73="Yes","ALLOY FAMILY","CORROSION CONTROL"),"N/A")</x:f>
        <x:v>CORROSION CONTROL</x:v>
      </x:c>
      <x:c r="O73" t="str">
        <x:f>IF('WELL INPUTS'!$B$12="Yes",IF(G73="Yes","CLAIMED","NOT LISTED"),"N/A")</x:f>
        <x:v>N/A</x:v>
      </x:c>
      <x:c r="P73" t="str">
        <x:f>IF(OR('WELL INPUTS'!$B$13="Unrestricted",CODE(H73)&lt;=CODE('WELL INPUTS'!$B$13)),"WITHIN TIER","OVER CAP")</x:f>
        <x:v>WITHIN TIER</x:v>
      </x:c>
      <x:c r="Q73" t="n">
        <x:f>MAX(0,MIN(100,43+IF(L73="OK",14,-20)+IF(M73="CATALOG SOUR",24,IF(M73="NOT LISTED",-18,0))+IF(N73="ALLOY FAMILY",14,IF(N73="CORROSION CONTROL",-13,0))+IF(O73="CLAIMED",17,IF(O73="NOT LISTED",-14,0))+IF(K73="Yes",-15,0)+IF('WELL INPUTS'!$B$10="Yes",-17,0)))</x:f>
        <x:v>44</x:v>
      </x:c>
      <x:c r="R73" s="83" t="str">
        <x:f>IF(L73="BELOW","EXCLUDE — STRENGTH",IF(P73="OVER CAP","EXCLUDE — COST",IF(K73="Yes",IF('WELL INPUTS'!$B$14="No","EXCLUDE — REFERENCE","REFERENCE ONLY"),IF(OR(L73="UNKNOWN",M73="NOT LISTED",N73="CORROSION CONTROL",O73="NOT LISTED",'WELL INPUTS'!$B$10="Yes",'WELL INPUTS'!$B$4="Unknown"),"REVIEW","CANDIDATE — VERIFY"))))</x:f>
        <x:v>REVIEW</x:v>
      </x:c>
      <x:c r="S73" t="str">
        <x:f>IF(L73="BELOW","Increase minimum grade strength",IF(P73="OVER CAP","Relax cost tier or exclude",IF(K73="Yes","Identify qualified manufacturer grade",IF(M73="NOT LISTED","Confirm sour-service claim and ISO 15156",IF(O73="NOT LISTED","Obtain manufacturer collapse curve",IF(N73="CORROSION CONTROL","Model CO2 corrosion; review inhibition","Confirm corrosion, cracking, loads and connection"))))))</x:f>
        <x:v>Model CO2 corrosion; review inhibition</x:v>
      </x:c>
      <x:c r="T73" t="str">
        <x:v>https://www.tenaris.com/en/products-and-services/octg/steel-grades/</x:v>
      </x:c>
    </x:row>
    <x:row r="74" ht="23" customHeight="1">
      <x:c r="A74" t="str">
        <x:v>OCTG-0073</x:v>
      </x:c>
      <x:c r="B74" t="str">
        <x:v>Tenaris</x:v>
      </x:c>
      <x:c r="C74" t="str">
        <x:v>P110-ICY</x:v>
      </x:c>
      <x:c r="D74" t="str">
        <x:v>Carbon / low alloy</x:v>
      </x:c>
      <x:c r="E74" t="str">
        <x:v>Improved collapse</x:v>
      </x:c>
      <x:c r="F74" s="82" t="n">
        <x:v>110</x:v>
      </x:c>
      <x:c r="G74" t="str">
        <x:v>Yes</x:v>
      </x:c>
      <x:c r="H74" t="str">
        <x:v>A</x:v>
      </x:c>
      <x:c r="I74" t="str">
        <x:v>No</x:v>
      </x:c>
      <x:c r="J74" t="str">
        <x:v>No</x:v>
      </x:c>
      <x:c r="K74" t="str">
        <x:v>No</x:v>
      </x:c>
      <x:c r="L74" t="str">
        <x:f>IF(F74="","UNKNOWN",IF(F74&lt;'WELL INPUTS'!$B$11,"BELOW","OK"))</x:f>
        <x:v>OK</x:v>
      </x:c>
      <x:c r="M74" t="str">
        <x:f>IF(AND('WELL INPUTS'!$B$4="Wet",'WELL INPUTS'!$B$5&gt;0),IF(I74="Yes","CATALOG SOUR","NOT LISTED"),"N/A")</x:f>
        <x:v>N/A</x:v>
      </x:c>
      <x:c r="N74" t="str">
        <x:f>IF(AND('WELL INPUTS'!$B$4="Wet",'WELL INPUTS'!$B$6&gt;0),IF(J74="Yes","ALLOY FAMILY","CORROSION CONTROL"),"N/A")</x:f>
        <x:v>CORROSION CONTROL</x:v>
      </x:c>
      <x:c r="O74" t="str">
        <x:f>IF('WELL INPUTS'!$B$12="Yes",IF(G74="Yes","CLAIMED","NOT LISTED"),"N/A")</x:f>
        <x:v>N/A</x:v>
      </x:c>
      <x:c r="P74" t="str">
        <x:f>IF(OR('WELL INPUTS'!$B$13="Unrestricted",CODE(H74)&lt;=CODE('WELL INPUTS'!$B$13)),"WITHIN TIER","OVER CAP")</x:f>
        <x:v>WITHIN TIER</x:v>
      </x:c>
      <x:c r="Q74" t="n">
        <x:f>MAX(0,MIN(100,43+IF(L74="OK",14,-20)+IF(M74="CATALOG SOUR",24,IF(M74="NOT LISTED",-18,0))+IF(N74="ALLOY FAMILY",14,IF(N74="CORROSION CONTROL",-13,0))+IF(O74="CLAIMED",17,IF(O74="NOT LISTED",-14,0))+IF(K74="Yes",-15,0)+IF('WELL INPUTS'!$B$10="Yes",-17,0)))</x:f>
        <x:v>44</x:v>
      </x:c>
      <x:c r="R74" s="83" t="str">
        <x:f>IF(L74="BELOW","EXCLUDE — STRENGTH",IF(P74="OVER CAP","EXCLUDE — COST",IF(K74="Yes",IF('WELL INPUTS'!$B$14="No","EXCLUDE — REFERENCE","REFERENCE ONLY"),IF(OR(L74="UNKNOWN",M74="NOT LISTED",N74="CORROSION CONTROL",O74="NOT LISTED",'WELL INPUTS'!$B$10="Yes",'WELL INPUTS'!$B$4="Unknown"),"REVIEW","CANDIDATE — VERIFY"))))</x:f>
        <x:v>REVIEW</x:v>
      </x:c>
      <x:c r="S74" t="str">
        <x:f>IF(L74="BELOW","Increase minimum grade strength",IF(P74="OVER CAP","Relax cost tier or exclude",IF(K74="Yes","Identify qualified manufacturer grade",IF(M74="NOT LISTED","Confirm sour-service claim and ISO 15156",IF(O74="NOT LISTED","Obtain manufacturer collapse curve",IF(N74="CORROSION CONTROL","Model CO2 corrosion; review inhibition","Confirm corrosion, cracking, loads and connection"))))))</x:f>
        <x:v>Model CO2 corrosion; review inhibition</x:v>
      </x:c>
      <x:c r="T74" t="str">
        <x:v>https://www.tenaris.com/en/products-and-services/octg/steel-grades/</x:v>
      </x:c>
    </x:row>
    <x:row r="75" ht="23" customHeight="1">
      <x:c r="A75" t="str">
        <x:v>OCTG-0074</x:v>
      </x:c>
      <x:c r="B75" t="str">
        <x:v>Tenaris</x:v>
      </x:c>
      <x:c r="C75" t="str">
        <x:v>P110-S</x:v>
      </x:c>
      <x:c r="D75" t="str">
        <x:v>Carbon / low alloy</x:v>
      </x:c>
      <x:c r="E75" t="str">
        <x:v>Controlled yield / mild sour (depending on grade)</x:v>
      </x:c>
      <x:c r="F75" s="82" t="n">
        <x:v>110</x:v>
      </x:c>
      <x:c r="G75" t="str">
        <x:v>No</x:v>
      </x:c>
      <x:c r="H75" t="str">
        <x:v>A</x:v>
      </x:c>
      <x:c r="I75" t="str">
        <x:v>Yes</x:v>
      </x:c>
      <x:c r="J75" t="str">
        <x:v>No</x:v>
      </x:c>
      <x:c r="K75" t="str">
        <x:v>No</x:v>
      </x:c>
      <x:c r="L75" t="str">
        <x:f>IF(F75="","UNKNOWN",IF(F75&lt;'WELL INPUTS'!$B$11,"BELOW","OK"))</x:f>
        <x:v>OK</x:v>
      </x:c>
      <x:c r="M75" t="str">
        <x:f>IF(AND('WELL INPUTS'!$B$4="Wet",'WELL INPUTS'!$B$5&gt;0),IF(I75="Yes","CATALOG SOUR","NOT LISTED"),"N/A")</x:f>
        <x:v>N/A</x:v>
      </x:c>
      <x:c r="N75" t="str">
        <x:f>IF(AND('WELL INPUTS'!$B$4="Wet",'WELL INPUTS'!$B$6&gt;0),IF(J75="Yes","ALLOY FAMILY","CORROSION CONTROL"),"N/A")</x:f>
        <x:v>CORROSION CONTROL</x:v>
      </x:c>
      <x:c r="O75" t="str">
        <x:f>IF('WELL INPUTS'!$B$12="Yes",IF(G75="Yes","CLAIMED","NOT LISTED"),"N/A")</x:f>
        <x:v>N/A</x:v>
      </x:c>
      <x:c r="P75" t="str">
        <x:f>IF(OR('WELL INPUTS'!$B$13="Unrestricted",CODE(H75)&lt;=CODE('WELL INPUTS'!$B$13)),"WITHIN TIER","OVER CAP")</x:f>
        <x:v>WITHIN TIER</x:v>
      </x:c>
      <x:c r="Q75" t="n">
        <x:f>MAX(0,MIN(100,43+IF(L75="OK",14,-20)+IF(M75="CATALOG SOUR",24,IF(M75="NOT LISTED",-18,0))+IF(N75="ALLOY FAMILY",14,IF(N75="CORROSION CONTROL",-13,0))+IF(O75="CLAIMED",17,IF(O75="NOT LISTED",-14,0))+IF(K75="Yes",-15,0)+IF('WELL INPUTS'!$B$10="Yes",-17,0)))</x:f>
        <x:v>44</x:v>
      </x:c>
      <x:c r="R75" s="83" t="str">
        <x:f>IF(L75="BELOW","EXCLUDE — STRENGTH",IF(P75="OVER CAP","EXCLUDE — COST",IF(K75="Yes",IF('WELL INPUTS'!$B$14="No","EXCLUDE — REFERENCE","REFERENCE ONLY"),IF(OR(L75="UNKNOWN",M75="NOT LISTED",N75="CORROSION CONTROL",O75="NOT LISTED",'WELL INPUTS'!$B$10="Yes",'WELL INPUTS'!$B$4="Unknown"),"REVIEW","CANDIDATE — VERIFY"))))</x:f>
        <x:v>REVIEW</x:v>
      </x:c>
      <x:c r="S75" t="str">
        <x:f>IF(L75="BELOW","Increase minimum grade strength",IF(P75="OVER CAP","Relax cost tier or exclude",IF(K75="Yes","Identify qualified manufacturer grade",IF(M75="NOT LISTED","Confirm sour-service claim and ISO 15156",IF(O75="NOT LISTED","Obtain manufacturer collapse curve",IF(N75="CORROSION CONTROL","Model CO2 corrosion; review inhibition","Confirm corrosion, cracking, loads and connection"))))))</x:f>
        <x:v>Model CO2 corrosion; review inhibition</x:v>
      </x:c>
      <x:c r="T75" t="str">
        <x:v>https://www.tenaris.com/en/products-and-services/octg/steel-grades/</x:v>
      </x:c>
    </x:row>
    <x:row r="76" ht="23" customHeight="1">
      <x:c r="A76" t="str">
        <x:v>OCTG-0075</x:v>
      </x:c>
      <x:c r="B76" t="str">
        <x:v>Tenaris</x:v>
      </x:c>
      <x:c r="C76" t="str">
        <x:v>Q125-EY</x:v>
      </x:c>
      <x:c r="D76" t="str">
        <x:v>Carbon / low alloy</x:v>
      </x:c>
      <x:c r="E76" t="str">
        <x:v>Enhanced yield/controlled mechanical properties</x:v>
      </x:c>
      <x:c r="F76" s="82" t="n">
        <x:v>125</x:v>
      </x:c>
      <x:c r="G76" t="str">
        <x:v>No</x:v>
      </x:c>
      <x:c r="H76" t="str">
        <x:v>A</x:v>
      </x:c>
      <x:c r="I76" t="str">
        <x:v>No</x:v>
      </x:c>
      <x:c r="J76" t="str">
        <x:v>No</x:v>
      </x:c>
      <x:c r="K76" t="str">
        <x:v>No</x:v>
      </x:c>
      <x:c r="L76" t="str">
        <x:f>IF(F76="","UNKNOWN",IF(F76&lt;'WELL INPUTS'!$B$11,"BELOW","OK"))</x:f>
        <x:v>OK</x:v>
      </x:c>
      <x:c r="M76" t="str">
        <x:f>IF(AND('WELL INPUTS'!$B$4="Wet",'WELL INPUTS'!$B$5&gt;0),IF(I76="Yes","CATALOG SOUR","NOT LISTED"),"N/A")</x:f>
        <x:v>N/A</x:v>
      </x:c>
      <x:c r="N76" t="str">
        <x:f>IF(AND('WELL INPUTS'!$B$4="Wet",'WELL INPUTS'!$B$6&gt;0),IF(J76="Yes","ALLOY FAMILY","CORROSION CONTROL"),"N/A")</x:f>
        <x:v>CORROSION CONTROL</x:v>
      </x:c>
      <x:c r="O76" t="str">
        <x:f>IF('WELL INPUTS'!$B$12="Yes",IF(G76="Yes","CLAIMED","NOT LISTED"),"N/A")</x:f>
        <x:v>N/A</x:v>
      </x:c>
      <x:c r="P76" t="str">
        <x:f>IF(OR('WELL INPUTS'!$B$13="Unrestricted",CODE(H76)&lt;=CODE('WELL INPUTS'!$B$13)),"WITHIN TIER","OVER CAP")</x:f>
        <x:v>WITHIN TIER</x:v>
      </x:c>
      <x:c r="Q76" t="n">
        <x:f>MAX(0,MIN(100,43+IF(L76="OK",14,-20)+IF(M76="CATALOG SOUR",24,IF(M76="NOT LISTED",-18,0))+IF(N76="ALLOY FAMILY",14,IF(N76="CORROSION CONTROL",-13,0))+IF(O76="CLAIMED",17,IF(O76="NOT LISTED",-14,0))+IF(K76="Yes",-15,0)+IF('WELL INPUTS'!$B$10="Yes",-17,0)))</x:f>
        <x:v>44</x:v>
      </x:c>
      <x:c r="R76" s="83" t="str">
        <x:f>IF(L76="BELOW","EXCLUDE — STRENGTH",IF(P76="OVER CAP","EXCLUDE — COST",IF(K76="Yes",IF('WELL INPUTS'!$B$14="No","EXCLUDE — REFERENCE","REFERENCE ONLY"),IF(OR(L76="UNKNOWN",M76="NOT LISTED",N76="CORROSION CONTROL",O76="NOT LISTED",'WELL INPUTS'!$B$10="Yes",'WELL INPUTS'!$B$4="Unknown"),"REVIEW","CANDIDATE — VERIFY"))))</x:f>
        <x:v>REVIEW</x:v>
      </x:c>
      <x:c r="S76" t="str">
        <x:f>IF(L76="BELOW","Increase minimum grade strength",IF(P76="OVER CAP","Relax cost tier or exclude",IF(K76="Yes","Identify qualified manufacturer grade",IF(M76="NOT LISTED","Confirm sour-service claim and ISO 15156",IF(O76="NOT LISTED","Obtain manufacturer collapse curve",IF(N76="CORROSION CONTROL","Model CO2 corrosion; review inhibition","Confirm corrosion, cracking, loads and connection"))))))</x:f>
        <x:v>Model CO2 corrosion; review inhibition</x:v>
      </x:c>
      <x:c r="T76" t="str">
        <x:v>https://www.tenaris.com/en/products-and-services/octg/steel-grades/</x:v>
      </x:c>
    </x:row>
    <x:row r="77" ht="23" customHeight="1">
      <x:c r="A77" t="str">
        <x:v>OCTG-0076</x:v>
      </x:c>
      <x:c r="B77" t="str">
        <x:v>Tenaris</x:v>
      </x:c>
      <x:c r="C77" t="str">
        <x:v>Q125-IC</x:v>
      </x:c>
      <x:c r="D77" t="str">
        <x:v>Carbon / low alloy</x:v>
      </x:c>
      <x:c r="E77" t="str">
        <x:v>Improved collapse</x:v>
      </x:c>
      <x:c r="F77" s="82" t="n">
        <x:v>125</x:v>
      </x:c>
      <x:c r="G77" t="str">
        <x:v>Yes</x:v>
      </x:c>
      <x:c r="H77" t="str">
        <x:v>A</x:v>
      </x:c>
      <x:c r="I77" t="str">
        <x:v>No</x:v>
      </x:c>
      <x:c r="J77" t="str">
        <x:v>No</x:v>
      </x:c>
      <x:c r="K77" t="str">
        <x:v>No</x:v>
      </x:c>
      <x:c r="L77" t="str">
        <x:f>IF(F77="","UNKNOWN",IF(F77&lt;'WELL INPUTS'!$B$11,"BELOW","OK"))</x:f>
        <x:v>OK</x:v>
      </x:c>
      <x:c r="M77" t="str">
        <x:f>IF(AND('WELL INPUTS'!$B$4="Wet",'WELL INPUTS'!$B$5&gt;0),IF(I77="Yes","CATALOG SOUR","NOT LISTED"),"N/A")</x:f>
        <x:v>N/A</x:v>
      </x:c>
      <x:c r="N77" t="str">
        <x:f>IF(AND('WELL INPUTS'!$B$4="Wet",'WELL INPUTS'!$B$6&gt;0),IF(J77="Yes","ALLOY FAMILY","CORROSION CONTROL"),"N/A")</x:f>
        <x:v>CORROSION CONTROL</x:v>
      </x:c>
      <x:c r="O77" t="str">
        <x:f>IF('WELL INPUTS'!$B$12="Yes",IF(G77="Yes","CLAIMED","NOT LISTED"),"N/A")</x:f>
        <x:v>N/A</x:v>
      </x:c>
      <x:c r="P77" t="str">
        <x:f>IF(OR('WELL INPUTS'!$B$13="Unrestricted",CODE(H77)&lt;=CODE('WELL INPUTS'!$B$13)),"WITHIN TIER","OVER CAP")</x:f>
        <x:v>WITHIN TIER</x:v>
      </x:c>
      <x:c r="Q77" t="n">
        <x:f>MAX(0,MIN(100,43+IF(L77="OK",14,-20)+IF(M77="CATALOG SOUR",24,IF(M77="NOT LISTED",-18,0))+IF(N77="ALLOY FAMILY",14,IF(N77="CORROSION CONTROL",-13,0))+IF(O77="CLAIMED",17,IF(O77="NOT LISTED",-14,0))+IF(K77="Yes",-15,0)+IF('WELL INPUTS'!$B$10="Yes",-17,0)))</x:f>
        <x:v>44</x:v>
      </x:c>
      <x:c r="R77" s="83" t="str">
        <x:f>IF(L77="BELOW","EXCLUDE — STRENGTH",IF(P77="OVER CAP","EXCLUDE — COST",IF(K77="Yes",IF('WELL INPUTS'!$B$14="No","EXCLUDE — REFERENCE","REFERENCE ONLY"),IF(OR(L77="UNKNOWN",M77="NOT LISTED",N77="CORROSION CONTROL",O77="NOT LISTED",'WELL INPUTS'!$B$10="Yes",'WELL INPUTS'!$B$4="Unknown"),"REVIEW","CANDIDATE — VERIFY"))))</x:f>
        <x:v>REVIEW</x:v>
      </x:c>
      <x:c r="S77" t="str">
        <x:f>IF(L77="BELOW","Increase minimum grade strength",IF(P77="OVER CAP","Relax cost tier or exclude",IF(K77="Yes","Identify qualified manufacturer grade",IF(M77="NOT LISTED","Confirm sour-service claim and ISO 15156",IF(O77="NOT LISTED","Obtain manufacturer collapse curve",IF(N77="CORROSION CONTROL","Model CO2 corrosion; review inhibition","Confirm corrosion, cracking, loads and connection"))))))</x:f>
        <x:v>Model CO2 corrosion; review inhibition</x:v>
      </x:c>
      <x:c r="T77" t="str">
        <x:v>https://www.tenaris.com/en/products-and-services/octg/steel-grades/</x:v>
      </x:c>
    </x:row>
    <x:row r="78" ht="23" customHeight="1">
      <x:c r="A78" t="str">
        <x:v>OCTG-0077</x:v>
      </x:c>
      <x:c r="B78" t="str">
        <x:v>Tenaris</x:v>
      </x:c>
      <x:c r="C78" t="str">
        <x:v>Q125-ICY</x:v>
      </x:c>
      <x:c r="D78" t="str">
        <x:v>Carbon / low alloy</x:v>
      </x:c>
      <x:c r="E78" t="str">
        <x:v>Improved collapse</x:v>
      </x:c>
      <x:c r="F78" s="82" t="n">
        <x:v>125</x:v>
      </x:c>
      <x:c r="G78" t="str">
        <x:v>Yes</x:v>
      </x:c>
      <x:c r="H78" t="str">
        <x:v>A</x:v>
      </x:c>
      <x:c r="I78" t="str">
        <x:v>No</x:v>
      </x:c>
      <x:c r="J78" t="str">
        <x:v>No</x:v>
      </x:c>
      <x:c r="K78" t="str">
        <x:v>No</x:v>
      </x:c>
      <x:c r="L78" t="str">
        <x:f>IF(F78="","UNKNOWN",IF(F78&lt;'WELL INPUTS'!$B$11,"BELOW","OK"))</x:f>
        <x:v>OK</x:v>
      </x:c>
      <x:c r="M78" t="str">
        <x:f>IF(AND('WELL INPUTS'!$B$4="Wet",'WELL INPUTS'!$B$5&gt;0),IF(I78="Yes","CATALOG SOUR","NOT LISTED"),"N/A")</x:f>
        <x:v>N/A</x:v>
      </x:c>
      <x:c r="N78" t="str">
        <x:f>IF(AND('WELL INPUTS'!$B$4="Wet",'WELL INPUTS'!$B$6&gt;0),IF(J78="Yes","ALLOY FAMILY","CORROSION CONTROL"),"N/A")</x:f>
        <x:v>CORROSION CONTROL</x:v>
      </x:c>
      <x:c r="O78" t="str">
        <x:f>IF('WELL INPUTS'!$B$12="Yes",IF(G78="Yes","CLAIMED","NOT LISTED"),"N/A")</x:f>
        <x:v>N/A</x:v>
      </x:c>
      <x:c r="P78" t="str">
        <x:f>IF(OR('WELL INPUTS'!$B$13="Unrestricted",CODE(H78)&lt;=CODE('WELL INPUTS'!$B$13)),"WITHIN TIER","OVER CAP")</x:f>
        <x:v>WITHIN TIER</x:v>
      </x:c>
      <x:c r="Q78" t="n">
        <x:f>MAX(0,MIN(100,43+IF(L78="OK",14,-20)+IF(M78="CATALOG SOUR",24,IF(M78="NOT LISTED",-18,0))+IF(N78="ALLOY FAMILY",14,IF(N78="CORROSION CONTROL",-13,0))+IF(O78="CLAIMED",17,IF(O78="NOT LISTED",-14,0))+IF(K78="Yes",-15,0)+IF('WELL INPUTS'!$B$10="Yes",-17,0)))</x:f>
        <x:v>44</x:v>
      </x:c>
      <x:c r="R78" s="83" t="str">
        <x:f>IF(L78="BELOW","EXCLUDE — STRENGTH",IF(P78="OVER CAP","EXCLUDE — COST",IF(K78="Yes",IF('WELL INPUTS'!$B$14="No","EXCLUDE — REFERENCE","REFERENCE ONLY"),IF(OR(L78="UNKNOWN",M78="NOT LISTED",N78="CORROSION CONTROL",O78="NOT LISTED",'WELL INPUTS'!$B$10="Yes",'WELL INPUTS'!$B$4="Unknown"),"REVIEW","CANDIDATE — VERIFY"))))</x:f>
        <x:v>REVIEW</x:v>
      </x:c>
      <x:c r="S78" t="str">
        <x:f>IF(L78="BELOW","Increase minimum grade strength",IF(P78="OVER CAP","Relax cost tier or exclude",IF(K78="Yes","Identify qualified manufacturer grade",IF(M78="NOT LISTED","Confirm sour-service claim and ISO 15156",IF(O78="NOT LISTED","Obtain manufacturer collapse curve",IF(N78="CORROSION CONTROL","Model CO2 corrosion; review inhibition","Confirm corrosion, cracking, loads and connection"))))))</x:f>
        <x:v>Model CO2 corrosion; review inhibition</x:v>
      </x:c>
      <x:c r="T78" t="str">
        <x:v>https://www.tenaris.com/en/products-and-services/octg/steel-grades/</x:v>
      </x:c>
    </x:row>
    <x:row r="79" ht="23" customHeight="1">
      <x:c r="A79" t="str">
        <x:v>OCTG-0078</x:v>
      </x:c>
      <x:c r="B79" t="str">
        <x:v>Tenaris</x:v>
      </x:c>
      <x:c r="C79" t="str">
        <x:v>T95-EY</x:v>
      </x:c>
      <x:c r="D79" t="str">
        <x:v>Carbon / low alloy</x:v>
      </x:c>
      <x:c r="E79" t="str">
        <x:v>Enhanced yield/controlled mechanical properties</x:v>
      </x:c>
      <x:c r="F79" s="82" t="n">
        <x:v>95</x:v>
      </x:c>
      <x:c r="G79" t="str">
        <x:v>No</x:v>
      </x:c>
      <x:c r="H79" t="str">
        <x:v>A</x:v>
      </x:c>
      <x:c r="I79" t="str">
        <x:v>No</x:v>
      </x:c>
      <x:c r="J79" t="str">
        <x:v>No</x:v>
      </x:c>
      <x:c r="K79" t="str">
        <x:v>No</x:v>
      </x:c>
      <x:c r="L79" t="str">
        <x:f>IF(F79="","UNKNOWN",IF(F79&lt;'WELL INPUTS'!$B$11,"BELOW","OK"))</x:f>
        <x:v>OK</x:v>
      </x:c>
      <x:c r="M79" t="str">
        <x:f>IF(AND('WELL INPUTS'!$B$4="Wet",'WELL INPUTS'!$B$5&gt;0),IF(I79="Yes","CATALOG SOUR","NOT LISTED"),"N/A")</x:f>
        <x:v>N/A</x:v>
      </x:c>
      <x:c r="N79" t="str">
        <x:f>IF(AND('WELL INPUTS'!$B$4="Wet",'WELL INPUTS'!$B$6&gt;0),IF(J79="Yes","ALLOY FAMILY","CORROSION CONTROL"),"N/A")</x:f>
        <x:v>CORROSION CONTROL</x:v>
      </x:c>
      <x:c r="O79" t="str">
        <x:f>IF('WELL INPUTS'!$B$12="Yes",IF(G79="Yes","CLAIMED","NOT LISTED"),"N/A")</x:f>
        <x:v>N/A</x:v>
      </x:c>
      <x:c r="P79" t="str">
        <x:f>IF(OR('WELL INPUTS'!$B$13="Unrestricted",CODE(H79)&lt;=CODE('WELL INPUTS'!$B$13)),"WITHIN TIER","OVER CAP")</x:f>
        <x:v>WITHIN TIER</x:v>
      </x:c>
      <x:c r="Q79" t="n">
        <x:f>MAX(0,MIN(100,43+IF(L79="OK",14,-20)+IF(M79="CATALOG SOUR",24,IF(M79="NOT LISTED",-18,0))+IF(N79="ALLOY FAMILY",14,IF(N79="CORROSION CONTROL",-13,0))+IF(O79="CLAIMED",17,IF(O79="NOT LISTED",-14,0))+IF(K79="Yes",-15,0)+IF('WELL INPUTS'!$B$10="Yes",-17,0)))</x:f>
        <x:v>44</x:v>
      </x:c>
      <x:c r="R79" s="83" t="str">
        <x:f>IF(L79="BELOW","EXCLUDE — STRENGTH",IF(P79="OVER CAP","EXCLUDE — COST",IF(K79="Yes",IF('WELL INPUTS'!$B$14="No","EXCLUDE — REFERENCE","REFERENCE ONLY"),IF(OR(L79="UNKNOWN",M79="NOT LISTED",N79="CORROSION CONTROL",O79="NOT LISTED",'WELL INPUTS'!$B$10="Yes",'WELL INPUTS'!$B$4="Unknown"),"REVIEW","CANDIDATE — VERIFY"))))</x:f>
        <x:v>REVIEW</x:v>
      </x:c>
      <x:c r="S79" t="str">
        <x:f>IF(L79="BELOW","Increase minimum grade strength",IF(P79="OVER CAP","Relax cost tier or exclude",IF(K79="Yes","Identify qualified manufacturer grade",IF(M79="NOT LISTED","Confirm sour-service claim and ISO 15156",IF(O79="NOT LISTED","Obtain manufacturer collapse curve",IF(N79="CORROSION CONTROL","Model CO2 corrosion; review inhibition","Confirm corrosion, cracking, loads and connection"))))))</x:f>
        <x:v>Model CO2 corrosion; review inhibition</x:v>
      </x:c>
      <x:c r="T79" t="str">
        <x:v>https://www.tenaris.com/en/products-and-services/octg/steel-grades/</x:v>
      </x:c>
    </x:row>
    <x:row r="80" ht="23" customHeight="1">
      <x:c r="A80" t="str">
        <x:v>OCTG-0079</x:v>
      </x:c>
      <x:c r="B80" t="str">
        <x:v>Tenaris</x:v>
      </x:c>
      <x:c r="C80" t="str">
        <x:v>T95-IC</x:v>
      </x:c>
      <x:c r="D80" t="str">
        <x:v>Carbon / low alloy</x:v>
      </x:c>
      <x:c r="E80" t="str">
        <x:v>Improved collapse</x:v>
      </x:c>
      <x:c r="F80" s="82" t="n">
        <x:v>95</x:v>
      </x:c>
      <x:c r="G80" t="str">
        <x:v>Yes</x:v>
      </x:c>
      <x:c r="H80" t="str">
        <x:v>A</x:v>
      </x:c>
      <x:c r="I80" t="str">
        <x:v>No</x:v>
      </x:c>
      <x:c r="J80" t="str">
        <x:v>No</x:v>
      </x:c>
      <x:c r="K80" t="str">
        <x:v>No</x:v>
      </x:c>
      <x:c r="L80" t="str">
        <x:f>IF(F80="","UNKNOWN",IF(F80&lt;'WELL INPUTS'!$B$11,"BELOW","OK"))</x:f>
        <x:v>OK</x:v>
      </x:c>
      <x:c r="M80" t="str">
        <x:f>IF(AND('WELL INPUTS'!$B$4="Wet",'WELL INPUTS'!$B$5&gt;0),IF(I80="Yes","CATALOG SOUR","NOT LISTED"),"N/A")</x:f>
        <x:v>N/A</x:v>
      </x:c>
      <x:c r="N80" t="str">
        <x:f>IF(AND('WELL INPUTS'!$B$4="Wet",'WELL INPUTS'!$B$6&gt;0),IF(J80="Yes","ALLOY FAMILY","CORROSION CONTROL"),"N/A")</x:f>
        <x:v>CORROSION CONTROL</x:v>
      </x:c>
      <x:c r="O80" t="str">
        <x:f>IF('WELL INPUTS'!$B$12="Yes",IF(G80="Yes","CLAIMED","NOT LISTED"),"N/A")</x:f>
        <x:v>N/A</x:v>
      </x:c>
      <x:c r="P80" t="str">
        <x:f>IF(OR('WELL INPUTS'!$B$13="Unrestricted",CODE(H80)&lt;=CODE('WELL INPUTS'!$B$13)),"WITHIN TIER","OVER CAP")</x:f>
        <x:v>WITHIN TIER</x:v>
      </x:c>
      <x:c r="Q80" t="n">
        <x:f>MAX(0,MIN(100,43+IF(L80="OK",14,-20)+IF(M80="CATALOG SOUR",24,IF(M80="NOT LISTED",-18,0))+IF(N80="ALLOY FAMILY",14,IF(N80="CORROSION CONTROL",-13,0))+IF(O80="CLAIMED",17,IF(O80="NOT LISTED",-14,0))+IF(K80="Yes",-15,0)+IF('WELL INPUTS'!$B$10="Yes",-17,0)))</x:f>
        <x:v>44</x:v>
      </x:c>
      <x:c r="R80" s="83" t="str">
        <x:f>IF(L80="BELOW","EXCLUDE — STRENGTH",IF(P80="OVER CAP","EXCLUDE — COST",IF(K80="Yes",IF('WELL INPUTS'!$B$14="No","EXCLUDE — REFERENCE","REFERENCE ONLY"),IF(OR(L80="UNKNOWN",M80="NOT LISTED",N80="CORROSION CONTROL",O80="NOT LISTED",'WELL INPUTS'!$B$10="Yes",'WELL INPUTS'!$B$4="Unknown"),"REVIEW","CANDIDATE — VERIFY"))))</x:f>
        <x:v>REVIEW</x:v>
      </x:c>
      <x:c r="S80" t="str">
        <x:f>IF(L80="BELOW","Increase minimum grade strength",IF(P80="OVER CAP","Relax cost tier or exclude",IF(K80="Yes","Identify qualified manufacturer grade",IF(M80="NOT LISTED","Confirm sour-service claim and ISO 15156",IF(O80="NOT LISTED","Obtain manufacturer collapse curve",IF(N80="CORROSION CONTROL","Model CO2 corrosion; review inhibition","Confirm corrosion, cracking, loads and connection"))))))</x:f>
        <x:v>Model CO2 corrosion; review inhibition</x:v>
      </x:c>
      <x:c r="T80" t="str">
        <x:v>https://www.tenaris.com/en/products-and-services/octg/steel-grades/</x:v>
      </x:c>
    </x:row>
    <x:row r="81" ht="23" customHeight="1">
      <x:c r="A81" t="str">
        <x:v>OCTG-0080</x:v>
      </x:c>
      <x:c r="B81" t="str">
        <x:v>Tenaris</x:v>
      </x:c>
      <x:c r="C81" t="str">
        <x:v>T95-ICY</x:v>
      </x:c>
      <x:c r="D81" t="str">
        <x:v>Carbon / low alloy</x:v>
      </x:c>
      <x:c r="E81" t="str">
        <x:v>Improved collapse</x:v>
      </x:c>
      <x:c r="F81" s="82" t="n">
        <x:v>95</x:v>
      </x:c>
      <x:c r="G81" t="str">
        <x:v>Yes</x:v>
      </x:c>
      <x:c r="H81" t="str">
        <x:v>A</x:v>
      </x:c>
      <x:c r="I81" t="str">
        <x:v>No</x:v>
      </x:c>
      <x:c r="J81" t="str">
        <x:v>No</x:v>
      </x:c>
      <x:c r="K81" t="str">
        <x:v>No</x:v>
      </x:c>
      <x:c r="L81" t="str">
        <x:f>IF(F81="","UNKNOWN",IF(F81&lt;'WELL INPUTS'!$B$11,"BELOW","OK"))</x:f>
        <x:v>OK</x:v>
      </x:c>
      <x:c r="M81" t="str">
        <x:f>IF(AND('WELL INPUTS'!$B$4="Wet",'WELL INPUTS'!$B$5&gt;0),IF(I81="Yes","CATALOG SOUR","NOT LISTED"),"N/A")</x:f>
        <x:v>N/A</x:v>
      </x:c>
      <x:c r="N81" t="str">
        <x:f>IF(AND('WELL INPUTS'!$B$4="Wet",'WELL INPUTS'!$B$6&gt;0),IF(J81="Yes","ALLOY FAMILY","CORROSION CONTROL"),"N/A")</x:f>
        <x:v>CORROSION CONTROL</x:v>
      </x:c>
      <x:c r="O81" t="str">
        <x:f>IF('WELL INPUTS'!$B$12="Yes",IF(G81="Yes","CLAIMED","NOT LISTED"),"N/A")</x:f>
        <x:v>N/A</x:v>
      </x:c>
      <x:c r="P81" t="str">
        <x:f>IF(OR('WELL INPUTS'!$B$13="Unrestricted",CODE(H81)&lt;=CODE('WELL INPUTS'!$B$13)),"WITHIN TIER","OVER CAP")</x:f>
        <x:v>WITHIN TIER</x:v>
      </x:c>
      <x:c r="Q81" t="n">
        <x:f>MAX(0,MIN(100,43+IF(L81="OK",14,-20)+IF(M81="CATALOG SOUR",24,IF(M81="NOT LISTED",-18,0))+IF(N81="ALLOY FAMILY",14,IF(N81="CORROSION CONTROL",-13,0))+IF(O81="CLAIMED",17,IF(O81="NOT LISTED",-14,0))+IF(K81="Yes",-15,0)+IF('WELL INPUTS'!$B$10="Yes",-17,0)))</x:f>
        <x:v>44</x:v>
      </x:c>
      <x:c r="R81" s="83" t="str">
        <x:f>IF(L81="BELOW","EXCLUDE — STRENGTH",IF(P81="OVER CAP","EXCLUDE — COST",IF(K81="Yes",IF('WELL INPUTS'!$B$14="No","EXCLUDE — REFERENCE","REFERENCE ONLY"),IF(OR(L81="UNKNOWN",M81="NOT LISTED",N81="CORROSION CONTROL",O81="NOT LISTED",'WELL INPUTS'!$B$10="Yes",'WELL INPUTS'!$B$4="Unknown"),"REVIEW","CANDIDATE — VERIFY"))))</x:f>
        <x:v>REVIEW</x:v>
      </x:c>
      <x:c r="S81" t="str">
        <x:f>IF(L81="BELOW","Increase minimum grade strength",IF(P81="OVER CAP","Relax cost tier or exclude",IF(K81="Yes","Identify qualified manufacturer grade",IF(M81="NOT LISTED","Confirm sour-service claim and ISO 15156",IF(O81="NOT LISTED","Obtain manufacturer collapse curve",IF(N81="CORROSION CONTROL","Model CO2 corrosion; review inhibition","Confirm corrosion, cracking, loads and connection"))))))</x:f>
        <x:v>Model CO2 corrosion; review inhibition</x:v>
      </x:c>
      <x:c r="T81" t="str">
        <x:v>https://www.tenaris.com/en/products-and-services/octg/steel-grades/</x:v>
      </x:c>
    </x:row>
    <x:row r="82" ht="23" customHeight="1">
      <x:c r="A82" t="str">
        <x:v>OCTG-0081</x:v>
      </x:c>
      <x:c r="B82" t="str">
        <x:v>Tenaris</x:v>
      </x:c>
      <x:c r="C82" t="str">
        <x:v>TN 100HS</x:v>
      </x:c>
      <x:c r="D82" t="str">
        <x:v>Carbon / low alloy</x:v>
      </x:c>
      <x:c r="E82" t="str">
        <x:v>Sour service (manufacturer qualified domain)</x:v>
      </x:c>
      <x:c r="F82" s="82" t="n">
        <x:v>100</x:v>
      </x:c>
      <x:c r="G82" t="str">
        <x:v>No</x:v>
      </x:c>
      <x:c r="H82" t="str">
        <x:v>A</x:v>
      </x:c>
      <x:c r="I82" t="str">
        <x:v>Yes</x:v>
      </x:c>
      <x:c r="J82" t="str">
        <x:v>No</x:v>
      </x:c>
      <x:c r="K82" t="str">
        <x:v>No</x:v>
      </x:c>
      <x:c r="L82" t="str">
        <x:f>IF(F82="","UNKNOWN",IF(F82&lt;'WELL INPUTS'!$B$11,"BELOW","OK"))</x:f>
        <x:v>OK</x:v>
      </x:c>
      <x:c r="M82" t="str">
        <x:f>IF(AND('WELL INPUTS'!$B$4="Wet",'WELL INPUTS'!$B$5&gt;0),IF(I82="Yes","CATALOG SOUR","NOT LISTED"),"N/A")</x:f>
        <x:v>N/A</x:v>
      </x:c>
      <x:c r="N82" t="str">
        <x:f>IF(AND('WELL INPUTS'!$B$4="Wet",'WELL INPUTS'!$B$6&gt;0),IF(J82="Yes","ALLOY FAMILY","CORROSION CONTROL"),"N/A")</x:f>
        <x:v>CORROSION CONTROL</x:v>
      </x:c>
      <x:c r="O82" t="str">
        <x:f>IF('WELL INPUTS'!$B$12="Yes",IF(G82="Yes","CLAIMED","NOT LISTED"),"N/A")</x:f>
        <x:v>N/A</x:v>
      </x:c>
      <x:c r="P82" t="str">
        <x:f>IF(OR('WELL INPUTS'!$B$13="Unrestricted",CODE(H82)&lt;=CODE('WELL INPUTS'!$B$13)),"WITHIN TIER","OVER CAP")</x:f>
        <x:v>WITHIN TIER</x:v>
      </x:c>
      <x:c r="Q82" t="n">
        <x:f>MAX(0,MIN(100,43+IF(L82="OK",14,-20)+IF(M82="CATALOG SOUR",24,IF(M82="NOT LISTED",-18,0))+IF(N82="ALLOY FAMILY",14,IF(N82="CORROSION CONTROL",-13,0))+IF(O82="CLAIMED",17,IF(O82="NOT LISTED",-14,0))+IF(K82="Yes",-15,0)+IF('WELL INPUTS'!$B$10="Yes",-17,0)))</x:f>
        <x:v>44</x:v>
      </x:c>
      <x:c r="R82" s="83" t="str">
        <x:f>IF(L82="BELOW","EXCLUDE — STRENGTH",IF(P82="OVER CAP","EXCLUDE — COST",IF(K82="Yes",IF('WELL INPUTS'!$B$14="No","EXCLUDE — REFERENCE","REFERENCE ONLY"),IF(OR(L82="UNKNOWN",M82="NOT LISTED",N82="CORROSION CONTROL",O82="NOT LISTED",'WELL INPUTS'!$B$10="Yes",'WELL INPUTS'!$B$4="Unknown"),"REVIEW","CANDIDATE — VERIFY"))))</x:f>
        <x:v>REVIEW</x:v>
      </x:c>
      <x:c r="S82" t="str">
        <x:f>IF(L82="BELOW","Increase minimum grade strength",IF(P82="OVER CAP","Relax cost tier or exclude",IF(K82="Yes","Identify qualified manufacturer grade",IF(M82="NOT LISTED","Confirm sour-service claim and ISO 15156",IF(O82="NOT LISTED","Obtain manufacturer collapse curve",IF(N82="CORROSION CONTROL","Model CO2 corrosion; review inhibition","Confirm corrosion, cracking, loads and connection"))))))</x:f>
        <x:v>Model CO2 corrosion; review inhibition</x:v>
      </x:c>
      <x:c r="T82" t="str">
        <x:v>https://www.tenaris.com/en/products-and-services/octg/steel-grades/</x:v>
      </x:c>
    </x:row>
    <x:row r="83" ht="23" customHeight="1">
      <x:c r="A83" t="str">
        <x:v>OCTG-0082</x:v>
      </x:c>
      <x:c r="B83" t="str">
        <x:v>Tenaris</x:v>
      </x:c>
      <x:c r="C83" t="str">
        <x:v>TN 100SS</x:v>
      </x:c>
      <x:c r="D83" t="str">
        <x:v>Carbon / low alloy</x:v>
      </x:c>
      <x:c r="E83" t="str">
        <x:v>Sour service (manufacturer qualified domain)</x:v>
      </x:c>
      <x:c r="F83" s="82" t="n">
        <x:v>100</x:v>
      </x:c>
      <x:c r="G83" t="str">
        <x:v>No</x:v>
      </x:c>
      <x:c r="H83" t="str">
        <x:v>A</x:v>
      </x:c>
      <x:c r="I83" t="str">
        <x:v>Yes</x:v>
      </x:c>
      <x:c r="J83" t="str">
        <x:v>No</x:v>
      </x:c>
      <x:c r="K83" t="str">
        <x:v>No</x:v>
      </x:c>
      <x:c r="L83" t="str">
        <x:f>IF(F83="","UNKNOWN",IF(F83&lt;'WELL INPUTS'!$B$11,"BELOW","OK"))</x:f>
        <x:v>OK</x:v>
      </x:c>
      <x:c r="M83" t="str">
        <x:f>IF(AND('WELL INPUTS'!$B$4="Wet",'WELL INPUTS'!$B$5&gt;0),IF(I83="Yes","CATALOG SOUR","NOT LISTED"),"N/A")</x:f>
        <x:v>N/A</x:v>
      </x:c>
      <x:c r="N83" t="str">
        <x:f>IF(AND('WELL INPUTS'!$B$4="Wet",'WELL INPUTS'!$B$6&gt;0),IF(J83="Yes","ALLOY FAMILY","CORROSION CONTROL"),"N/A")</x:f>
        <x:v>CORROSION CONTROL</x:v>
      </x:c>
      <x:c r="O83" t="str">
        <x:f>IF('WELL INPUTS'!$B$12="Yes",IF(G83="Yes","CLAIMED","NOT LISTED"),"N/A")</x:f>
        <x:v>N/A</x:v>
      </x:c>
      <x:c r="P83" t="str">
        <x:f>IF(OR('WELL INPUTS'!$B$13="Unrestricted",CODE(H83)&lt;=CODE('WELL INPUTS'!$B$13)),"WITHIN TIER","OVER CAP")</x:f>
        <x:v>WITHIN TIER</x:v>
      </x:c>
      <x:c r="Q83" t="n">
        <x:f>MAX(0,MIN(100,43+IF(L83="OK",14,-20)+IF(M83="CATALOG SOUR",24,IF(M83="NOT LISTED",-18,0))+IF(N83="ALLOY FAMILY",14,IF(N83="CORROSION CONTROL",-13,0))+IF(O83="CLAIMED",17,IF(O83="NOT LISTED",-14,0))+IF(K83="Yes",-15,0)+IF('WELL INPUTS'!$B$10="Yes",-17,0)))</x:f>
        <x:v>44</x:v>
      </x:c>
      <x:c r="R83" s="83" t="str">
        <x:f>IF(L83="BELOW","EXCLUDE — STRENGTH",IF(P83="OVER CAP","EXCLUDE — COST",IF(K83="Yes",IF('WELL INPUTS'!$B$14="No","EXCLUDE — REFERENCE","REFERENCE ONLY"),IF(OR(L83="UNKNOWN",M83="NOT LISTED",N83="CORROSION CONTROL",O83="NOT LISTED",'WELL INPUTS'!$B$10="Yes",'WELL INPUTS'!$B$4="Unknown"),"REVIEW","CANDIDATE — VERIFY"))))</x:f>
        <x:v>REVIEW</x:v>
      </x:c>
      <x:c r="S83" t="str">
        <x:f>IF(L83="BELOW","Increase minimum grade strength",IF(P83="OVER CAP","Relax cost tier or exclude",IF(K83="Yes","Identify qualified manufacturer grade",IF(M83="NOT LISTED","Confirm sour-service claim and ISO 15156",IF(O83="NOT LISTED","Obtain manufacturer collapse curve",IF(N83="CORROSION CONTROL","Model CO2 corrosion; review inhibition","Confirm corrosion, cracking, loads and connection"))))))</x:f>
        <x:v>Model CO2 corrosion; review inhibition</x:v>
      </x:c>
      <x:c r="T83" t="str">
        <x:v>https://www.tenaris.com/en/products-and-services/octg/steel-grades/</x:v>
      </x:c>
    </x:row>
    <x:row r="84" ht="23" customHeight="1">
      <x:c r="A84" t="str">
        <x:v>OCTG-0083</x:v>
      </x:c>
      <x:c r="B84" t="str">
        <x:v>Tenaris</x:v>
      </x:c>
      <x:c r="C84" t="str">
        <x:v>TN 110HC</x:v>
      </x:c>
      <x:c r="D84" t="str">
        <x:v>Carbon / low alloy</x:v>
      </x:c>
      <x:c r="E84" t="str">
        <x:v>High collapse / external pressure</x:v>
      </x:c>
      <x:c r="F84" s="82" t="n">
        <x:v>110</x:v>
      </x:c>
      <x:c r="G84" t="str">
        <x:v>Yes</x:v>
      </x:c>
      <x:c r="H84" t="str">
        <x:v>A</x:v>
      </x:c>
      <x:c r="I84" t="str">
        <x:v>No</x:v>
      </x:c>
      <x:c r="J84" t="str">
        <x:v>No</x:v>
      </x:c>
      <x:c r="K84" t="str">
        <x:v>No</x:v>
      </x:c>
      <x:c r="L84" t="str">
        <x:f>IF(F84="","UNKNOWN",IF(F84&lt;'WELL INPUTS'!$B$11,"BELOW","OK"))</x:f>
        <x:v>OK</x:v>
      </x:c>
      <x:c r="M84" t="str">
        <x:f>IF(AND('WELL INPUTS'!$B$4="Wet",'WELL INPUTS'!$B$5&gt;0),IF(I84="Yes","CATALOG SOUR","NOT LISTED"),"N/A")</x:f>
        <x:v>N/A</x:v>
      </x:c>
      <x:c r="N84" t="str">
        <x:f>IF(AND('WELL INPUTS'!$B$4="Wet",'WELL INPUTS'!$B$6&gt;0),IF(J84="Yes","ALLOY FAMILY","CORROSION CONTROL"),"N/A")</x:f>
        <x:v>CORROSION CONTROL</x:v>
      </x:c>
      <x:c r="O84" t="str">
        <x:f>IF('WELL INPUTS'!$B$12="Yes",IF(G84="Yes","CLAIMED","NOT LISTED"),"N/A")</x:f>
        <x:v>N/A</x:v>
      </x:c>
      <x:c r="P84" t="str">
        <x:f>IF(OR('WELL INPUTS'!$B$13="Unrestricted",CODE(H84)&lt;=CODE('WELL INPUTS'!$B$13)),"WITHIN TIER","OVER CAP")</x:f>
        <x:v>WITHIN TIER</x:v>
      </x:c>
      <x:c r="Q84" t="n">
        <x:f>MAX(0,MIN(100,43+IF(L84="OK",14,-20)+IF(M84="CATALOG SOUR",24,IF(M84="NOT LISTED",-18,0))+IF(N84="ALLOY FAMILY",14,IF(N84="CORROSION CONTROL",-13,0))+IF(O84="CLAIMED",17,IF(O84="NOT LISTED",-14,0))+IF(K84="Yes",-15,0)+IF('WELL INPUTS'!$B$10="Yes",-17,0)))</x:f>
        <x:v>44</x:v>
      </x:c>
      <x:c r="R84" s="83" t="str">
        <x:f>IF(L84="BELOW","EXCLUDE — STRENGTH",IF(P84="OVER CAP","EXCLUDE — COST",IF(K84="Yes",IF('WELL INPUTS'!$B$14="No","EXCLUDE — REFERENCE","REFERENCE ONLY"),IF(OR(L84="UNKNOWN",M84="NOT LISTED",N84="CORROSION CONTROL",O84="NOT LISTED",'WELL INPUTS'!$B$10="Yes",'WELL INPUTS'!$B$4="Unknown"),"REVIEW","CANDIDATE — VERIFY"))))</x:f>
        <x:v>REVIEW</x:v>
      </x:c>
      <x:c r="S84" t="str">
        <x:f>IF(L84="BELOW","Increase minimum grade strength",IF(P84="OVER CAP","Relax cost tier or exclude",IF(K84="Yes","Identify qualified manufacturer grade",IF(M84="NOT LISTED","Confirm sour-service claim and ISO 15156",IF(O84="NOT LISTED","Obtain manufacturer collapse curve",IF(N84="CORROSION CONTROL","Model CO2 corrosion; review inhibition","Confirm corrosion, cracking, loads and connection"))))))</x:f>
        <x:v>Model CO2 corrosion; review inhibition</x:v>
      </x:c>
      <x:c r="T84" t="str">
        <x:v>https://www.tenaris.com/en/products-and-services/octg/steel-grades/</x:v>
      </x:c>
    </x:row>
    <x:row r="85" ht="23" customHeight="1">
      <x:c r="A85" t="str">
        <x:v>OCTG-0084</x:v>
      </x:c>
      <x:c r="B85" t="str">
        <x:v>Tenaris</x:v>
      </x:c>
      <x:c r="C85" t="str">
        <x:v>TN 110HCY</x:v>
      </x:c>
      <x:c r="D85" t="str">
        <x:v>Carbon / low alloy</x:v>
      </x:c>
      <x:c r="E85" t="str">
        <x:v>High collapse / external pressure</x:v>
      </x:c>
      <x:c r="F85" s="82" t="n">
        <x:v>110</x:v>
      </x:c>
      <x:c r="G85" t="str">
        <x:v>Yes</x:v>
      </x:c>
      <x:c r="H85" t="str">
        <x:v>A</x:v>
      </x:c>
      <x:c r="I85" t="str">
        <x:v>No</x:v>
      </x:c>
      <x:c r="J85" t="str">
        <x:v>No</x:v>
      </x:c>
      <x:c r="K85" t="str">
        <x:v>No</x:v>
      </x:c>
      <x:c r="L85" t="str">
        <x:f>IF(F85="","UNKNOWN",IF(F85&lt;'WELL INPUTS'!$B$11,"BELOW","OK"))</x:f>
        <x:v>OK</x:v>
      </x:c>
      <x:c r="M85" t="str">
        <x:f>IF(AND('WELL INPUTS'!$B$4="Wet",'WELL INPUTS'!$B$5&gt;0),IF(I85="Yes","CATALOG SOUR","NOT LISTED"),"N/A")</x:f>
        <x:v>N/A</x:v>
      </x:c>
      <x:c r="N85" t="str">
        <x:f>IF(AND('WELL INPUTS'!$B$4="Wet",'WELL INPUTS'!$B$6&gt;0),IF(J85="Yes","ALLOY FAMILY","CORROSION CONTROL"),"N/A")</x:f>
        <x:v>CORROSION CONTROL</x:v>
      </x:c>
      <x:c r="O85" t="str">
        <x:f>IF('WELL INPUTS'!$B$12="Yes",IF(G85="Yes","CLAIMED","NOT LISTED"),"N/A")</x:f>
        <x:v>N/A</x:v>
      </x:c>
      <x:c r="P85" t="str">
        <x:f>IF(OR('WELL INPUTS'!$B$13="Unrestricted",CODE(H85)&lt;=CODE('WELL INPUTS'!$B$13)),"WITHIN TIER","OVER CAP")</x:f>
        <x:v>WITHIN TIER</x:v>
      </x:c>
      <x:c r="Q85" t="n">
        <x:f>MAX(0,MIN(100,43+IF(L85="OK",14,-20)+IF(M85="CATALOG SOUR",24,IF(M85="NOT LISTED",-18,0))+IF(N85="ALLOY FAMILY",14,IF(N85="CORROSION CONTROL",-13,0))+IF(O85="CLAIMED",17,IF(O85="NOT LISTED",-14,0))+IF(K85="Yes",-15,0)+IF('WELL INPUTS'!$B$10="Yes",-17,0)))</x:f>
        <x:v>44</x:v>
      </x:c>
      <x:c r="R85" s="83" t="str">
        <x:f>IF(L85="BELOW","EXCLUDE — STRENGTH",IF(P85="OVER CAP","EXCLUDE — COST",IF(K85="Yes",IF('WELL INPUTS'!$B$14="No","EXCLUDE — REFERENCE","REFERENCE ONLY"),IF(OR(L85="UNKNOWN",M85="NOT LISTED",N85="CORROSION CONTROL",O85="NOT LISTED",'WELL INPUTS'!$B$10="Yes",'WELL INPUTS'!$B$4="Unknown"),"REVIEW","CANDIDATE — VERIFY"))))</x:f>
        <x:v>REVIEW</x:v>
      </x:c>
      <x:c r="S85" t="str">
        <x:f>IF(L85="BELOW","Increase minimum grade strength",IF(P85="OVER CAP","Relax cost tier or exclude",IF(K85="Yes","Identify qualified manufacturer grade",IF(M85="NOT LISTED","Confirm sour-service claim and ISO 15156",IF(O85="NOT LISTED","Obtain manufacturer collapse curve",IF(N85="CORROSION CONTROL","Model CO2 corrosion; review inhibition","Confirm corrosion, cracking, loads and connection"))))))</x:f>
        <x:v>Model CO2 corrosion; review inhibition</x:v>
      </x:c>
      <x:c r="T85" t="str">
        <x:v>https://www.tenaris.com/en/products-and-services/octg/steel-grades/</x:v>
      </x:c>
    </x:row>
    <x:row r="86" ht="23" customHeight="1">
      <x:c r="A86" t="str">
        <x:v>OCTG-0085</x:v>
      </x:c>
      <x:c r="B86" t="str">
        <x:v>Tenaris</x:v>
      </x:c>
      <x:c r="C86" t="str">
        <x:v>TN 110HS</x:v>
      </x:c>
      <x:c r="D86" t="str">
        <x:v>Carbon / low alloy</x:v>
      </x:c>
      <x:c r="E86" t="str">
        <x:v>Sour service (manufacturer qualified domain)</x:v>
      </x:c>
      <x:c r="F86" s="82" t="n">
        <x:v>110</x:v>
      </x:c>
      <x:c r="G86" t="str">
        <x:v>No</x:v>
      </x:c>
      <x:c r="H86" t="str">
        <x:v>A</x:v>
      </x:c>
      <x:c r="I86" t="str">
        <x:v>Yes</x:v>
      </x:c>
      <x:c r="J86" t="str">
        <x:v>No</x:v>
      </x:c>
      <x:c r="K86" t="str">
        <x:v>No</x:v>
      </x:c>
      <x:c r="L86" t="str">
        <x:f>IF(F86="","UNKNOWN",IF(F86&lt;'WELL INPUTS'!$B$11,"BELOW","OK"))</x:f>
        <x:v>OK</x:v>
      </x:c>
      <x:c r="M86" t="str">
        <x:f>IF(AND('WELL INPUTS'!$B$4="Wet",'WELL INPUTS'!$B$5&gt;0),IF(I86="Yes","CATALOG SOUR","NOT LISTED"),"N/A")</x:f>
        <x:v>N/A</x:v>
      </x:c>
      <x:c r="N86" t="str">
        <x:f>IF(AND('WELL INPUTS'!$B$4="Wet",'WELL INPUTS'!$B$6&gt;0),IF(J86="Yes","ALLOY FAMILY","CORROSION CONTROL"),"N/A")</x:f>
        <x:v>CORROSION CONTROL</x:v>
      </x:c>
      <x:c r="O86" t="str">
        <x:f>IF('WELL INPUTS'!$B$12="Yes",IF(G86="Yes","CLAIMED","NOT LISTED"),"N/A")</x:f>
        <x:v>N/A</x:v>
      </x:c>
      <x:c r="P86" t="str">
        <x:f>IF(OR('WELL INPUTS'!$B$13="Unrestricted",CODE(H86)&lt;=CODE('WELL INPUTS'!$B$13)),"WITHIN TIER","OVER CAP")</x:f>
        <x:v>WITHIN TIER</x:v>
      </x:c>
      <x:c r="Q86" t="n">
        <x:f>MAX(0,MIN(100,43+IF(L86="OK",14,-20)+IF(M86="CATALOG SOUR",24,IF(M86="NOT LISTED",-18,0))+IF(N86="ALLOY FAMILY",14,IF(N86="CORROSION CONTROL",-13,0))+IF(O86="CLAIMED",17,IF(O86="NOT LISTED",-14,0))+IF(K86="Yes",-15,0)+IF('WELL INPUTS'!$B$10="Yes",-17,0)))</x:f>
        <x:v>44</x:v>
      </x:c>
      <x:c r="R86" s="83" t="str">
        <x:f>IF(L86="BELOW","EXCLUDE — STRENGTH",IF(P86="OVER CAP","EXCLUDE — COST",IF(K86="Yes",IF('WELL INPUTS'!$B$14="No","EXCLUDE — REFERENCE","REFERENCE ONLY"),IF(OR(L86="UNKNOWN",M86="NOT LISTED",N86="CORROSION CONTROL",O86="NOT LISTED",'WELL INPUTS'!$B$10="Yes",'WELL INPUTS'!$B$4="Unknown"),"REVIEW","CANDIDATE — VERIFY"))))</x:f>
        <x:v>REVIEW</x:v>
      </x:c>
      <x:c r="S86" t="str">
        <x:f>IF(L86="BELOW","Increase minimum grade strength",IF(P86="OVER CAP","Relax cost tier or exclude",IF(K86="Yes","Identify qualified manufacturer grade",IF(M86="NOT LISTED","Confirm sour-service claim and ISO 15156",IF(O86="NOT LISTED","Obtain manufacturer collapse curve",IF(N86="CORROSION CONTROL","Model CO2 corrosion; review inhibition","Confirm corrosion, cracking, loads and connection"))))))</x:f>
        <x:v>Model CO2 corrosion; review inhibition</x:v>
      </x:c>
      <x:c r="T86" t="str">
        <x:v>https://www.tenaris.com/en/products-and-services/octg/steel-grades/</x:v>
      </x:c>
    </x:row>
    <x:row r="87" ht="23" customHeight="1">
      <x:c r="A87" t="str">
        <x:v>OCTG-0086</x:v>
      </x:c>
      <x:c r="B87" t="str">
        <x:v>Tenaris</x:v>
      </x:c>
      <x:c r="C87" t="str">
        <x:v>TN 110LT</x:v>
      </x:c>
      <x:c r="D87" t="str">
        <x:v>Carbon / low alloy</x:v>
      </x:c>
      <x:c r="E87" t="str">
        <x:v>Low temperature / toughness grade</x:v>
      </x:c>
      <x:c r="F87" s="82" t="n">
        <x:v>110</x:v>
      </x:c>
      <x:c r="G87" t="str">
        <x:v>No</x:v>
      </x:c>
      <x:c r="H87" t="str">
        <x:v>A</x:v>
      </x:c>
      <x:c r="I87" t="str">
        <x:v>No</x:v>
      </x:c>
      <x:c r="J87" t="str">
        <x:v>No</x:v>
      </x:c>
      <x:c r="K87" t="str">
        <x:v>No</x:v>
      </x:c>
      <x:c r="L87" t="str">
        <x:f>IF(F87="","UNKNOWN",IF(F87&lt;'WELL INPUTS'!$B$11,"BELOW","OK"))</x:f>
        <x:v>OK</x:v>
      </x:c>
      <x:c r="M87" t="str">
        <x:f>IF(AND('WELL INPUTS'!$B$4="Wet",'WELL INPUTS'!$B$5&gt;0),IF(I87="Yes","CATALOG SOUR","NOT LISTED"),"N/A")</x:f>
        <x:v>N/A</x:v>
      </x:c>
      <x:c r="N87" t="str">
        <x:f>IF(AND('WELL INPUTS'!$B$4="Wet",'WELL INPUTS'!$B$6&gt;0),IF(J87="Yes","ALLOY FAMILY","CORROSION CONTROL"),"N/A")</x:f>
        <x:v>CORROSION CONTROL</x:v>
      </x:c>
      <x:c r="O87" t="str">
        <x:f>IF('WELL INPUTS'!$B$12="Yes",IF(G87="Yes","CLAIMED","NOT LISTED"),"N/A")</x:f>
        <x:v>N/A</x:v>
      </x:c>
      <x:c r="P87" t="str">
        <x:f>IF(OR('WELL INPUTS'!$B$13="Unrestricted",CODE(H87)&lt;=CODE('WELL INPUTS'!$B$13)),"WITHIN TIER","OVER CAP")</x:f>
        <x:v>WITHIN TIER</x:v>
      </x:c>
      <x:c r="Q87" t="n">
        <x:f>MAX(0,MIN(100,43+IF(L87="OK",14,-20)+IF(M87="CATALOG SOUR",24,IF(M87="NOT LISTED",-18,0))+IF(N87="ALLOY FAMILY",14,IF(N87="CORROSION CONTROL",-13,0))+IF(O87="CLAIMED",17,IF(O87="NOT LISTED",-14,0))+IF(K87="Yes",-15,0)+IF('WELL INPUTS'!$B$10="Yes",-17,0)))</x:f>
        <x:v>44</x:v>
      </x:c>
      <x:c r="R87" s="83" t="str">
        <x:f>IF(L87="BELOW","EXCLUDE — STRENGTH",IF(P87="OVER CAP","EXCLUDE — COST",IF(K87="Yes",IF('WELL INPUTS'!$B$14="No","EXCLUDE — REFERENCE","REFERENCE ONLY"),IF(OR(L87="UNKNOWN",M87="NOT LISTED",N87="CORROSION CONTROL",O87="NOT LISTED",'WELL INPUTS'!$B$10="Yes",'WELL INPUTS'!$B$4="Unknown"),"REVIEW","CANDIDATE — VERIFY"))))</x:f>
        <x:v>REVIEW</x:v>
      </x:c>
      <x:c r="S87" t="str">
        <x:f>IF(L87="BELOW","Increase minimum grade strength",IF(P87="OVER CAP","Relax cost tier or exclude",IF(K87="Yes","Identify qualified manufacturer grade",IF(M87="NOT LISTED","Confirm sour-service claim and ISO 15156",IF(O87="NOT LISTED","Obtain manufacturer collapse curve",IF(N87="CORROSION CONTROL","Model CO2 corrosion; review inhibition","Confirm corrosion, cracking, loads and connection"))))))</x:f>
        <x:v>Model CO2 corrosion; review inhibition</x:v>
      </x:c>
      <x:c r="T87" t="str">
        <x:v>https://www.tenaris.com/en/products-and-services/octg/steel-grades/</x:v>
      </x:c>
    </x:row>
    <x:row r="88" ht="23" customHeight="1">
      <x:c r="A88" t="str">
        <x:v>OCTG-0087</x:v>
      </x:c>
      <x:c r="B88" t="str">
        <x:v>Tenaris</x:v>
      </x:c>
      <x:c r="C88" t="str">
        <x:v>TN 110S</x:v>
      </x:c>
      <x:c r="D88" t="str">
        <x:v>Carbon / low alloy</x:v>
      </x:c>
      <x:c r="E88" t="str">
        <x:v>Controlled yield / mild sour (depending on grade)</x:v>
      </x:c>
      <x:c r="F88" s="82" t="n">
        <x:v>110</x:v>
      </x:c>
      <x:c r="G88" t="str">
        <x:v>No</x:v>
      </x:c>
      <x:c r="H88" t="str">
        <x:v>A</x:v>
      </x:c>
      <x:c r="I88" t="str">
        <x:v>Yes</x:v>
      </x:c>
      <x:c r="J88" t="str">
        <x:v>No</x:v>
      </x:c>
      <x:c r="K88" t="str">
        <x:v>No</x:v>
      </x:c>
      <x:c r="L88" t="str">
        <x:f>IF(F88="","UNKNOWN",IF(F88&lt;'WELL INPUTS'!$B$11,"BELOW","OK"))</x:f>
        <x:v>OK</x:v>
      </x:c>
      <x:c r="M88" t="str">
        <x:f>IF(AND('WELL INPUTS'!$B$4="Wet",'WELL INPUTS'!$B$5&gt;0),IF(I88="Yes","CATALOG SOUR","NOT LISTED"),"N/A")</x:f>
        <x:v>N/A</x:v>
      </x:c>
      <x:c r="N88" t="str">
        <x:f>IF(AND('WELL INPUTS'!$B$4="Wet",'WELL INPUTS'!$B$6&gt;0),IF(J88="Yes","ALLOY FAMILY","CORROSION CONTROL"),"N/A")</x:f>
        <x:v>CORROSION CONTROL</x:v>
      </x:c>
      <x:c r="O88" t="str">
        <x:f>IF('WELL INPUTS'!$B$12="Yes",IF(G88="Yes","CLAIMED","NOT LISTED"),"N/A")</x:f>
        <x:v>N/A</x:v>
      </x:c>
      <x:c r="P88" t="str">
        <x:f>IF(OR('WELL INPUTS'!$B$13="Unrestricted",CODE(H88)&lt;=CODE('WELL INPUTS'!$B$13)),"WITHIN TIER","OVER CAP")</x:f>
        <x:v>WITHIN TIER</x:v>
      </x:c>
      <x:c r="Q88" t="n">
        <x:f>MAX(0,MIN(100,43+IF(L88="OK",14,-20)+IF(M88="CATALOG SOUR",24,IF(M88="NOT LISTED",-18,0))+IF(N88="ALLOY FAMILY",14,IF(N88="CORROSION CONTROL",-13,0))+IF(O88="CLAIMED",17,IF(O88="NOT LISTED",-14,0))+IF(K88="Yes",-15,0)+IF('WELL INPUTS'!$B$10="Yes",-17,0)))</x:f>
        <x:v>44</x:v>
      </x:c>
      <x:c r="R88" s="83" t="str">
        <x:f>IF(L88="BELOW","EXCLUDE — STRENGTH",IF(P88="OVER CAP","EXCLUDE — COST",IF(K88="Yes",IF('WELL INPUTS'!$B$14="No","EXCLUDE — REFERENCE","REFERENCE ONLY"),IF(OR(L88="UNKNOWN",M88="NOT LISTED",N88="CORROSION CONTROL",O88="NOT LISTED",'WELL INPUTS'!$B$10="Yes",'WELL INPUTS'!$B$4="Unknown"),"REVIEW","CANDIDATE — VERIFY"))))</x:f>
        <x:v>REVIEW</x:v>
      </x:c>
      <x:c r="S88" t="str">
        <x:f>IF(L88="BELOW","Increase minimum grade strength",IF(P88="OVER CAP","Relax cost tier or exclude",IF(K88="Yes","Identify qualified manufacturer grade",IF(M88="NOT LISTED","Confirm sour-service claim and ISO 15156",IF(O88="NOT LISTED","Obtain manufacturer collapse curve",IF(N88="CORROSION CONTROL","Model CO2 corrosion; review inhibition","Confirm corrosion, cracking, loads and connection"))))))</x:f>
        <x:v>Model CO2 corrosion; review inhibition</x:v>
      </x:c>
      <x:c r="T88" t="str">
        <x:v>https://www.tenaris.com/en/products-and-services/octg/steel-grades/</x:v>
      </x:c>
    </x:row>
    <x:row r="89" ht="23" customHeight="1">
      <x:c r="A89" t="str">
        <x:v>OCTG-0088</x:v>
      </x:c>
      <x:c r="B89" t="str">
        <x:v>Tenaris</x:v>
      </x:c>
      <x:c r="C89" t="str">
        <x:v>TN 110SS</x:v>
      </x:c>
      <x:c r="D89" t="str">
        <x:v>Carbon / low alloy</x:v>
      </x:c>
      <x:c r="E89" t="str">
        <x:v>Sour service (manufacturer qualified domain)</x:v>
      </x:c>
      <x:c r="F89" s="82" t="n">
        <x:v>110</x:v>
      </x:c>
      <x:c r="G89" t="str">
        <x:v>No</x:v>
      </x:c>
      <x:c r="H89" t="str">
        <x:v>A</x:v>
      </x:c>
      <x:c r="I89" t="str">
        <x:v>Yes</x:v>
      </x:c>
      <x:c r="J89" t="str">
        <x:v>No</x:v>
      </x:c>
      <x:c r="K89" t="str">
        <x:v>No</x:v>
      </x:c>
      <x:c r="L89" t="str">
        <x:f>IF(F89="","UNKNOWN",IF(F89&lt;'WELL INPUTS'!$B$11,"BELOW","OK"))</x:f>
        <x:v>OK</x:v>
      </x:c>
      <x:c r="M89" t="str">
        <x:f>IF(AND('WELL INPUTS'!$B$4="Wet",'WELL INPUTS'!$B$5&gt;0),IF(I89="Yes","CATALOG SOUR","NOT LISTED"),"N/A")</x:f>
        <x:v>N/A</x:v>
      </x:c>
      <x:c r="N89" t="str">
        <x:f>IF(AND('WELL INPUTS'!$B$4="Wet",'WELL INPUTS'!$B$6&gt;0),IF(J89="Yes","ALLOY FAMILY","CORROSION CONTROL"),"N/A")</x:f>
        <x:v>CORROSION CONTROL</x:v>
      </x:c>
      <x:c r="O89" t="str">
        <x:f>IF('WELL INPUTS'!$B$12="Yes",IF(G89="Yes","CLAIMED","NOT LISTED"),"N/A")</x:f>
        <x:v>N/A</x:v>
      </x:c>
      <x:c r="P89" t="str">
        <x:f>IF(OR('WELL INPUTS'!$B$13="Unrestricted",CODE(H89)&lt;=CODE('WELL INPUTS'!$B$13)),"WITHIN TIER","OVER CAP")</x:f>
        <x:v>WITHIN TIER</x:v>
      </x:c>
      <x:c r="Q89" t="n">
        <x:f>MAX(0,MIN(100,43+IF(L89="OK",14,-20)+IF(M89="CATALOG SOUR",24,IF(M89="NOT LISTED",-18,0))+IF(N89="ALLOY FAMILY",14,IF(N89="CORROSION CONTROL",-13,0))+IF(O89="CLAIMED",17,IF(O89="NOT LISTED",-14,0))+IF(K89="Yes",-15,0)+IF('WELL INPUTS'!$B$10="Yes",-17,0)))</x:f>
        <x:v>44</x:v>
      </x:c>
      <x:c r="R89" s="83" t="str">
        <x:f>IF(L89="BELOW","EXCLUDE — STRENGTH",IF(P89="OVER CAP","EXCLUDE — COST",IF(K89="Yes",IF('WELL INPUTS'!$B$14="No","EXCLUDE — REFERENCE","REFERENCE ONLY"),IF(OR(L89="UNKNOWN",M89="NOT LISTED",N89="CORROSION CONTROL",O89="NOT LISTED",'WELL INPUTS'!$B$10="Yes",'WELL INPUTS'!$B$4="Unknown"),"REVIEW","CANDIDATE — VERIFY"))))</x:f>
        <x:v>REVIEW</x:v>
      </x:c>
      <x:c r="S89" t="str">
        <x:f>IF(L89="BELOW","Increase minimum grade strength",IF(P89="OVER CAP","Relax cost tier or exclude",IF(K89="Yes","Identify qualified manufacturer grade",IF(M89="NOT LISTED","Confirm sour-service claim and ISO 15156",IF(O89="NOT LISTED","Obtain manufacturer collapse curve",IF(N89="CORROSION CONTROL","Model CO2 corrosion; review inhibition","Confirm corrosion, cracking, loads and connection"))))))</x:f>
        <x:v>Model CO2 corrosion; review inhibition</x:v>
      </x:c>
      <x:c r="T89" t="str">
        <x:v>https://www.tenaris.com/en/products-and-services/octg/steel-grades/</x:v>
      </x:c>
    </x:row>
    <x:row r="90" ht="23" customHeight="1">
      <x:c r="A90" t="str">
        <x:v>OCTG-0089</x:v>
      </x:c>
      <x:c r="B90" t="str">
        <x:v>Tenaris</x:v>
      </x:c>
      <x:c r="C90" t="str">
        <x:v>TN 125HC</x:v>
      </x:c>
      <x:c r="D90" t="str">
        <x:v>Carbon / low alloy</x:v>
      </x:c>
      <x:c r="E90" t="str">
        <x:v>High collapse / external pressure</x:v>
      </x:c>
      <x:c r="F90" s="82" t="n">
        <x:v>125</x:v>
      </x:c>
      <x:c r="G90" t="str">
        <x:v>Yes</x:v>
      </x:c>
      <x:c r="H90" t="str">
        <x:v>A</x:v>
      </x:c>
      <x:c r="I90" t="str">
        <x:v>No</x:v>
      </x:c>
      <x:c r="J90" t="str">
        <x:v>No</x:v>
      </x:c>
      <x:c r="K90" t="str">
        <x:v>No</x:v>
      </x:c>
      <x:c r="L90" t="str">
        <x:f>IF(F90="","UNKNOWN",IF(F90&lt;'WELL INPUTS'!$B$11,"BELOW","OK"))</x:f>
        <x:v>OK</x:v>
      </x:c>
      <x:c r="M90" t="str">
        <x:f>IF(AND('WELL INPUTS'!$B$4="Wet",'WELL INPUTS'!$B$5&gt;0),IF(I90="Yes","CATALOG SOUR","NOT LISTED"),"N/A")</x:f>
        <x:v>N/A</x:v>
      </x:c>
      <x:c r="N90" t="str">
        <x:f>IF(AND('WELL INPUTS'!$B$4="Wet",'WELL INPUTS'!$B$6&gt;0),IF(J90="Yes","ALLOY FAMILY","CORROSION CONTROL"),"N/A")</x:f>
        <x:v>CORROSION CONTROL</x:v>
      </x:c>
      <x:c r="O90" t="str">
        <x:f>IF('WELL INPUTS'!$B$12="Yes",IF(G90="Yes","CLAIMED","NOT LISTED"),"N/A")</x:f>
        <x:v>N/A</x:v>
      </x:c>
      <x:c r="P90" t="str">
        <x:f>IF(OR('WELL INPUTS'!$B$13="Unrestricted",CODE(H90)&lt;=CODE('WELL INPUTS'!$B$13)),"WITHIN TIER","OVER CAP")</x:f>
        <x:v>WITHIN TIER</x:v>
      </x:c>
      <x:c r="Q90" t="n">
        <x:f>MAX(0,MIN(100,43+IF(L90="OK",14,-20)+IF(M90="CATALOG SOUR",24,IF(M90="NOT LISTED",-18,0))+IF(N90="ALLOY FAMILY",14,IF(N90="CORROSION CONTROL",-13,0))+IF(O90="CLAIMED",17,IF(O90="NOT LISTED",-14,0))+IF(K90="Yes",-15,0)+IF('WELL INPUTS'!$B$10="Yes",-17,0)))</x:f>
        <x:v>44</x:v>
      </x:c>
      <x:c r="R90" s="83" t="str">
        <x:f>IF(L90="BELOW","EXCLUDE — STRENGTH",IF(P90="OVER CAP","EXCLUDE — COST",IF(K90="Yes",IF('WELL INPUTS'!$B$14="No","EXCLUDE — REFERENCE","REFERENCE ONLY"),IF(OR(L90="UNKNOWN",M90="NOT LISTED",N90="CORROSION CONTROL",O90="NOT LISTED",'WELL INPUTS'!$B$10="Yes",'WELL INPUTS'!$B$4="Unknown"),"REVIEW","CANDIDATE — VERIFY"))))</x:f>
        <x:v>REVIEW</x:v>
      </x:c>
      <x:c r="S90" t="str">
        <x:f>IF(L90="BELOW","Increase minimum grade strength",IF(P90="OVER CAP","Relax cost tier or exclude",IF(K90="Yes","Identify qualified manufacturer grade",IF(M90="NOT LISTED","Confirm sour-service claim and ISO 15156",IF(O90="NOT LISTED","Obtain manufacturer collapse curve",IF(N90="CORROSION CONTROL","Model CO2 corrosion; review inhibition","Confirm corrosion, cracking, loads and connection"))))))</x:f>
        <x:v>Model CO2 corrosion; review inhibition</x:v>
      </x:c>
      <x:c r="T90" t="str">
        <x:v>https://www.tenaris.com/en/products-and-services/octg/steel-grades/</x:v>
      </x:c>
    </x:row>
    <x:row r="91" ht="23" customHeight="1">
      <x:c r="A91" t="str">
        <x:v>OCTG-0090</x:v>
      </x:c>
      <x:c r="B91" t="str">
        <x:v>Tenaris</x:v>
      </x:c>
      <x:c r="C91" t="str">
        <x:v>TN 125HCY</x:v>
      </x:c>
      <x:c r="D91" t="str">
        <x:v>Carbon / low alloy</x:v>
      </x:c>
      <x:c r="E91" t="str">
        <x:v>High collapse / external pressure</x:v>
      </x:c>
      <x:c r="F91" s="82" t="n">
        <x:v>125</x:v>
      </x:c>
      <x:c r="G91" t="str">
        <x:v>Yes</x:v>
      </x:c>
      <x:c r="H91" t="str">
        <x:v>A</x:v>
      </x:c>
      <x:c r="I91" t="str">
        <x:v>No</x:v>
      </x:c>
      <x:c r="J91" t="str">
        <x:v>No</x:v>
      </x:c>
      <x:c r="K91" t="str">
        <x:v>No</x:v>
      </x:c>
      <x:c r="L91" t="str">
        <x:f>IF(F91="","UNKNOWN",IF(F91&lt;'WELL INPUTS'!$B$11,"BELOW","OK"))</x:f>
        <x:v>OK</x:v>
      </x:c>
      <x:c r="M91" t="str">
        <x:f>IF(AND('WELL INPUTS'!$B$4="Wet",'WELL INPUTS'!$B$5&gt;0),IF(I91="Yes","CATALOG SOUR","NOT LISTED"),"N/A")</x:f>
        <x:v>N/A</x:v>
      </x:c>
      <x:c r="N91" t="str">
        <x:f>IF(AND('WELL INPUTS'!$B$4="Wet",'WELL INPUTS'!$B$6&gt;0),IF(J91="Yes","ALLOY FAMILY","CORROSION CONTROL"),"N/A")</x:f>
        <x:v>CORROSION CONTROL</x:v>
      </x:c>
      <x:c r="O91" t="str">
        <x:f>IF('WELL INPUTS'!$B$12="Yes",IF(G91="Yes","CLAIMED","NOT LISTED"),"N/A")</x:f>
        <x:v>N/A</x:v>
      </x:c>
      <x:c r="P91" t="str">
        <x:f>IF(OR('WELL INPUTS'!$B$13="Unrestricted",CODE(H91)&lt;=CODE('WELL INPUTS'!$B$13)),"WITHIN TIER","OVER CAP")</x:f>
        <x:v>WITHIN TIER</x:v>
      </x:c>
      <x:c r="Q91" t="n">
        <x:f>MAX(0,MIN(100,43+IF(L91="OK",14,-20)+IF(M91="CATALOG SOUR",24,IF(M91="NOT LISTED",-18,0))+IF(N91="ALLOY FAMILY",14,IF(N91="CORROSION CONTROL",-13,0))+IF(O91="CLAIMED",17,IF(O91="NOT LISTED",-14,0))+IF(K91="Yes",-15,0)+IF('WELL INPUTS'!$B$10="Yes",-17,0)))</x:f>
        <x:v>44</x:v>
      </x:c>
      <x:c r="R91" s="83" t="str">
        <x:f>IF(L91="BELOW","EXCLUDE — STRENGTH",IF(P91="OVER CAP","EXCLUDE — COST",IF(K91="Yes",IF('WELL INPUTS'!$B$14="No","EXCLUDE — REFERENCE","REFERENCE ONLY"),IF(OR(L91="UNKNOWN",M91="NOT LISTED",N91="CORROSION CONTROL",O91="NOT LISTED",'WELL INPUTS'!$B$10="Yes",'WELL INPUTS'!$B$4="Unknown"),"REVIEW","CANDIDATE — VERIFY"))))</x:f>
        <x:v>REVIEW</x:v>
      </x:c>
      <x:c r="S91" t="str">
        <x:f>IF(L91="BELOW","Increase minimum grade strength",IF(P91="OVER CAP","Relax cost tier or exclude",IF(K91="Yes","Identify qualified manufacturer grade",IF(M91="NOT LISTED","Confirm sour-service claim and ISO 15156",IF(O91="NOT LISTED","Obtain manufacturer collapse curve",IF(N91="CORROSION CONTROL","Model CO2 corrosion; review inhibition","Confirm corrosion, cracking, loads and connection"))))))</x:f>
        <x:v>Model CO2 corrosion; review inhibition</x:v>
      </x:c>
      <x:c r="T91" t="str">
        <x:v>https://www.tenaris.com/en/products-and-services/octg/steel-grades/</x:v>
      </x:c>
    </x:row>
    <x:row r="92" ht="23" customHeight="1">
      <x:c r="A92" t="str">
        <x:v>OCTG-0091</x:v>
      </x:c>
      <x:c r="B92" t="str">
        <x:v>Tenaris</x:v>
      </x:c>
      <x:c r="C92" t="str">
        <x:v>TN 125HS</x:v>
      </x:c>
      <x:c r="D92" t="str">
        <x:v>Carbon / low alloy</x:v>
      </x:c>
      <x:c r="E92" t="str">
        <x:v>Sour service (manufacturer qualified domain)</x:v>
      </x:c>
      <x:c r="F92" s="82" t="n">
        <x:v>125</x:v>
      </x:c>
      <x:c r="G92" t="str">
        <x:v>No</x:v>
      </x:c>
      <x:c r="H92" t="str">
        <x:v>A</x:v>
      </x:c>
      <x:c r="I92" t="str">
        <x:v>Yes</x:v>
      </x:c>
      <x:c r="J92" t="str">
        <x:v>No</x:v>
      </x:c>
      <x:c r="K92" t="str">
        <x:v>No</x:v>
      </x:c>
      <x:c r="L92" t="str">
        <x:f>IF(F92="","UNKNOWN",IF(F92&lt;'WELL INPUTS'!$B$11,"BELOW","OK"))</x:f>
        <x:v>OK</x:v>
      </x:c>
      <x:c r="M92" t="str">
        <x:f>IF(AND('WELL INPUTS'!$B$4="Wet",'WELL INPUTS'!$B$5&gt;0),IF(I92="Yes","CATALOG SOUR","NOT LISTED"),"N/A")</x:f>
        <x:v>N/A</x:v>
      </x:c>
      <x:c r="N92" t="str">
        <x:f>IF(AND('WELL INPUTS'!$B$4="Wet",'WELL INPUTS'!$B$6&gt;0),IF(J92="Yes","ALLOY FAMILY","CORROSION CONTROL"),"N/A")</x:f>
        <x:v>CORROSION CONTROL</x:v>
      </x:c>
      <x:c r="O92" t="str">
        <x:f>IF('WELL INPUTS'!$B$12="Yes",IF(G92="Yes","CLAIMED","NOT LISTED"),"N/A")</x:f>
        <x:v>N/A</x:v>
      </x:c>
      <x:c r="P92" t="str">
        <x:f>IF(OR('WELL INPUTS'!$B$13="Unrestricted",CODE(H92)&lt;=CODE('WELL INPUTS'!$B$13)),"WITHIN TIER","OVER CAP")</x:f>
        <x:v>WITHIN TIER</x:v>
      </x:c>
      <x:c r="Q92" t="n">
        <x:f>MAX(0,MIN(100,43+IF(L92="OK",14,-20)+IF(M92="CATALOG SOUR",24,IF(M92="NOT LISTED",-18,0))+IF(N92="ALLOY FAMILY",14,IF(N92="CORROSION CONTROL",-13,0))+IF(O92="CLAIMED",17,IF(O92="NOT LISTED",-14,0))+IF(K92="Yes",-15,0)+IF('WELL INPUTS'!$B$10="Yes",-17,0)))</x:f>
        <x:v>44</x:v>
      </x:c>
      <x:c r="R92" s="83" t="str">
        <x:f>IF(L92="BELOW","EXCLUDE — STRENGTH",IF(P92="OVER CAP","EXCLUDE — COST",IF(K92="Yes",IF('WELL INPUTS'!$B$14="No","EXCLUDE — REFERENCE","REFERENCE ONLY"),IF(OR(L92="UNKNOWN",M92="NOT LISTED",N92="CORROSION CONTROL",O92="NOT LISTED",'WELL INPUTS'!$B$10="Yes",'WELL INPUTS'!$B$4="Unknown"),"REVIEW","CANDIDATE — VERIFY"))))</x:f>
        <x:v>REVIEW</x:v>
      </x:c>
      <x:c r="S92" t="str">
        <x:f>IF(L92="BELOW","Increase minimum grade strength",IF(P92="OVER CAP","Relax cost tier or exclude",IF(K92="Yes","Identify qualified manufacturer grade",IF(M92="NOT LISTED","Confirm sour-service claim and ISO 15156",IF(O92="NOT LISTED","Obtain manufacturer collapse curve",IF(N92="CORROSION CONTROL","Model CO2 corrosion; review inhibition","Confirm corrosion, cracking, loads and connection"))))))</x:f>
        <x:v>Model CO2 corrosion; review inhibition</x:v>
      </x:c>
      <x:c r="T92" t="str">
        <x:v>https://www.tenaris.com/en/products-and-services/octg/steel-grades/</x:v>
      </x:c>
    </x:row>
    <x:row r="93" ht="23" customHeight="1">
      <x:c r="A93" t="str">
        <x:v>OCTG-0092</x:v>
      </x:c>
      <x:c r="B93" t="str">
        <x:v>Tenaris</x:v>
      </x:c>
      <x:c r="C93" t="str">
        <x:v>TN 125LT</x:v>
      </x:c>
      <x:c r="D93" t="str">
        <x:v>Carbon / low alloy</x:v>
      </x:c>
      <x:c r="E93" t="str">
        <x:v>Low temperature / toughness grade</x:v>
      </x:c>
      <x:c r="F93" s="82" t="n">
        <x:v>125</x:v>
      </x:c>
      <x:c r="G93" t="str">
        <x:v>No</x:v>
      </x:c>
      <x:c r="H93" t="str">
        <x:v>A</x:v>
      </x:c>
      <x:c r="I93" t="str">
        <x:v>No</x:v>
      </x:c>
      <x:c r="J93" t="str">
        <x:v>No</x:v>
      </x:c>
      <x:c r="K93" t="str">
        <x:v>No</x:v>
      </x:c>
      <x:c r="L93" t="str">
        <x:f>IF(F93="","UNKNOWN",IF(F93&lt;'WELL INPUTS'!$B$11,"BELOW","OK"))</x:f>
        <x:v>OK</x:v>
      </x:c>
      <x:c r="M93" t="str">
        <x:f>IF(AND('WELL INPUTS'!$B$4="Wet",'WELL INPUTS'!$B$5&gt;0),IF(I93="Yes","CATALOG SOUR","NOT LISTED"),"N/A")</x:f>
        <x:v>N/A</x:v>
      </x:c>
      <x:c r="N93" t="str">
        <x:f>IF(AND('WELL INPUTS'!$B$4="Wet",'WELL INPUTS'!$B$6&gt;0),IF(J93="Yes","ALLOY FAMILY","CORROSION CONTROL"),"N/A")</x:f>
        <x:v>CORROSION CONTROL</x:v>
      </x:c>
      <x:c r="O93" t="str">
        <x:f>IF('WELL INPUTS'!$B$12="Yes",IF(G93="Yes","CLAIMED","NOT LISTED"),"N/A")</x:f>
        <x:v>N/A</x:v>
      </x:c>
      <x:c r="P93" t="str">
        <x:f>IF(OR('WELL INPUTS'!$B$13="Unrestricted",CODE(H93)&lt;=CODE('WELL INPUTS'!$B$13)),"WITHIN TIER","OVER CAP")</x:f>
        <x:v>WITHIN TIER</x:v>
      </x:c>
      <x:c r="Q93" t="n">
        <x:f>MAX(0,MIN(100,43+IF(L93="OK",14,-20)+IF(M93="CATALOG SOUR",24,IF(M93="NOT LISTED",-18,0))+IF(N93="ALLOY FAMILY",14,IF(N93="CORROSION CONTROL",-13,0))+IF(O93="CLAIMED",17,IF(O93="NOT LISTED",-14,0))+IF(K93="Yes",-15,0)+IF('WELL INPUTS'!$B$10="Yes",-17,0)))</x:f>
        <x:v>44</x:v>
      </x:c>
      <x:c r="R93" s="83" t="str">
        <x:f>IF(L93="BELOW","EXCLUDE — STRENGTH",IF(P93="OVER CAP","EXCLUDE — COST",IF(K93="Yes",IF('WELL INPUTS'!$B$14="No","EXCLUDE — REFERENCE","REFERENCE ONLY"),IF(OR(L93="UNKNOWN",M93="NOT LISTED",N93="CORROSION CONTROL",O93="NOT LISTED",'WELL INPUTS'!$B$10="Yes",'WELL INPUTS'!$B$4="Unknown"),"REVIEW","CANDIDATE — VERIFY"))))</x:f>
        <x:v>REVIEW</x:v>
      </x:c>
      <x:c r="S93" t="str">
        <x:f>IF(L93="BELOW","Increase minimum grade strength",IF(P93="OVER CAP","Relax cost tier or exclude",IF(K93="Yes","Identify qualified manufacturer grade",IF(M93="NOT LISTED","Confirm sour-service claim and ISO 15156",IF(O93="NOT LISTED","Obtain manufacturer collapse curve",IF(N93="CORROSION CONTROL","Model CO2 corrosion; review inhibition","Confirm corrosion, cracking, loads and connection"))))))</x:f>
        <x:v>Model CO2 corrosion; review inhibition</x:v>
      </x:c>
      <x:c r="T93" t="str">
        <x:v>https://www.tenaris.com/en/products-and-services/octg/steel-grades/</x:v>
      </x:c>
    </x:row>
    <x:row r="94" ht="23" customHeight="1">
      <x:c r="A94" t="str">
        <x:v>OCTG-0093</x:v>
      </x:c>
      <x:c r="B94" t="str">
        <x:v>Tenaris</x:v>
      </x:c>
      <x:c r="C94" t="str">
        <x:v>TN 125SS</x:v>
      </x:c>
      <x:c r="D94" t="str">
        <x:v>Carbon / low alloy</x:v>
      </x:c>
      <x:c r="E94" t="str">
        <x:v>Sour service (manufacturer qualified domain)</x:v>
      </x:c>
      <x:c r="F94" s="82" t="n">
        <x:v>125</x:v>
      </x:c>
      <x:c r="G94" t="str">
        <x:v>No</x:v>
      </x:c>
      <x:c r="H94" t="str">
        <x:v>A</x:v>
      </x:c>
      <x:c r="I94" t="str">
        <x:v>Yes</x:v>
      </x:c>
      <x:c r="J94" t="str">
        <x:v>No</x:v>
      </x:c>
      <x:c r="K94" t="str">
        <x:v>No</x:v>
      </x:c>
      <x:c r="L94" t="str">
        <x:f>IF(F94="","UNKNOWN",IF(F94&lt;'WELL INPUTS'!$B$11,"BELOW","OK"))</x:f>
        <x:v>OK</x:v>
      </x:c>
      <x:c r="M94" t="str">
        <x:f>IF(AND('WELL INPUTS'!$B$4="Wet",'WELL INPUTS'!$B$5&gt;0),IF(I94="Yes","CATALOG SOUR","NOT LISTED"),"N/A")</x:f>
        <x:v>N/A</x:v>
      </x:c>
      <x:c r="N94" t="str">
        <x:f>IF(AND('WELL INPUTS'!$B$4="Wet",'WELL INPUTS'!$B$6&gt;0),IF(J94="Yes","ALLOY FAMILY","CORROSION CONTROL"),"N/A")</x:f>
        <x:v>CORROSION CONTROL</x:v>
      </x:c>
      <x:c r="O94" t="str">
        <x:f>IF('WELL INPUTS'!$B$12="Yes",IF(G94="Yes","CLAIMED","NOT LISTED"),"N/A")</x:f>
        <x:v>N/A</x:v>
      </x:c>
      <x:c r="P94" t="str">
        <x:f>IF(OR('WELL INPUTS'!$B$13="Unrestricted",CODE(H94)&lt;=CODE('WELL INPUTS'!$B$13)),"WITHIN TIER","OVER CAP")</x:f>
        <x:v>WITHIN TIER</x:v>
      </x:c>
      <x:c r="Q94" t="n">
        <x:f>MAX(0,MIN(100,43+IF(L94="OK",14,-20)+IF(M94="CATALOG SOUR",24,IF(M94="NOT LISTED",-18,0))+IF(N94="ALLOY FAMILY",14,IF(N94="CORROSION CONTROL",-13,0))+IF(O94="CLAIMED",17,IF(O94="NOT LISTED",-14,0))+IF(K94="Yes",-15,0)+IF('WELL INPUTS'!$B$10="Yes",-17,0)))</x:f>
        <x:v>44</x:v>
      </x:c>
      <x:c r="R94" s="83" t="str">
        <x:f>IF(L94="BELOW","EXCLUDE — STRENGTH",IF(P94="OVER CAP","EXCLUDE — COST",IF(K94="Yes",IF('WELL INPUTS'!$B$14="No","EXCLUDE — REFERENCE","REFERENCE ONLY"),IF(OR(L94="UNKNOWN",M94="NOT LISTED",N94="CORROSION CONTROL",O94="NOT LISTED",'WELL INPUTS'!$B$10="Yes",'WELL INPUTS'!$B$4="Unknown"),"REVIEW","CANDIDATE — VERIFY"))))</x:f>
        <x:v>REVIEW</x:v>
      </x:c>
      <x:c r="S94" t="str">
        <x:f>IF(L94="BELOW","Increase minimum grade strength",IF(P94="OVER CAP","Relax cost tier or exclude",IF(K94="Yes","Identify qualified manufacturer grade",IF(M94="NOT LISTED","Confirm sour-service claim and ISO 15156",IF(O94="NOT LISTED","Obtain manufacturer collapse curve",IF(N94="CORROSION CONTROL","Model CO2 corrosion; review inhibition","Confirm corrosion, cracking, loads and connection"))))))</x:f>
        <x:v>Model CO2 corrosion; review inhibition</x:v>
      </x:c>
      <x:c r="T94" t="str">
        <x:v>https://www.tenaris.com/en/products-and-services/octg/steel-grades/</x:v>
      </x:c>
    </x:row>
    <x:row r="95" ht="23" customHeight="1">
      <x:c r="A95" t="str">
        <x:v>OCTG-0094</x:v>
      </x:c>
      <x:c r="B95" t="str">
        <x:v>Tenaris</x:v>
      </x:c>
      <x:c r="C95" t="str">
        <x:v>TN 130CY</x:v>
      </x:c>
      <x:c r="D95" t="str">
        <x:v>Carbon / low alloy</x:v>
      </x:c>
      <x:c r="E95" t="str">
        <x:v>Controlled yield / mild sour (depending on grade)</x:v>
      </x:c>
      <x:c r="F95" s="82" t="n">
        <x:v>130</x:v>
      </x:c>
      <x:c r="G95" t="str">
        <x:v>No</x:v>
      </x:c>
      <x:c r="H95" t="str">
        <x:v>A</x:v>
      </x:c>
      <x:c r="I95" t="str">
        <x:v>Yes</x:v>
      </x:c>
      <x:c r="J95" t="str">
        <x:v>No</x:v>
      </x:c>
      <x:c r="K95" t="str">
        <x:v>No</x:v>
      </x:c>
      <x:c r="L95" t="str">
        <x:f>IF(F95="","UNKNOWN",IF(F95&lt;'WELL INPUTS'!$B$11,"BELOW","OK"))</x:f>
        <x:v>OK</x:v>
      </x:c>
      <x:c r="M95" t="str">
        <x:f>IF(AND('WELL INPUTS'!$B$4="Wet",'WELL INPUTS'!$B$5&gt;0),IF(I95="Yes","CATALOG SOUR","NOT LISTED"),"N/A")</x:f>
        <x:v>N/A</x:v>
      </x:c>
      <x:c r="N95" t="str">
        <x:f>IF(AND('WELL INPUTS'!$B$4="Wet",'WELL INPUTS'!$B$6&gt;0),IF(J95="Yes","ALLOY FAMILY","CORROSION CONTROL"),"N/A")</x:f>
        <x:v>CORROSION CONTROL</x:v>
      </x:c>
      <x:c r="O95" t="str">
        <x:f>IF('WELL INPUTS'!$B$12="Yes",IF(G95="Yes","CLAIMED","NOT LISTED"),"N/A")</x:f>
        <x:v>N/A</x:v>
      </x:c>
      <x:c r="P95" t="str">
        <x:f>IF(OR('WELL INPUTS'!$B$13="Unrestricted",CODE(H95)&lt;=CODE('WELL INPUTS'!$B$13)),"WITHIN TIER","OVER CAP")</x:f>
        <x:v>WITHIN TIER</x:v>
      </x:c>
      <x:c r="Q95" t="n">
        <x:f>MAX(0,MIN(100,43+IF(L95="OK",14,-20)+IF(M95="CATALOG SOUR",24,IF(M95="NOT LISTED",-18,0))+IF(N95="ALLOY FAMILY",14,IF(N95="CORROSION CONTROL",-13,0))+IF(O95="CLAIMED",17,IF(O95="NOT LISTED",-14,0))+IF(K95="Yes",-15,0)+IF('WELL INPUTS'!$B$10="Yes",-17,0)))</x:f>
        <x:v>44</x:v>
      </x:c>
      <x:c r="R95" s="83" t="str">
        <x:f>IF(L95="BELOW","EXCLUDE — STRENGTH",IF(P95="OVER CAP","EXCLUDE — COST",IF(K95="Yes",IF('WELL INPUTS'!$B$14="No","EXCLUDE — REFERENCE","REFERENCE ONLY"),IF(OR(L95="UNKNOWN",M95="NOT LISTED",N95="CORROSION CONTROL",O95="NOT LISTED",'WELL INPUTS'!$B$10="Yes",'WELL INPUTS'!$B$4="Unknown"),"REVIEW","CANDIDATE — VERIFY"))))</x:f>
        <x:v>REVIEW</x:v>
      </x:c>
      <x:c r="S95" t="str">
        <x:f>IF(L95="BELOW","Increase minimum grade strength",IF(P95="OVER CAP","Relax cost tier or exclude",IF(K95="Yes","Identify qualified manufacturer grade",IF(M95="NOT LISTED","Confirm sour-service claim and ISO 15156",IF(O95="NOT LISTED","Obtain manufacturer collapse curve",IF(N95="CORROSION CONTROL","Model CO2 corrosion; review inhibition","Confirm corrosion, cracking, loads and connection"))))))</x:f>
        <x:v>Model CO2 corrosion; review inhibition</x:v>
      </x:c>
      <x:c r="T95" t="str">
        <x:v>https://www.tenaris.com/en/products-and-services/octg/steel-grades/</x:v>
      </x:c>
    </x:row>
    <x:row r="96" ht="23" customHeight="1">
      <x:c r="A96" t="str">
        <x:v>OCTG-0095</x:v>
      </x:c>
      <x:c r="B96" t="str">
        <x:v>Tenaris</x:v>
      </x:c>
      <x:c r="C96" t="str">
        <x:v>TN 135DW</x:v>
      </x:c>
      <x:c r="D96" t="str">
        <x:v>Carbon / low alloy</x:v>
      </x:c>
      <x:c r="E96" t="str">
        <x:v>Deep well / high tensile load</x:v>
      </x:c>
      <x:c r="F96" s="82" t="n">
        <x:v>135</x:v>
      </x:c>
      <x:c r="G96" t="str">
        <x:v>No</x:v>
      </x:c>
      <x:c r="H96" t="str">
        <x:v>A</x:v>
      </x:c>
      <x:c r="I96" t="str">
        <x:v>No</x:v>
      </x:c>
      <x:c r="J96" t="str">
        <x:v>No</x:v>
      </x:c>
      <x:c r="K96" t="str">
        <x:v>No</x:v>
      </x:c>
      <x:c r="L96" t="str">
        <x:f>IF(F96="","UNKNOWN",IF(F96&lt;'WELL INPUTS'!$B$11,"BELOW","OK"))</x:f>
        <x:v>OK</x:v>
      </x:c>
      <x:c r="M96" t="str">
        <x:f>IF(AND('WELL INPUTS'!$B$4="Wet",'WELL INPUTS'!$B$5&gt;0),IF(I96="Yes","CATALOG SOUR","NOT LISTED"),"N/A")</x:f>
        <x:v>N/A</x:v>
      </x:c>
      <x:c r="N96" t="str">
        <x:f>IF(AND('WELL INPUTS'!$B$4="Wet",'WELL INPUTS'!$B$6&gt;0),IF(J96="Yes","ALLOY FAMILY","CORROSION CONTROL"),"N/A")</x:f>
        <x:v>CORROSION CONTROL</x:v>
      </x:c>
      <x:c r="O96" t="str">
        <x:f>IF('WELL INPUTS'!$B$12="Yes",IF(G96="Yes","CLAIMED","NOT LISTED"),"N/A")</x:f>
        <x:v>N/A</x:v>
      </x:c>
      <x:c r="P96" t="str">
        <x:f>IF(OR('WELL INPUTS'!$B$13="Unrestricted",CODE(H96)&lt;=CODE('WELL INPUTS'!$B$13)),"WITHIN TIER","OVER CAP")</x:f>
        <x:v>WITHIN TIER</x:v>
      </x:c>
      <x:c r="Q96" t="n">
        <x:f>MAX(0,MIN(100,43+IF(L96="OK",14,-20)+IF(M96="CATALOG SOUR",24,IF(M96="NOT LISTED",-18,0))+IF(N96="ALLOY FAMILY",14,IF(N96="CORROSION CONTROL",-13,0))+IF(O96="CLAIMED",17,IF(O96="NOT LISTED",-14,0))+IF(K96="Yes",-15,0)+IF('WELL INPUTS'!$B$10="Yes",-17,0)))</x:f>
        <x:v>44</x:v>
      </x:c>
      <x:c r="R96" s="83" t="str">
        <x:f>IF(L96="BELOW","EXCLUDE — STRENGTH",IF(P96="OVER CAP","EXCLUDE — COST",IF(K96="Yes",IF('WELL INPUTS'!$B$14="No","EXCLUDE — REFERENCE","REFERENCE ONLY"),IF(OR(L96="UNKNOWN",M96="NOT LISTED",N96="CORROSION CONTROL",O96="NOT LISTED",'WELL INPUTS'!$B$10="Yes",'WELL INPUTS'!$B$4="Unknown"),"REVIEW","CANDIDATE — VERIFY"))))</x:f>
        <x:v>REVIEW</x:v>
      </x:c>
      <x:c r="S96" t="str">
        <x:f>IF(L96="BELOW","Increase minimum grade strength",IF(P96="OVER CAP","Relax cost tier or exclude",IF(K96="Yes","Identify qualified manufacturer grade",IF(M96="NOT LISTED","Confirm sour-service claim and ISO 15156",IF(O96="NOT LISTED","Obtain manufacturer collapse curve",IF(N96="CORROSION CONTROL","Model CO2 corrosion; review inhibition","Confirm corrosion, cracking, loads and connection"))))))</x:f>
        <x:v>Model CO2 corrosion; review inhibition</x:v>
      </x:c>
      <x:c r="T96" t="str">
        <x:v>https://www.tenaris.com/en/products-and-services/octg/steel-grades/</x:v>
      </x:c>
    </x:row>
    <x:row r="97" ht="23" customHeight="1">
      <x:c r="A97" t="str">
        <x:v>OCTG-0096</x:v>
      </x:c>
      <x:c r="B97" t="str">
        <x:v>Tenaris</x:v>
      </x:c>
      <x:c r="C97" t="str">
        <x:v>TN 140CY</x:v>
      </x:c>
      <x:c r="D97" t="str">
        <x:v>Carbon / low alloy</x:v>
      </x:c>
      <x:c r="E97" t="str">
        <x:v>Controlled yield / mild sour (depending on grade)</x:v>
      </x:c>
      <x:c r="F97" s="82" t="n">
        <x:v>140</x:v>
      </x:c>
      <x:c r="G97" t="str">
        <x:v>No</x:v>
      </x:c>
      <x:c r="H97" t="str">
        <x:v>A</x:v>
      </x:c>
      <x:c r="I97" t="str">
        <x:v>Yes</x:v>
      </x:c>
      <x:c r="J97" t="str">
        <x:v>No</x:v>
      </x:c>
      <x:c r="K97" t="str">
        <x:v>No</x:v>
      </x:c>
      <x:c r="L97" t="str">
        <x:f>IF(F97="","UNKNOWN",IF(F97&lt;'WELL INPUTS'!$B$11,"BELOW","OK"))</x:f>
        <x:v>OK</x:v>
      </x:c>
      <x:c r="M97" t="str">
        <x:f>IF(AND('WELL INPUTS'!$B$4="Wet",'WELL INPUTS'!$B$5&gt;0),IF(I97="Yes","CATALOG SOUR","NOT LISTED"),"N/A")</x:f>
        <x:v>N/A</x:v>
      </x:c>
      <x:c r="N97" t="str">
        <x:f>IF(AND('WELL INPUTS'!$B$4="Wet",'WELL INPUTS'!$B$6&gt;0),IF(J97="Yes","ALLOY FAMILY","CORROSION CONTROL"),"N/A")</x:f>
        <x:v>CORROSION CONTROL</x:v>
      </x:c>
      <x:c r="O97" t="str">
        <x:f>IF('WELL INPUTS'!$B$12="Yes",IF(G97="Yes","CLAIMED","NOT LISTED"),"N/A")</x:f>
        <x:v>N/A</x:v>
      </x:c>
      <x:c r="P97" t="str">
        <x:f>IF(OR('WELL INPUTS'!$B$13="Unrestricted",CODE(H97)&lt;=CODE('WELL INPUTS'!$B$13)),"WITHIN TIER","OVER CAP")</x:f>
        <x:v>WITHIN TIER</x:v>
      </x:c>
      <x:c r="Q97" t="n">
        <x:f>MAX(0,MIN(100,43+IF(L97="OK",14,-20)+IF(M97="CATALOG SOUR",24,IF(M97="NOT LISTED",-18,0))+IF(N97="ALLOY FAMILY",14,IF(N97="CORROSION CONTROL",-13,0))+IF(O97="CLAIMED",17,IF(O97="NOT LISTED",-14,0))+IF(K97="Yes",-15,0)+IF('WELL INPUTS'!$B$10="Yes",-17,0)))</x:f>
        <x:v>44</x:v>
      </x:c>
      <x:c r="R97" s="83" t="str">
        <x:f>IF(L97="BELOW","EXCLUDE — STRENGTH",IF(P97="OVER CAP","EXCLUDE — COST",IF(K97="Yes",IF('WELL INPUTS'!$B$14="No","EXCLUDE — REFERENCE","REFERENCE ONLY"),IF(OR(L97="UNKNOWN",M97="NOT LISTED",N97="CORROSION CONTROL",O97="NOT LISTED",'WELL INPUTS'!$B$10="Yes",'WELL INPUTS'!$B$4="Unknown"),"REVIEW","CANDIDATE — VERIFY"))))</x:f>
        <x:v>REVIEW</x:v>
      </x:c>
      <x:c r="S97" t="str">
        <x:f>IF(L97="BELOW","Increase minimum grade strength",IF(P97="OVER CAP","Relax cost tier or exclude",IF(K97="Yes","Identify qualified manufacturer grade",IF(M97="NOT LISTED","Confirm sour-service claim and ISO 15156",IF(O97="NOT LISTED","Obtain manufacturer collapse curve",IF(N97="CORROSION CONTROL","Model CO2 corrosion; review inhibition","Confirm corrosion, cracking, loads and connection"))))))</x:f>
        <x:v>Model CO2 corrosion; review inhibition</x:v>
      </x:c>
      <x:c r="T97" t="str">
        <x:v>https://www.tenaris.com/en/products-and-services/octg/steel-grades/</x:v>
      </x:c>
    </x:row>
    <x:row r="98" ht="23" customHeight="1">
      <x:c r="A98" t="str">
        <x:v>OCTG-0097</x:v>
      </x:c>
      <x:c r="B98" t="str">
        <x:v>Tenaris</x:v>
      </x:c>
      <x:c r="C98" t="str">
        <x:v>TN 140DW</x:v>
      </x:c>
      <x:c r="D98" t="str">
        <x:v>Carbon / low alloy</x:v>
      </x:c>
      <x:c r="E98" t="str">
        <x:v>Deep well / high tensile load</x:v>
      </x:c>
      <x:c r="F98" s="82" t="n">
        <x:v>140</x:v>
      </x:c>
      <x:c r="G98" t="str">
        <x:v>No</x:v>
      </x:c>
      <x:c r="H98" t="str">
        <x:v>A</x:v>
      </x:c>
      <x:c r="I98" t="str">
        <x:v>No</x:v>
      </x:c>
      <x:c r="J98" t="str">
        <x:v>No</x:v>
      </x:c>
      <x:c r="K98" t="str">
        <x:v>No</x:v>
      </x:c>
      <x:c r="L98" t="str">
        <x:f>IF(F98="","UNKNOWN",IF(F98&lt;'WELL INPUTS'!$B$11,"BELOW","OK"))</x:f>
        <x:v>OK</x:v>
      </x:c>
      <x:c r="M98" t="str">
        <x:f>IF(AND('WELL INPUTS'!$B$4="Wet",'WELL INPUTS'!$B$5&gt;0),IF(I98="Yes","CATALOG SOUR","NOT LISTED"),"N/A")</x:f>
        <x:v>N/A</x:v>
      </x:c>
      <x:c r="N98" t="str">
        <x:f>IF(AND('WELL INPUTS'!$B$4="Wet",'WELL INPUTS'!$B$6&gt;0),IF(J98="Yes","ALLOY FAMILY","CORROSION CONTROL"),"N/A")</x:f>
        <x:v>CORROSION CONTROL</x:v>
      </x:c>
      <x:c r="O98" t="str">
        <x:f>IF('WELL INPUTS'!$B$12="Yes",IF(G98="Yes","CLAIMED","NOT LISTED"),"N/A")</x:f>
        <x:v>N/A</x:v>
      </x:c>
      <x:c r="P98" t="str">
        <x:f>IF(OR('WELL INPUTS'!$B$13="Unrestricted",CODE(H98)&lt;=CODE('WELL INPUTS'!$B$13)),"WITHIN TIER","OVER CAP")</x:f>
        <x:v>WITHIN TIER</x:v>
      </x:c>
      <x:c r="Q98" t="n">
        <x:f>MAX(0,MIN(100,43+IF(L98="OK",14,-20)+IF(M98="CATALOG SOUR",24,IF(M98="NOT LISTED",-18,0))+IF(N98="ALLOY FAMILY",14,IF(N98="CORROSION CONTROL",-13,0))+IF(O98="CLAIMED",17,IF(O98="NOT LISTED",-14,0))+IF(K98="Yes",-15,0)+IF('WELL INPUTS'!$B$10="Yes",-17,0)))</x:f>
        <x:v>44</x:v>
      </x:c>
      <x:c r="R98" s="83" t="str">
        <x:f>IF(L98="BELOW","EXCLUDE — STRENGTH",IF(P98="OVER CAP","EXCLUDE — COST",IF(K98="Yes",IF('WELL INPUTS'!$B$14="No","EXCLUDE — REFERENCE","REFERENCE ONLY"),IF(OR(L98="UNKNOWN",M98="NOT LISTED",N98="CORROSION CONTROL",O98="NOT LISTED",'WELL INPUTS'!$B$10="Yes",'WELL INPUTS'!$B$4="Unknown"),"REVIEW","CANDIDATE — VERIFY"))))</x:f>
        <x:v>REVIEW</x:v>
      </x:c>
      <x:c r="S98" t="str">
        <x:f>IF(L98="BELOW","Increase minimum grade strength",IF(P98="OVER CAP","Relax cost tier or exclude",IF(K98="Yes","Identify qualified manufacturer grade",IF(M98="NOT LISTED","Confirm sour-service claim and ISO 15156",IF(O98="NOT LISTED","Obtain manufacturer collapse curve",IF(N98="CORROSION CONTROL","Model CO2 corrosion; review inhibition","Confirm corrosion, cracking, loads and connection"))))))</x:f>
        <x:v>Model CO2 corrosion; review inhibition</x:v>
      </x:c>
      <x:c r="T98" t="str">
        <x:v>https://www.tenaris.com/en/products-and-services/octg/steel-grades/</x:v>
      </x:c>
    </x:row>
    <x:row r="99" ht="23" customHeight="1">
      <x:c r="A99" t="str">
        <x:v>OCTG-0098</x:v>
      </x:c>
      <x:c r="B99" t="str">
        <x:v>Tenaris</x:v>
      </x:c>
      <x:c r="C99" t="str">
        <x:v>TN 140HC</x:v>
      </x:c>
      <x:c r="D99" t="str">
        <x:v>Carbon / low alloy</x:v>
      </x:c>
      <x:c r="E99" t="str">
        <x:v>High collapse / external pressure</x:v>
      </x:c>
      <x:c r="F99" s="82" t="n">
        <x:v>140</x:v>
      </x:c>
      <x:c r="G99" t="str">
        <x:v>Yes</x:v>
      </x:c>
      <x:c r="H99" t="str">
        <x:v>A</x:v>
      </x:c>
      <x:c r="I99" t="str">
        <x:v>No</x:v>
      </x:c>
      <x:c r="J99" t="str">
        <x:v>No</x:v>
      </x:c>
      <x:c r="K99" t="str">
        <x:v>No</x:v>
      </x:c>
      <x:c r="L99" t="str">
        <x:f>IF(F99="","UNKNOWN",IF(F99&lt;'WELL INPUTS'!$B$11,"BELOW","OK"))</x:f>
        <x:v>OK</x:v>
      </x:c>
      <x:c r="M99" t="str">
        <x:f>IF(AND('WELL INPUTS'!$B$4="Wet",'WELL INPUTS'!$B$5&gt;0),IF(I99="Yes","CATALOG SOUR","NOT LISTED"),"N/A")</x:f>
        <x:v>N/A</x:v>
      </x:c>
      <x:c r="N99" t="str">
        <x:f>IF(AND('WELL INPUTS'!$B$4="Wet",'WELL INPUTS'!$B$6&gt;0),IF(J99="Yes","ALLOY FAMILY","CORROSION CONTROL"),"N/A")</x:f>
        <x:v>CORROSION CONTROL</x:v>
      </x:c>
      <x:c r="O99" t="str">
        <x:f>IF('WELL INPUTS'!$B$12="Yes",IF(G99="Yes","CLAIMED","NOT LISTED"),"N/A")</x:f>
        <x:v>N/A</x:v>
      </x:c>
      <x:c r="P99" t="str">
        <x:f>IF(OR('WELL INPUTS'!$B$13="Unrestricted",CODE(H99)&lt;=CODE('WELL INPUTS'!$B$13)),"WITHIN TIER","OVER CAP")</x:f>
        <x:v>WITHIN TIER</x:v>
      </x:c>
      <x:c r="Q99" t="n">
        <x:f>MAX(0,MIN(100,43+IF(L99="OK",14,-20)+IF(M99="CATALOG SOUR",24,IF(M99="NOT LISTED",-18,0))+IF(N99="ALLOY FAMILY",14,IF(N99="CORROSION CONTROL",-13,0))+IF(O99="CLAIMED",17,IF(O99="NOT LISTED",-14,0))+IF(K99="Yes",-15,0)+IF('WELL INPUTS'!$B$10="Yes",-17,0)))</x:f>
        <x:v>44</x:v>
      </x:c>
      <x:c r="R99" s="83" t="str">
        <x:f>IF(L99="BELOW","EXCLUDE — STRENGTH",IF(P99="OVER CAP","EXCLUDE — COST",IF(K99="Yes",IF('WELL INPUTS'!$B$14="No","EXCLUDE — REFERENCE","REFERENCE ONLY"),IF(OR(L99="UNKNOWN",M99="NOT LISTED",N99="CORROSION CONTROL",O99="NOT LISTED",'WELL INPUTS'!$B$10="Yes",'WELL INPUTS'!$B$4="Unknown"),"REVIEW","CANDIDATE — VERIFY"))))</x:f>
        <x:v>REVIEW</x:v>
      </x:c>
      <x:c r="S99" t="str">
        <x:f>IF(L99="BELOW","Increase minimum grade strength",IF(P99="OVER CAP","Relax cost tier or exclude",IF(K99="Yes","Identify qualified manufacturer grade",IF(M99="NOT LISTED","Confirm sour-service claim and ISO 15156",IF(O99="NOT LISTED","Obtain manufacturer collapse curve",IF(N99="CORROSION CONTROL","Model CO2 corrosion; review inhibition","Confirm corrosion, cracking, loads and connection"))))))</x:f>
        <x:v>Model CO2 corrosion; review inhibition</x:v>
      </x:c>
      <x:c r="T99" t="str">
        <x:v>https://www.tenaris.com/en/products-and-services/octg/steel-grades/</x:v>
      </x:c>
    </x:row>
    <x:row r="100" ht="23" customHeight="1">
      <x:c r="A100" t="str">
        <x:v>OCTG-0099</x:v>
      </x:c>
      <x:c r="B100" t="str">
        <x:v>Tenaris</x:v>
      </x:c>
      <x:c r="C100" t="str">
        <x:v>TN 140HC-RY</x:v>
      </x:c>
      <x:c r="D100" t="str">
        <x:v>Carbon / low alloy</x:v>
      </x:c>
      <x:c r="E100" t="str">
        <x:v>High collapse / external pressure</x:v>
      </x:c>
      <x:c r="F100" s="82" t="n">
        <x:v>140</x:v>
      </x:c>
      <x:c r="G100" t="str">
        <x:v>Yes</x:v>
      </x:c>
      <x:c r="H100" t="str">
        <x:v>A</x:v>
      </x:c>
      <x:c r="I100" t="str">
        <x:v>No</x:v>
      </x:c>
      <x:c r="J100" t="str">
        <x:v>No</x:v>
      </x:c>
      <x:c r="K100" t="str">
        <x:v>No</x:v>
      </x:c>
      <x:c r="L100" t="str">
        <x:f>IF(F100="","UNKNOWN",IF(F100&lt;'WELL INPUTS'!$B$11,"BELOW","OK"))</x:f>
        <x:v>OK</x:v>
      </x:c>
      <x:c r="M100" t="str">
        <x:f>IF(AND('WELL INPUTS'!$B$4="Wet",'WELL INPUTS'!$B$5&gt;0),IF(I100="Yes","CATALOG SOUR","NOT LISTED"),"N/A")</x:f>
        <x:v>N/A</x:v>
      </x:c>
      <x:c r="N100" t="str">
        <x:f>IF(AND('WELL INPUTS'!$B$4="Wet",'WELL INPUTS'!$B$6&gt;0),IF(J100="Yes","ALLOY FAMILY","CORROSION CONTROL"),"N/A")</x:f>
        <x:v>CORROSION CONTROL</x:v>
      </x:c>
      <x:c r="O100" t="str">
        <x:f>IF('WELL INPUTS'!$B$12="Yes",IF(G100="Yes","CLAIMED","NOT LISTED"),"N/A")</x:f>
        <x:v>N/A</x:v>
      </x:c>
      <x:c r="P100" t="str">
        <x:f>IF(OR('WELL INPUTS'!$B$13="Unrestricted",CODE(H100)&lt;=CODE('WELL INPUTS'!$B$13)),"WITHIN TIER","OVER CAP")</x:f>
        <x:v>WITHIN TIER</x:v>
      </x:c>
      <x:c r="Q100" t="n">
        <x:f>MAX(0,MIN(100,43+IF(L100="OK",14,-20)+IF(M100="CATALOG SOUR",24,IF(M100="NOT LISTED",-18,0))+IF(N100="ALLOY FAMILY",14,IF(N100="CORROSION CONTROL",-13,0))+IF(O100="CLAIMED",17,IF(O100="NOT LISTED",-14,0))+IF(K100="Yes",-15,0)+IF('WELL INPUTS'!$B$10="Yes",-17,0)))</x:f>
        <x:v>44</x:v>
      </x:c>
      <x:c r="R100" s="83" t="str">
        <x:f>IF(L100="BELOW","EXCLUDE — STRENGTH",IF(P100="OVER CAP","EXCLUDE — COST",IF(K100="Yes",IF('WELL INPUTS'!$B$14="No","EXCLUDE — REFERENCE","REFERENCE ONLY"),IF(OR(L100="UNKNOWN",M100="NOT LISTED",N100="CORROSION CONTROL",O100="NOT LISTED",'WELL INPUTS'!$B$10="Yes",'WELL INPUTS'!$B$4="Unknown"),"REVIEW","CANDIDATE — VERIFY"))))</x:f>
        <x:v>REVIEW</x:v>
      </x:c>
      <x:c r="S100" t="str">
        <x:f>IF(L100="BELOW","Increase minimum grade strength",IF(P100="OVER CAP","Relax cost tier or exclude",IF(K100="Yes","Identify qualified manufacturer grade",IF(M100="NOT LISTED","Confirm sour-service claim and ISO 15156",IF(O100="NOT LISTED","Obtain manufacturer collapse curve",IF(N100="CORROSION CONTROL","Model CO2 corrosion; review inhibition","Confirm corrosion, cracking, loads and connection"))))))</x:f>
        <x:v>Model CO2 corrosion; review inhibition</x:v>
      </x:c>
      <x:c r="T100" t="str">
        <x:v>https://www.tenaris.com/en/products-and-services/octg/steel-grades/</x:v>
      </x:c>
    </x:row>
    <x:row r="101" ht="23" customHeight="1">
      <x:c r="A101" t="str">
        <x:v>OCTG-0100</x:v>
      </x:c>
      <x:c r="B101" t="str">
        <x:v>Tenaris</x:v>
      </x:c>
      <x:c r="C101" t="str">
        <x:v>TN 150DW</x:v>
      </x:c>
      <x:c r="D101" t="str">
        <x:v>Carbon / low alloy</x:v>
      </x:c>
      <x:c r="E101" t="str">
        <x:v>Deep well / high tensile load</x:v>
      </x:c>
      <x:c r="F101" s="82" t="n">
        <x:v>150</x:v>
      </x:c>
      <x:c r="G101" t="str">
        <x:v>No</x:v>
      </x:c>
      <x:c r="H101" t="str">
        <x:v>A</x:v>
      </x:c>
      <x:c r="I101" t="str">
        <x:v>No</x:v>
      </x:c>
      <x:c r="J101" t="str">
        <x:v>No</x:v>
      </x:c>
      <x:c r="K101" t="str">
        <x:v>No</x:v>
      </x:c>
      <x:c r="L101" t="str">
        <x:f>IF(F101="","UNKNOWN",IF(F101&lt;'WELL INPUTS'!$B$11,"BELOW","OK"))</x:f>
        <x:v>OK</x:v>
      </x:c>
      <x:c r="M101" t="str">
        <x:f>IF(AND('WELL INPUTS'!$B$4="Wet",'WELL INPUTS'!$B$5&gt;0),IF(I101="Yes","CATALOG SOUR","NOT LISTED"),"N/A")</x:f>
        <x:v>N/A</x:v>
      </x:c>
      <x:c r="N101" t="str">
        <x:f>IF(AND('WELL INPUTS'!$B$4="Wet",'WELL INPUTS'!$B$6&gt;0),IF(J101="Yes","ALLOY FAMILY","CORROSION CONTROL"),"N/A")</x:f>
        <x:v>CORROSION CONTROL</x:v>
      </x:c>
      <x:c r="O101" t="str">
        <x:f>IF('WELL INPUTS'!$B$12="Yes",IF(G101="Yes","CLAIMED","NOT LISTED"),"N/A")</x:f>
        <x:v>N/A</x:v>
      </x:c>
      <x:c r="P101" t="str">
        <x:f>IF(OR('WELL INPUTS'!$B$13="Unrestricted",CODE(H101)&lt;=CODE('WELL INPUTS'!$B$13)),"WITHIN TIER","OVER CAP")</x:f>
        <x:v>WITHIN TIER</x:v>
      </x:c>
      <x:c r="Q101" t="n">
        <x:f>MAX(0,MIN(100,43+IF(L101="OK",14,-20)+IF(M101="CATALOG SOUR",24,IF(M101="NOT LISTED",-18,0))+IF(N101="ALLOY FAMILY",14,IF(N101="CORROSION CONTROL",-13,0))+IF(O101="CLAIMED",17,IF(O101="NOT LISTED",-14,0))+IF(K101="Yes",-15,0)+IF('WELL INPUTS'!$B$10="Yes",-17,0)))</x:f>
        <x:v>44</x:v>
      </x:c>
      <x:c r="R101" s="83" t="str">
        <x:f>IF(L101="BELOW","EXCLUDE — STRENGTH",IF(P101="OVER CAP","EXCLUDE — COST",IF(K101="Yes",IF('WELL INPUTS'!$B$14="No","EXCLUDE — REFERENCE","REFERENCE ONLY"),IF(OR(L101="UNKNOWN",M101="NOT LISTED",N101="CORROSION CONTROL",O101="NOT LISTED",'WELL INPUTS'!$B$10="Yes",'WELL INPUTS'!$B$4="Unknown"),"REVIEW","CANDIDATE — VERIFY"))))</x:f>
        <x:v>REVIEW</x:v>
      </x:c>
      <x:c r="S101" t="str">
        <x:f>IF(L101="BELOW","Increase minimum grade strength",IF(P101="OVER CAP","Relax cost tier or exclude",IF(K101="Yes","Identify qualified manufacturer grade",IF(M101="NOT LISTED","Confirm sour-service claim and ISO 15156",IF(O101="NOT LISTED","Obtain manufacturer collapse curve",IF(N101="CORROSION CONTROL","Model CO2 corrosion; review inhibition","Confirm corrosion, cracking, loads and connection"))))))</x:f>
        <x:v>Model CO2 corrosion; review inhibition</x:v>
      </x:c>
      <x:c r="T101" t="str">
        <x:v>https://www.tenaris.com/en/products-and-services/octg/steel-grades/</x:v>
      </x:c>
    </x:row>
    <x:row r="102" ht="23" customHeight="1">
      <x:c r="A102" t="str">
        <x:v>OCTG-0101</x:v>
      </x:c>
      <x:c r="B102" t="str">
        <x:v>Tenaris</x:v>
      </x:c>
      <x:c r="C102" t="str">
        <x:v>TN 35HD</x:v>
      </x:c>
      <x:c r="D102" t="str">
        <x:v>Carbon / low alloy</x:v>
      </x:c>
      <x:c r="E102" t="str">
        <x:v>Other specialty / HD family (manufacturer defined)</x:v>
      </x:c>
      <x:c r="F102" s="82" t="n">
        <x:v>35</x:v>
      </x:c>
      <x:c r="G102" t="str">
        <x:v>No</x:v>
      </x:c>
      <x:c r="H102" t="str">
        <x:v>A</x:v>
      </x:c>
      <x:c r="I102" t="str">
        <x:v>No</x:v>
      </x:c>
      <x:c r="J102" t="str">
        <x:v>No</x:v>
      </x:c>
      <x:c r="K102" t="str">
        <x:v>No</x:v>
      </x:c>
      <x:c r="L102" t="str">
        <x:f>IF(F102="","UNKNOWN",IF(F102&lt;'WELL INPUTS'!$B$11,"BELOW","OK"))</x:f>
        <x:v>BELOW</x:v>
      </x:c>
      <x:c r="M102" t="str">
        <x:f>IF(AND('WELL INPUTS'!$B$4="Wet",'WELL INPUTS'!$B$5&gt;0),IF(I102="Yes","CATALOG SOUR","NOT LISTED"),"N/A")</x:f>
        <x:v>N/A</x:v>
      </x:c>
      <x:c r="N102" t="str">
        <x:f>IF(AND('WELL INPUTS'!$B$4="Wet",'WELL INPUTS'!$B$6&gt;0),IF(J102="Yes","ALLOY FAMILY","CORROSION CONTROL"),"N/A")</x:f>
        <x:v>CORROSION CONTROL</x:v>
      </x:c>
      <x:c r="O102" t="str">
        <x:f>IF('WELL INPUTS'!$B$12="Yes",IF(G102="Yes","CLAIMED","NOT LISTED"),"N/A")</x:f>
        <x:v>N/A</x:v>
      </x:c>
      <x:c r="P102" t="str">
        <x:f>IF(OR('WELL INPUTS'!$B$13="Unrestricted",CODE(H102)&lt;=CODE('WELL INPUTS'!$B$13)),"WITHIN TIER","OVER CAP")</x:f>
        <x:v>WITHIN TIER</x:v>
      </x:c>
      <x:c r="Q102" t="n">
        <x:f>MAX(0,MIN(100,43+IF(L102="OK",14,-20)+IF(M102="CATALOG SOUR",24,IF(M102="NOT LISTED",-18,0))+IF(N102="ALLOY FAMILY",14,IF(N102="CORROSION CONTROL",-13,0))+IF(O102="CLAIMED",17,IF(O102="NOT LISTED",-14,0))+IF(K102="Yes",-15,0)+IF('WELL INPUTS'!$B$10="Yes",-17,0)))</x:f>
        <x:v>10</x:v>
      </x:c>
      <x:c r="R102" s="83" t="str">
        <x:f>IF(L102="BELOW","EXCLUDE — STRENGTH",IF(P102="OVER CAP","EXCLUDE — COST",IF(K102="Yes",IF('WELL INPUTS'!$B$14="No","EXCLUDE — REFERENCE","REFERENCE ONLY"),IF(OR(L102="UNKNOWN",M102="NOT LISTED",N102="CORROSION CONTROL",O102="NOT LISTED",'WELL INPUTS'!$B$10="Yes",'WELL INPUTS'!$B$4="Unknown"),"REVIEW","CANDIDATE — VERIFY"))))</x:f>
        <x:v>EXCLUDE — STRENGTH</x:v>
      </x:c>
      <x:c r="S102" t="str">
        <x:f>IF(L102="BELOW","Increase minimum grade strength",IF(P102="OVER CAP","Relax cost tier or exclude",IF(K102="Yes","Identify qualified manufacturer grade",IF(M102="NOT LISTED","Confirm sour-service claim and ISO 15156",IF(O102="NOT LISTED","Obtain manufacturer collapse curve",IF(N102="CORROSION CONTROL","Model CO2 corrosion; review inhibition","Confirm corrosion, cracking, loads and connection"))))))</x:f>
        <x:v>Increase minimum grade strength</x:v>
      </x:c>
      <x:c r="T102" t="str">
        <x:v>https://www.tenaris.com/en/products-and-services/octg/steel-grades/</x:v>
      </x:c>
    </x:row>
    <x:row r="103" ht="23" customHeight="1">
      <x:c r="A103" t="str">
        <x:v>OCTG-0102</x:v>
      </x:c>
      <x:c r="B103" t="str">
        <x:v>Tenaris</x:v>
      </x:c>
      <x:c r="C103" t="str">
        <x:v>TN 45HD</x:v>
      </x:c>
      <x:c r="D103" t="str">
        <x:v>Carbon / low alloy</x:v>
      </x:c>
      <x:c r="E103" t="str">
        <x:v>Other specialty / HD family (manufacturer defined)</x:v>
      </x:c>
      <x:c r="F103" s="82" t="n">
        <x:v>45</x:v>
      </x:c>
      <x:c r="G103" t="str">
        <x:v>No</x:v>
      </x:c>
      <x:c r="H103" t="str">
        <x:v>A</x:v>
      </x:c>
      <x:c r="I103" t="str">
        <x:v>No</x:v>
      </x:c>
      <x:c r="J103" t="str">
        <x:v>No</x:v>
      </x:c>
      <x:c r="K103" t="str">
        <x:v>No</x:v>
      </x:c>
      <x:c r="L103" t="str">
        <x:f>IF(F103="","UNKNOWN",IF(F103&lt;'WELL INPUTS'!$B$11,"BELOW","OK"))</x:f>
        <x:v>BELOW</x:v>
      </x:c>
      <x:c r="M103" t="str">
        <x:f>IF(AND('WELL INPUTS'!$B$4="Wet",'WELL INPUTS'!$B$5&gt;0),IF(I103="Yes","CATALOG SOUR","NOT LISTED"),"N/A")</x:f>
        <x:v>N/A</x:v>
      </x:c>
      <x:c r="N103" t="str">
        <x:f>IF(AND('WELL INPUTS'!$B$4="Wet",'WELL INPUTS'!$B$6&gt;0),IF(J103="Yes","ALLOY FAMILY","CORROSION CONTROL"),"N/A")</x:f>
        <x:v>CORROSION CONTROL</x:v>
      </x:c>
      <x:c r="O103" t="str">
        <x:f>IF('WELL INPUTS'!$B$12="Yes",IF(G103="Yes","CLAIMED","NOT LISTED"),"N/A")</x:f>
        <x:v>N/A</x:v>
      </x:c>
      <x:c r="P103" t="str">
        <x:f>IF(OR('WELL INPUTS'!$B$13="Unrestricted",CODE(H103)&lt;=CODE('WELL INPUTS'!$B$13)),"WITHIN TIER","OVER CAP")</x:f>
        <x:v>WITHIN TIER</x:v>
      </x:c>
      <x:c r="Q103" t="n">
        <x:f>MAX(0,MIN(100,43+IF(L103="OK",14,-20)+IF(M103="CATALOG SOUR",24,IF(M103="NOT LISTED",-18,0))+IF(N103="ALLOY FAMILY",14,IF(N103="CORROSION CONTROL",-13,0))+IF(O103="CLAIMED",17,IF(O103="NOT LISTED",-14,0))+IF(K103="Yes",-15,0)+IF('WELL INPUTS'!$B$10="Yes",-17,0)))</x:f>
        <x:v>10</x:v>
      </x:c>
      <x:c r="R103" s="83" t="str">
        <x:f>IF(L103="BELOW","EXCLUDE — STRENGTH",IF(P103="OVER CAP","EXCLUDE — COST",IF(K103="Yes",IF('WELL INPUTS'!$B$14="No","EXCLUDE — REFERENCE","REFERENCE ONLY"),IF(OR(L103="UNKNOWN",M103="NOT LISTED",N103="CORROSION CONTROL",O103="NOT LISTED",'WELL INPUTS'!$B$10="Yes",'WELL INPUTS'!$B$4="Unknown"),"REVIEW","CANDIDATE — VERIFY"))))</x:f>
        <x:v>EXCLUDE — STRENGTH</x:v>
      </x:c>
      <x:c r="S103" t="str">
        <x:f>IF(L103="BELOW","Increase minimum grade strength",IF(P103="OVER CAP","Relax cost tier or exclude",IF(K103="Yes","Identify qualified manufacturer grade",IF(M103="NOT LISTED","Confirm sour-service claim and ISO 15156",IF(O103="NOT LISTED","Obtain manufacturer collapse curve",IF(N103="CORROSION CONTROL","Model CO2 corrosion; review inhibition","Confirm corrosion, cracking, loads and connection"))))))</x:f>
        <x:v>Increase minimum grade strength</x:v>
      </x:c>
      <x:c r="T103" t="str">
        <x:v>https://www.tenaris.com/en/products-and-services/octg/steel-grades/</x:v>
      </x:c>
    </x:row>
    <x:row r="104" ht="23" customHeight="1">
      <x:c r="A104" t="str">
        <x:v>OCTG-0103</x:v>
      </x:c>
      <x:c r="B104" t="str">
        <x:v>Tenaris</x:v>
      </x:c>
      <x:c r="C104" t="str">
        <x:v>TN 55LT</x:v>
      </x:c>
      <x:c r="D104" t="str">
        <x:v>Carbon / low alloy</x:v>
      </x:c>
      <x:c r="E104" t="str">
        <x:v>Low temperature / toughness grade</x:v>
      </x:c>
      <x:c r="F104" s="82" t="n">
        <x:v>55</x:v>
      </x:c>
      <x:c r="G104" t="str">
        <x:v>No</x:v>
      </x:c>
      <x:c r="H104" t="str">
        <x:v>A</x:v>
      </x:c>
      <x:c r="I104" t="str">
        <x:v>No</x:v>
      </x:c>
      <x:c r="J104" t="str">
        <x:v>No</x:v>
      </x:c>
      <x:c r="K104" t="str">
        <x:v>No</x:v>
      </x:c>
      <x:c r="L104" t="str">
        <x:f>IF(F104="","UNKNOWN",IF(F104&lt;'WELL INPUTS'!$B$11,"BELOW","OK"))</x:f>
        <x:v>BELOW</x:v>
      </x:c>
      <x:c r="M104" t="str">
        <x:f>IF(AND('WELL INPUTS'!$B$4="Wet",'WELL INPUTS'!$B$5&gt;0),IF(I104="Yes","CATALOG SOUR","NOT LISTED"),"N/A")</x:f>
        <x:v>N/A</x:v>
      </x:c>
      <x:c r="N104" t="str">
        <x:f>IF(AND('WELL INPUTS'!$B$4="Wet",'WELL INPUTS'!$B$6&gt;0),IF(J104="Yes","ALLOY FAMILY","CORROSION CONTROL"),"N/A")</x:f>
        <x:v>CORROSION CONTROL</x:v>
      </x:c>
      <x:c r="O104" t="str">
        <x:f>IF('WELL INPUTS'!$B$12="Yes",IF(G104="Yes","CLAIMED","NOT LISTED"),"N/A")</x:f>
        <x:v>N/A</x:v>
      </x:c>
      <x:c r="P104" t="str">
        <x:f>IF(OR('WELL INPUTS'!$B$13="Unrestricted",CODE(H104)&lt;=CODE('WELL INPUTS'!$B$13)),"WITHIN TIER","OVER CAP")</x:f>
        <x:v>WITHIN TIER</x:v>
      </x:c>
      <x:c r="Q104" t="n">
        <x:f>MAX(0,MIN(100,43+IF(L104="OK",14,-20)+IF(M104="CATALOG SOUR",24,IF(M104="NOT LISTED",-18,0))+IF(N104="ALLOY FAMILY",14,IF(N104="CORROSION CONTROL",-13,0))+IF(O104="CLAIMED",17,IF(O104="NOT LISTED",-14,0))+IF(K104="Yes",-15,0)+IF('WELL INPUTS'!$B$10="Yes",-17,0)))</x:f>
        <x:v>10</x:v>
      </x:c>
      <x:c r="R104" s="83" t="str">
        <x:f>IF(L104="BELOW","EXCLUDE — STRENGTH",IF(P104="OVER CAP","EXCLUDE — COST",IF(K104="Yes",IF('WELL INPUTS'!$B$14="No","EXCLUDE — REFERENCE","REFERENCE ONLY"),IF(OR(L104="UNKNOWN",M104="NOT LISTED",N104="CORROSION CONTROL",O104="NOT LISTED",'WELL INPUTS'!$B$10="Yes",'WELL INPUTS'!$B$4="Unknown"),"REVIEW","CANDIDATE — VERIFY"))))</x:f>
        <x:v>EXCLUDE — STRENGTH</x:v>
      </x:c>
      <x:c r="S104" t="str">
        <x:f>IF(L104="BELOW","Increase minimum grade strength",IF(P104="OVER CAP","Relax cost tier or exclude",IF(K104="Yes","Identify qualified manufacturer grade",IF(M104="NOT LISTED","Confirm sour-service claim and ISO 15156",IF(O104="NOT LISTED","Obtain manufacturer collapse curve",IF(N104="CORROSION CONTROL","Model CO2 corrosion; review inhibition","Confirm corrosion, cracking, loads and connection"))))))</x:f>
        <x:v>Increase minimum grade strength</x:v>
      </x:c>
      <x:c r="T104" t="str">
        <x:v>https://www.tenaris.com/en/products-and-services/octg/steel-grades/</x:v>
      </x:c>
    </x:row>
    <x:row r="105" ht="23" customHeight="1">
      <x:c r="A105" t="str">
        <x:v>OCTG-0104</x:v>
      </x:c>
      <x:c r="B105" t="str">
        <x:v>Tenaris</x:v>
      </x:c>
      <x:c r="C105" t="str">
        <x:v>TN 55TH</x:v>
      </x:c>
      <x:c r="D105" t="str">
        <x:v>Carbon / low alloy</x:v>
      </x:c>
      <x:c r="E105" t="str">
        <x:v>Thermal/temperature specialty (see Tenaris datasheet)</x:v>
      </x:c>
      <x:c r="F105" s="82" t="n">
        <x:v>55</x:v>
      </x:c>
      <x:c r="G105" t="str">
        <x:v>No</x:v>
      </x:c>
      <x:c r="H105" t="str">
        <x:v>A</x:v>
      </x:c>
      <x:c r="I105" t="str">
        <x:v>No</x:v>
      </x:c>
      <x:c r="J105" t="str">
        <x:v>No</x:v>
      </x:c>
      <x:c r="K105" t="str">
        <x:v>No</x:v>
      </x:c>
      <x:c r="L105" t="str">
        <x:f>IF(F105="","UNKNOWN",IF(F105&lt;'WELL INPUTS'!$B$11,"BELOW","OK"))</x:f>
        <x:v>BELOW</x:v>
      </x:c>
      <x:c r="M105" t="str">
        <x:f>IF(AND('WELL INPUTS'!$B$4="Wet",'WELL INPUTS'!$B$5&gt;0),IF(I105="Yes","CATALOG SOUR","NOT LISTED"),"N/A")</x:f>
        <x:v>N/A</x:v>
      </x:c>
      <x:c r="N105" t="str">
        <x:f>IF(AND('WELL INPUTS'!$B$4="Wet",'WELL INPUTS'!$B$6&gt;0),IF(J105="Yes","ALLOY FAMILY","CORROSION CONTROL"),"N/A")</x:f>
        <x:v>CORROSION CONTROL</x:v>
      </x:c>
      <x:c r="O105" t="str">
        <x:f>IF('WELL INPUTS'!$B$12="Yes",IF(G105="Yes","CLAIMED","NOT LISTED"),"N/A")</x:f>
        <x:v>N/A</x:v>
      </x:c>
      <x:c r="P105" t="str">
        <x:f>IF(OR('WELL INPUTS'!$B$13="Unrestricted",CODE(H105)&lt;=CODE('WELL INPUTS'!$B$13)),"WITHIN TIER","OVER CAP")</x:f>
        <x:v>WITHIN TIER</x:v>
      </x:c>
      <x:c r="Q105" t="n">
        <x:f>MAX(0,MIN(100,43+IF(L105="OK",14,-20)+IF(M105="CATALOG SOUR",24,IF(M105="NOT LISTED",-18,0))+IF(N105="ALLOY FAMILY",14,IF(N105="CORROSION CONTROL",-13,0))+IF(O105="CLAIMED",17,IF(O105="NOT LISTED",-14,0))+IF(K105="Yes",-15,0)+IF('WELL INPUTS'!$B$10="Yes",-17,0)))</x:f>
        <x:v>10</x:v>
      </x:c>
      <x:c r="R105" s="83" t="str">
        <x:f>IF(L105="BELOW","EXCLUDE — STRENGTH",IF(P105="OVER CAP","EXCLUDE — COST",IF(K105="Yes",IF('WELL INPUTS'!$B$14="No","EXCLUDE — REFERENCE","REFERENCE ONLY"),IF(OR(L105="UNKNOWN",M105="NOT LISTED",N105="CORROSION CONTROL",O105="NOT LISTED",'WELL INPUTS'!$B$10="Yes",'WELL INPUTS'!$B$4="Unknown"),"REVIEW","CANDIDATE — VERIFY"))))</x:f>
        <x:v>EXCLUDE — STRENGTH</x:v>
      </x:c>
      <x:c r="S105" t="str">
        <x:f>IF(L105="BELOW","Increase minimum grade strength",IF(P105="OVER CAP","Relax cost tier or exclude",IF(K105="Yes","Identify qualified manufacturer grade",IF(M105="NOT LISTED","Confirm sour-service claim and ISO 15156",IF(O105="NOT LISTED","Obtain manufacturer collapse curve",IF(N105="CORROSION CONTROL","Model CO2 corrosion; review inhibition","Confirm corrosion, cracking, loads and connection"))))))</x:f>
        <x:v>Increase minimum grade strength</x:v>
      </x:c>
      <x:c r="T105" t="str">
        <x:v>https://www.tenaris.com/en/products-and-services/octg/steel-grades/</x:v>
      </x:c>
    </x:row>
    <x:row r="106" ht="23" customHeight="1">
      <x:c r="A106" t="str">
        <x:v>OCTG-0105</x:v>
      </x:c>
      <x:c r="B106" t="str">
        <x:v>Tenaris</x:v>
      </x:c>
      <x:c r="C106" t="str">
        <x:v>TN 55TL</x:v>
      </x:c>
      <x:c r="D106" t="str">
        <x:v>Carbon / low alloy</x:v>
      </x:c>
      <x:c r="E106" t="str">
        <x:v>Thermal/temperature specialty (see Tenaris datasheet)</x:v>
      </x:c>
      <x:c r="F106" s="82" t="n">
        <x:v>55</x:v>
      </x:c>
      <x:c r="G106" t="str">
        <x:v>No</x:v>
      </x:c>
      <x:c r="H106" t="str">
        <x:v>A</x:v>
      </x:c>
      <x:c r="I106" t="str">
        <x:v>No</x:v>
      </x:c>
      <x:c r="J106" t="str">
        <x:v>No</x:v>
      </x:c>
      <x:c r="K106" t="str">
        <x:v>No</x:v>
      </x:c>
      <x:c r="L106" t="str">
        <x:f>IF(F106="","UNKNOWN",IF(F106&lt;'WELL INPUTS'!$B$11,"BELOW","OK"))</x:f>
        <x:v>BELOW</x:v>
      </x:c>
      <x:c r="M106" t="str">
        <x:f>IF(AND('WELL INPUTS'!$B$4="Wet",'WELL INPUTS'!$B$5&gt;0),IF(I106="Yes","CATALOG SOUR","NOT LISTED"),"N/A")</x:f>
        <x:v>N/A</x:v>
      </x:c>
      <x:c r="N106" t="str">
        <x:f>IF(AND('WELL INPUTS'!$B$4="Wet",'WELL INPUTS'!$B$6&gt;0),IF(J106="Yes","ALLOY FAMILY","CORROSION CONTROL"),"N/A")</x:f>
        <x:v>CORROSION CONTROL</x:v>
      </x:c>
      <x:c r="O106" t="str">
        <x:f>IF('WELL INPUTS'!$B$12="Yes",IF(G106="Yes","CLAIMED","NOT LISTED"),"N/A")</x:f>
        <x:v>N/A</x:v>
      </x:c>
      <x:c r="P106" t="str">
        <x:f>IF(OR('WELL INPUTS'!$B$13="Unrestricted",CODE(H106)&lt;=CODE('WELL INPUTS'!$B$13)),"WITHIN TIER","OVER CAP")</x:f>
        <x:v>WITHIN TIER</x:v>
      </x:c>
      <x:c r="Q106" t="n">
        <x:f>MAX(0,MIN(100,43+IF(L106="OK",14,-20)+IF(M106="CATALOG SOUR",24,IF(M106="NOT LISTED",-18,0))+IF(N106="ALLOY FAMILY",14,IF(N106="CORROSION CONTROL",-13,0))+IF(O106="CLAIMED",17,IF(O106="NOT LISTED",-14,0))+IF(K106="Yes",-15,0)+IF('WELL INPUTS'!$B$10="Yes",-17,0)))</x:f>
        <x:v>10</x:v>
      </x:c>
      <x:c r="R106" s="83" t="str">
        <x:f>IF(L106="BELOW","EXCLUDE — STRENGTH",IF(P106="OVER CAP","EXCLUDE — COST",IF(K106="Yes",IF('WELL INPUTS'!$B$14="No","EXCLUDE — REFERENCE","REFERENCE ONLY"),IF(OR(L106="UNKNOWN",M106="NOT LISTED",N106="CORROSION CONTROL",O106="NOT LISTED",'WELL INPUTS'!$B$10="Yes",'WELL INPUTS'!$B$4="Unknown"),"REVIEW","CANDIDATE — VERIFY"))))</x:f>
        <x:v>EXCLUDE — STRENGTH</x:v>
      </x:c>
      <x:c r="S106" t="str">
        <x:f>IF(L106="BELOW","Increase minimum grade strength",IF(P106="OVER CAP","Relax cost tier or exclude",IF(K106="Yes","Identify qualified manufacturer grade",IF(M106="NOT LISTED","Confirm sour-service claim and ISO 15156",IF(O106="NOT LISTED","Obtain manufacturer collapse curve",IF(N106="CORROSION CONTROL","Model CO2 corrosion; review inhibition","Confirm corrosion, cracking, loads and connection"))))))</x:f>
        <x:v>Increase minimum grade strength</x:v>
      </x:c>
      <x:c r="T106" t="str">
        <x:v>https://www.tenaris.com/en/products-and-services/octg/steel-grades/</x:v>
      </x:c>
    </x:row>
    <x:row r="107" ht="23" customHeight="1">
      <x:c r="A107" t="str">
        <x:v>OCTG-0106</x:v>
      </x:c>
      <x:c r="B107" t="str">
        <x:v>Tenaris</x:v>
      </x:c>
      <x:c r="C107" t="str">
        <x:v>TN 60HD</x:v>
      </x:c>
      <x:c r="D107" t="str">
        <x:v>Carbon / low alloy</x:v>
      </x:c>
      <x:c r="E107" t="str">
        <x:v>Other specialty / HD family (manufacturer defined)</x:v>
      </x:c>
      <x:c r="F107" s="82" t="n">
        <x:v>60</x:v>
      </x:c>
      <x:c r="G107" t="str">
        <x:v>No</x:v>
      </x:c>
      <x:c r="H107" t="str">
        <x:v>A</x:v>
      </x:c>
      <x:c r="I107" t="str">
        <x:v>No</x:v>
      </x:c>
      <x:c r="J107" t="str">
        <x:v>No</x:v>
      </x:c>
      <x:c r="K107" t="str">
        <x:v>No</x:v>
      </x:c>
      <x:c r="L107" t="str">
        <x:f>IF(F107="","UNKNOWN",IF(F107&lt;'WELL INPUTS'!$B$11,"BELOW","OK"))</x:f>
        <x:v>BELOW</x:v>
      </x:c>
      <x:c r="M107" t="str">
        <x:f>IF(AND('WELL INPUTS'!$B$4="Wet",'WELL INPUTS'!$B$5&gt;0),IF(I107="Yes","CATALOG SOUR","NOT LISTED"),"N/A")</x:f>
        <x:v>N/A</x:v>
      </x:c>
      <x:c r="N107" t="str">
        <x:f>IF(AND('WELL INPUTS'!$B$4="Wet",'WELL INPUTS'!$B$6&gt;0),IF(J107="Yes","ALLOY FAMILY","CORROSION CONTROL"),"N/A")</x:f>
        <x:v>CORROSION CONTROL</x:v>
      </x:c>
      <x:c r="O107" t="str">
        <x:f>IF('WELL INPUTS'!$B$12="Yes",IF(G107="Yes","CLAIMED","NOT LISTED"),"N/A")</x:f>
        <x:v>N/A</x:v>
      </x:c>
      <x:c r="P107" t="str">
        <x:f>IF(OR('WELL INPUTS'!$B$13="Unrestricted",CODE(H107)&lt;=CODE('WELL INPUTS'!$B$13)),"WITHIN TIER","OVER CAP")</x:f>
        <x:v>WITHIN TIER</x:v>
      </x:c>
      <x:c r="Q107" t="n">
        <x:f>MAX(0,MIN(100,43+IF(L107="OK",14,-20)+IF(M107="CATALOG SOUR",24,IF(M107="NOT LISTED",-18,0))+IF(N107="ALLOY FAMILY",14,IF(N107="CORROSION CONTROL",-13,0))+IF(O107="CLAIMED",17,IF(O107="NOT LISTED",-14,0))+IF(K107="Yes",-15,0)+IF('WELL INPUTS'!$B$10="Yes",-17,0)))</x:f>
        <x:v>10</x:v>
      </x:c>
      <x:c r="R107" s="83" t="str">
        <x:f>IF(L107="BELOW","EXCLUDE — STRENGTH",IF(P107="OVER CAP","EXCLUDE — COST",IF(K107="Yes",IF('WELL INPUTS'!$B$14="No","EXCLUDE — REFERENCE","REFERENCE ONLY"),IF(OR(L107="UNKNOWN",M107="NOT LISTED",N107="CORROSION CONTROL",O107="NOT LISTED",'WELL INPUTS'!$B$10="Yes",'WELL INPUTS'!$B$4="Unknown"),"REVIEW","CANDIDATE — VERIFY"))))</x:f>
        <x:v>EXCLUDE — STRENGTH</x:v>
      </x:c>
      <x:c r="S107" t="str">
        <x:f>IF(L107="BELOW","Increase minimum grade strength",IF(P107="OVER CAP","Relax cost tier or exclude",IF(K107="Yes","Identify qualified manufacturer grade",IF(M107="NOT LISTED","Confirm sour-service claim and ISO 15156",IF(O107="NOT LISTED","Obtain manufacturer collapse curve",IF(N107="CORROSION CONTROL","Model CO2 corrosion; review inhibition","Confirm corrosion, cracking, loads and connection"))))))</x:f>
        <x:v>Increase minimum grade strength</x:v>
      </x:c>
      <x:c r="T107" t="str">
        <x:v>https://www.tenaris.com/en/products-and-services/octg/steel-grades/</x:v>
      </x:c>
    </x:row>
    <x:row r="108" ht="23" customHeight="1">
      <x:c r="A108" t="str">
        <x:v>OCTG-0107</x:v>
      </x:c>
      <x:c r="B108" t="str">
        <x:v>Tenaris</x:v>
      </x:c>
      <x:c r="C108" t="str">
        <x:v>TN 70HD</x:v>
      </x:c>
      <x:c r="D108" t="str">
        <x:v>Carbon / low alloy</x:v>
      </x:c>
      <x:c r="E108" t="str">
        <x:v>Other specialty / HD family (manufacturer defined)</x:v>
      </x:c>
      <x:c r="F108" s="82" t="n">
        <x:v>70</x:v>
      </x:c>
      <x:c r="G108" t="str">
        <x:v>No</x:v>
      </x:c>
      <x:c r="H108" t="str">
        <x:v>A</x:v>
      </x:c>
      <x:c r="I108" t="str">
        <x:v>No</x:v>
      </x:c>
      <x:c r="J108" t="str">
        <x:v>No</x:v>
      </x:c>
      <x:c r="K108" t="str">
        <x:v>No</x:v>
      </x:c>
      <x:c r="L108" t="str">
        <x:f>IF(F108="","UNKNOWN",IF(F108&lt;'WELL INPUTS'!$B$11,"BELOW","OK"))</x:f>
        <x:v>BELOW</x:v>
      </x:c>
      <x:c r="M108" t="str">
        <x:f>IF(AND('WELL INPUTS'!$B$4="Wet",'WELL INPUTS'!$B$5&gt;0),IF(I108="Yes","CATALOG SOUR","NOT LISTED"),"N/A")</x:f>
        <x:v>N/A</x:v>
      </x:c>
      <x:c r="N108" t="str">
        <x:f>IF(AND('WELL INPUTS'!$B$4="Wet",'WELL INPUTS'!$B$6&gt;0),IF(J108="Yes","ALLOY FAMILY","CORROSION CONTROL"),"N/A")</x:f>
        <x:v>CORROSION CONTROL</x:v>
      </x:c>
      <x:c r="O108" t="str">
        <x:f>IF('WELL INPUTS'!$B$12="Yes",IF(G108="Yes","CLAIMED","NOT LISTED"),"N/A")</x:f>
        <x:v>N/A</x:v>
      </x:c>
      <x:c r="P108" t="str">
        <x:f>IF(OR('WELL INPUTS'!$B$13="Unrestricted",CODE(H108)&lt;=CODE('WELL INPUTS'!$B$13)),"WITHIN TIER","OVER CAP")</x:f>
        <x:v>WITHIN TIER</x:v>
      </x:c>
      <x:c r="Q108" t="n">
        <x:f>MAX(0,MIN(100,43+IF(L108="OK",14,-20)+IF(M108="CATALOG SOUR",24,IF(M108="NOT LISTED",-18,0))+IF(N108="ALLOY FAMILY",14,IF(N108="CORROSION CONTROL",-13,0))+IF(O108="CLAIMED",17,IF(O108="NOT LISTED",-14,0))+IF(K108="Yes",-15,0)+IF('WELL INPUTS'!$B$10="Yes",-17,0)))</x:f>
        <x:v>10</x:v>
      </x:c>
      <x:c r="R108" s="83" t="str">
        <x:f>IF(L108="BELOW","EXCLUDE — STRENGTH",IF(P108="OVER CAP","EXCLUDE — COST",IF(K108="Yes",IF('WELL INPUTS'!$B$14="No","EXCLUDE — REFERENCE","REFERENCE ONLY"),IF(OR(L108="UNKNOWN",M108="NOT LISTED",N108="CORROSION CONTROL",O108="NOT LISTED",'WELL INPUTS'!$B$10="Yes",'WELL INPUTS'!$B$4="Unknown"),"REVIEW","CANDIDATE — VERIFY"))))</x:f>
        <x:v>EXCLUDE — STRENGTH</x:v>
      </x:c>
      <x:c r="S108" t="str">
        <x:f>IF(L108="BELOW","Increase minimum grade strength",IF(P108="OVER CAP","Relax cost tier or exclude",IF(K108="Yes","Identify qualified manufacturer grade",IF(M108="NOT LISTED","Confirm sour-service claim and ISO 15156",IF(O108="NOT LISTED","Obtain manufacturer collapse curve",IF(N108="CORROSION CONTROL","Model CO2 corrosion; review inhibition","Confirm corrosion, cracking, loads and connection"))))))</x:f>
        <x:v>Increase minimum grade strength</x:v>
      </x:c>
      <x:c r="T108" t="str">
        <x:v>https://www.tenaris.com/en/products-and-services/octg/steel-grades/</x:v>
      </x:c>
    </x:row>
    <x:row r="109" ht="23" customHeight="1">
      <x:c r="A109" t="str">
        <x:v>OCTG-0108</x:v>
      </x:c>
      <x:c r="B109" t="str">
        <x:v>Tenaris</x:v>
      </x:c>
      <x:c r="C109" t="str">
        <x:v>TN 80EY</x:v>
      </x:c>
      <x:c r="D109" t="str">
        <x:v>Carbon / low alloy</x:v>
      </x:c>
      <x:c r="E109" t="str">
        <x:v>Enhanced yield/controlled mechanical properties</x:v>
      </x:c>
      <x:c r="F109" s="82" t="n">
        <x:v>80</x:v>
      </x:c>
      <x:c r="G109" t="str">
        <x:v>No</x:v>
      </x:c>
      <x:c r="H109" t="str">
        <x:v>A</x:v>
      </x:c>
      <x:c r="I109" t="str">
        <x:v>No</x:v>
      </x:c>
      <x:c r="J109" t="str">
        <x:v>No</x:v>
      </x:c>
      <x:c r="K109" t="str">
        <x:v>No</x:v>
      </x:c>
      <x:c r="L109" t="str">
        <x:f>IF(F109="","UNKNOWN",IF(F109&lt;'WELL INPUTS'!$B$11,"BELOW","OK"))</x:f>
        <x:v>OK</x:v>
      </x:c>
      <x:c r="M109" t="str">
        <x:f>IF(AND('WELL INPUTS'!$B$4="Wet",'WELL INPUTS'!$B$5&gt;0),IF(I109="Yes","CATALOG SOUR","NOT LISTED"),"N/A")</x:f>
        <x:v>N/A</x:v>
      </x:c>
      <x:c r="N109" t="str">
        <x:f>IF(AND('WELL INPUTS'!$B$4="Wet",'WELL INPUTS'!$B$6&gt;0),IF(J109="Yes","ALLOY FAMILY","CORROSION CONTROL"),"N/A")</x:f>
        <x:v>CORROSION CONTROL</x:v>
      </x:c>
      <x:c r="O109" t="str">
        <x:f>IF('WELL INPUTS'!$B$12="Yes",IF(G109="Yes","CLAIMED","NOT LISTED"),"N/A")</x:f>
        <x:v>N/A</x:v>
      </x:c>
      <x:c r="P109" t="str">
        <x:f>IF(OR('WELL INPUTS'!$B$13="Unrestricted",CODE(H109)&lt;=CODE('WELL INPUTS'!$B$13)),"WITHIN TIER","OVER CAP")</x:f>
        <x:v>WITHIN TIER</x:v>
      </x:c>
      <x:c r="Q109" t="n">
        <x:f>MAX(0,MIN(100,43+IF(L109="OK",14,-20)+IF(M109="CATALOG SOUR",24,IF(M109="NOT LISTED",-18,0))+IF(N109="ALLOY FAMILY",14,IF(N109="CORROSION CONTROL",-13,0))+IF(O109="CLAIMED",17,IF(O109="NOT LISTED",-14,0))+IF(K109="Yes",-15,0)+IF('WELL INPUTS'!$B$10="Yes",-17,0)))</x:f>
        <x:v>44</x:v>
      </x:c>
      <x:c r="R109" s="83" t="str">
        <x:f>IF(L109="BELOW","EXCLUDE — STRENGTH",IF(P109="OVER CAP","EXCLUDE — COST",IF(K109="Yes",IF('WELL INPUTS'!$B$14="No","EXCLUDE — REFERENCE","REFERENCE ONLY"),IF(OR(L109="UNKNOWN",M109="NOT LISTED",N109="CORROSION CONTROL",O109="NOT LISTED",'WELL INPUTS'!$B$10="Yes",'WELL INPUTS'!$B$4="Unknown"),"REVIEW","CANDIDATE — VERIFY"))))</x:f>
        <x:v>REVIEW</x:v>
      </x:c>
      <x:c r="S109" t="str">
        <x:f>IF(L109="BELOW","Increase minimum grade strength",IF(P109="OVER CAP","Relax cost tier or exclude",IF(K109="Yes","Identify qualified manufacturer grade",IF(M109="NOT LISTED","Confirm sour-service claim and ISO 15156",IF(O109="NOT LISTED","Obtain manufacturer collapse curve",IF(N109="CORROSION CONTROL","Model CO2 corrosion; review inhibition","Confirm corrosion, cracking, loads and connection"))))))</x:f>
        <x:v>Model CO2 corrosion; review inhibition</x:v>
      </x:c>
      <x:c r="T109" t="str">
        <x:v>https://www.tenaris.com/en/products-and-services/octg/steel-grades/</x:v>
      </x:c>
    </x:row>
    <x:row r="110" ht="23" customHeight="1">
      <x:c r="A110" t="str">
        <x:v>OCTG-0109</x:v>
      </x:c>
      <x:c r="B110" t="str">
        <x:v>Tenaris</x:v>
      </x:c>
      <x:c r="C110" t="str">
        <x:v>TN 80EY-HC</x:v>
      </x:c>
      <x:c r="D110" t="str">
        <x:v>Carbon / low alloy</x:v>
      </x:c>
      <x:c r="E110" t="str">
        <x:v>Enhanced yield/controlled mechanical properties</x:v>
      </x:c>
      <x:c r="F110" s="82" t="n">
        <x:v>80</x:v>
      </x:c>
      <x:c r="G110" t="str">
        <x:v>No</x:v>
      </x:c>
      <x:c r="H110" t="str">
        <x:v>A</x:v>
      </x:c>
      <x:c r="I110" t="str">
        <x:v>No</x:v>
      </x:c>
      <x:c r="J110" t="str">
        <x:v>No</x:v>
      </x:c>
      <x:c r="K110" t="str">
        <x:v>No</x:v>
      </x:c>
      <x:c r="L110" t="str">
        <x:f>IF(F110="","UNKNOWN",IF(F110&lt;'WELL INPUTS'!$B$11,"BELOW","OK"))</x:f>
        <x:v>OK</x:v>
      </x:c>
      <x:c r="M110" t="str">
        <x:f>IF(AND('WELL INPUTS'!$B$4="Wet",'WELL INPUTS'!$B$5&gt;0),IF(I110="Yes","CATALOG SOUR","NOT LISTED"),"N/A")</x:f>
        <x:v>N/A</x:v>
      </x:c>
      <x:c r="N110" t="str">
        <x:f>IF(AND('WELL INPUTS'!$B$4="Wet",'WELL INPUTS'!$B$6&gt;0),IF(J110="Yes","ALLOY FAMILY","CORROSION CONTROL"),"N/A")</x:f>
        <x:v>CORROSION CONTROL</x:v>
      </x:c>
      <x:c r="O110" t="str">
        <x:f>IF('WELL INPUTS'!$B$12="Yes",IF(G110="Yes","CLAIMED","NOT LISTED"),"N/A")</x:f>
        <x:v>N/A</x:v>
      </x:c>
      <x:c r="P110" t="str">
        <x:f>IF(OR('WELL INPUTS'!$B$13="Unrestricted",CODE(H110)&lt;=CODE('WELL INPUTS'!$B$13)),"WITHIN TIER","OVER CAP")</x:f>
        <x:v>WITHIN TIER</x:v>
      </x:c>
      <x:c r="Q110" t="n">
        <x:f>MAX(0,MIN(100,43+IF(L110="OK",14,-20)+IF(M110="CATALOG SOUR",24,IF(M110="NOT LISTED",-18,0))+IF(N110="ALLOY FAMILY",14,IF(N110="CORROSION CONTROL",-13,0))+IF(O110="CLAIMED",17,IF(O110="NOT LISTED",-14,0))+IF(K110="Yes",-15,0)+IF('WELL INPUTS'!$B$10="Yes",-17,0)))</x:f>
        <x:v>44</x:v>
      </x:c>
      <x:c r="R110" s="83" t="str">
        <x:f>IF(L110="BELOW","EXCLUDE — STRENGTH",IF(P110="OVER CAP","EXCLUDE — COST",IF(K110="Yes",IF('WELL INPUTS'!$B$14="No","EXCLUDE — REFERENCE","REFERENCE ONLY"),IF(OR(L110="UNKNOWN",M110="NOT LISTED",N110="CORROSION CONTROL",O110="NOT LISTED",'WELL INPUTS'!$B$10="Yes",'WELL INPUTS'!$B$4="Unknown"),"REVIEW","CANDIDATE — VERIFY"))))</x:f>
        <x:v>REVIEW</x:v>
      </x:c>
      <x:c r="S110" t="str">
        <x:f>IF(L110="BELOW","Increase minimum grade strength",IF(P110="OVER CAP","Relax cost tier or exclude",IF(K110="Yes","Identify qualified manufacturer grade",IF(M110="NOT LISTED","Confirm sour-service claim and ISO 15156",IF(O110="NOT LISTED","Obtain manufacturer collapse curve",IF(N110="CORROSION CONTROL","Model CO2 corrosion; review inhibition","Confirm corrosion, cracking, loads and connection"))))))</x:f>
        <x:v>Model CO2 corrosion; review inhibition</x:v>
      </x:c>
      <x:c r="T110" t="str">
        <x:v>https://www.tenaris.com/en/products-and-services/octg/steel-grades/</x:v>
      </x:c>
    </x:row>
    <x:row r="111" ht="23" customHeight="1">
      <x:c r="A111" t="str">
        <x:v>OCTG-0110</x:v>
      </x:c>
      <x:c r="B111" t="str">
        <x:v>Tenaris</x:v>
      </x:c>
      <x:c r="C111" t="str">
        <x:v>TN 80HC</x:v>
      </x:c>
      <x:c r="D111" t="str">
        <x:v>Carbon / low alloy</x:v>
      </x:c>
      <x:c r="E111" t="str">
        <x:v>High collapse / external pressure</x:v>
      </x:c>
      <x:c r="F111" s="82" t="n">
        <x:v>80</x:v>
      </x:c>
      <x:c r="G111" t="str">
        <x:v>Yes</x:v>
      </x:c>
      <x:c r="H111" t="str">
        <x:v>A</x:v>
      </x:c>
      <x:c r="I111" t="str">
        <x:v>No</x:v>
      </x:c>
      <x:c r="J111" t="str">
        <x:v>No</x:v>
      </x:c>
      <x:c r="K111" t="str">
        <x:v>No</x:v>
      </x:c>
      <x:c r="L111" t="str">
        <x:f>IF(F111="","UNKNOWN",IF(F111&lt;'WELL INPUTS'!$B$11,"BELOW","OK"))</x:f>
        <x:v>OK</x:v>
      </x:c>
      <x:c r="M111" t="str">
        <x:f>IF(AND('WELL INPUTS'!$B$4="Wet",'WELL INPUTS'!$B$5&gt;0),IF(I111="Yes","CATALOG SOUR","NOT LISTED"),"N/A")</x:f>
        <x:v>N/A</x:v>
      </x:c>
      <x:c r="N111" t="str">
        <x:f>IF(AND('WELL INPUTS'!$B$4="Wet",'WELL INPUTS'!$B$6&gt;0),IF(J111="Yes","ALLOY FAMILY","CORROSION CONTROL"),"N/A")</x:f>
        <x:v>CORROSION CONTROL</x:v>
      </x:c>
      <x:c r="O111" t="str">
        <x:f>IF('WELL INPUTS'!$B$12="Yes",IF(G111="Yes","CLAIMED","NOT LISTED"),"N/A")</x:f>
        <x:v>N/A</x:v>
      </x:c>
      <x:c r="P111" t="str">
        <x:f>IF(OR('WELL INPUTS'!$B$13="Unrestricted",CODE(H111)&lt;=CODE('WELL INPUTS'!$B$13)),"WITHIN TIER","OVER CAP")</x:f>
        <x:v>WITHIN TIER</x:v>
      </x:c>
      <x:c r="Q111" t="n">
        <x:f>MAX(0,MIN(100,43+IF(L111="OK",14,-20)+IF(M111="CATALOG SOUR",24,IF(M111="NOT LISTED",-18,0))+IF(N111="ALLOY FAMILY",14,IF(N111="CORROSION CONTROL",-13,0))+IF(O111="CLAIMED",17,IF(O111="NOT LISTED",-14,0))+IF(K111="Yes",-15,0)+IF('WELL INPUTS'!$B$10="Yes",-17,0)))</x:f>
        <x:v>44</x:v>
      </x:c>
      <x:c r="R111" s="83" t="str">
        <x:f>IF(L111="BELOW","EXCLUDE — STRENGTH",IF(P111="OVER CAP","EXCLUDE — COST",IF(K111="Yes",IF('WELL INPUTS'!$B$14="No","EXCLUDE — REFERENCE","REFERENCE ONLY"),IF(OR(L111="UNKNOWN",M111="NOT LISTED",N111="CORROSION CONTROL",O111="NOT LISTED",'WELL INPUTS'!$B$10="Yes",'WELL INPUTS'!$B$4="Unknown"),"REVIEW","CANDIDATE — VERIFY"))))</x:f>
        <x:v>REVIEW</x:v>
      </x:c>
      <x:c r="S111" t="str">
        <x:f>IF(L111="BELOW","Increase minimum grade strength",IF(P111="OVER CAP","Relax cost tier or exclude",IF(K111="Yes","Identify qualified manufacturer grade",IF(M111="NOT LISTED","Confirm sour-service claim and ISO 15156",IF(O111="NOT LISTED","Obtain manufacturer collapse curve",IF(N111="CORROSION CONTROL","Model CO2 corrosion; review inhibition","Confirm corrosion, cracking, loads and connection"))))))</x:f>
        <x:v>Model CO2 corrosion; review inhibition</x:v>
      </x:c>
      <x:c r="T111" t="str">
        <x:v>https://www.tenaris.com/en/products-and-services/octg/steel-grades/</x:v>
      </x:c>
    </x:row>
    <x:row r="112" ht="23" customHeight="1">
      <x:c r="A112" t="str">
        <x:v>OCTG-0111</x:v>
      </x:c>
      <x:c r="B112" t="str">
        <x:v>Tenaris</x:v>
      </x:c>
      <x:c r="C112" t="str">
        <x:v>TN 80HS</x:v>
      </x:c>
      <x:c r="D112" t="str">
        <x:v>Carbon / low alloy</x:v>
      </x:c>
      <x:c r="E112" t="str">
        <x:v>Sour service (manufacturer qualified domain)</x:v>
      </x:c>
      <x:c r="F112" s="82" t="n">
        <x:v>80</x:v>
      </x:c>
      <x:c r="G112" t="str">
        <x:v>No</x:v>
      </x:c>
      <x:c r="H112" t="str">
        <x:v>A</x:v>
      </x:c>
      <x:c r="I112" t="str">
        <x:v>Yes</x:v>
      </x:c>
      <x:c r="J112" t="str">
        <x:v>No</x:v>
      </x:c>
      <x:c r="K112" t="str">
        <x:v>No</x:v>
      </x:c>
      <x:c r="L112" t="str">
        <x:f>IF(F112="","UNKNOWN",IF(F112&lt;'WELL INPUTS'!$B$11,"BELOW","OK"))</x:f>
        <x:v>OK</x:v>
      </x:c>
      <x:c r="M112" t="str">
        <x:f>IF(AND('WELL INPUTS'!$B$4="Wet",'WELL INPUTS'!$B$5&gt;0),IF(I112="Yes","CATALOG SOUR","NOT LISTED"),"N/A")</x:f>
        <x:v>N/A</x:v>
      </x:c>
      <x:c r="N112" t="str">
        <x:f>IF(AND('WELL INPUTS'!$B$4="Wet",'WELL INPUTS'!$B$6&gt;0),IF(J112="Yes","ALLOY FAMILY","CORROSION CONTROL"),"N/A")</x:f>
        <x:v>CORROSION CONTROL</x:v>
      </x:c>
      <x:c r="O112" t="str">
        <x:f>IF('WELL INPUTS'!$B$12="Yes",IF(G112="Yes","CLAIMED","NOT LISTED"),"N/A")</x:f>
        <x:v>N/A</x:v>
      </x:c>
      <x:c r="P112" t="str">
        <x:f>IF(OR('WELL INPUTS'!$B$13="Unrestricted",CODE(H112)&lt;=CODE('WELL INPUTS'!$B$13)),"WITHIN TIER","OVER CAP")</x:f>
        <x:v>WITHIN TIER</x:v>
      </x:c>
      <x:c r="Q112" t="n">
        <x:f>MAX(0,MIN(100,43+IF(L112="OK",14,-20)+IF(M112="CATALOG SOUR",24,IF(M112="NOT LISTED",-18,0))+IF(N112="ALLOY FAMILY",14,IF(N112="CORROSION CONTROL",-13,0))+IF(O112="CLAIMED",17,IF(O112="NOT LISTED",-14,0))+IF(K112="Yes",-15,0)+IF('WELL INPUTS'!$B$10="Yes",-17,0)))</x:f>
        <x:v>44</x:v>
      </x:c>
      <x:c r="R112" s="83" t="str">
        <x:f>IF(L112="BELOW","EXCLUDE — STRENGTH",IF(P112="OVER CAP","EXCLUDE — COST",IF(K112="Yes",IF('WELL INPUTS'!$B$14="No","EXCLUDE — REFERENCE","REFERENCE ONLY"),IF(OR(L112="UNKNOWN",M112="NOT LISTED",N112="CORROSION CONTROL",O112="NOT LISTED",'WELL INPUTS'!$B$10="Yes",'WELL INPUTS'!$B$4="Unknown"),"REVIEW","CANDIDATE — VERIFY"))))</x:f>
        <x:v>REVIEW</x:v>
      </x:c>
      <x:c r="S112" t="str">
        <x:f>IF(L112="BELOW","Increase minimum grade strength",IF(P112="OVER CAP","Relax cost tier or exclude",IF(K112="Yes","Identify qualified manufacturer grade",IF(M112="NOT LISTED","Confirm sour-service claim and ISO 15156",IF(O112="NOT LISTED","Obtain manufacturer collapse curve",IF(N112="CORROSION CONTROL","Model CO2 corrosion; review inhibition","Confirm corrosion, cracking, loads and connection"))))))</x:f>
        <x:v>Model CO2 corrosion; review inhibition</x:v>
      </x:c>
      <x:c r="T112" t="str">
        <x:v>https://www.tenaris.com/en/products-and-services/octg/steel-grades/</x:v>
      </x:c>
    </x:row>
    <x:row r="113" ht="23" customHeight="1">
      <x:c r="A113" t="str">
        <x:v>OCTG-0112</x:v>
      </x:c>
      <x:c r="B113" t="str">
        <x:v>Tenaris</x:v>
      </x:c>
      <x:c r="C113" t="str">
        <x:v>TN 80LT</x:v>
      </x:c>
      <x:c r="D113" t="str">
        <x:v>Carbon / low alloy</x:v>
      </x:c>
      <x:c r="E113" t="str">
        <x:v>Low temperature / toughness grade</x:v>
      </x:c>
      <x:c r="F113" s="82" t="n">
        <x:v>80</x:v>
      </x:c>
      <x:c r="G113" t="str">
        <x:v>No</x:v>
      </x:c>
      <x:c r="H113" t="str">
        <x:v>A</x:v>
      </x:c>
      <x:c r="I113" t="str">
        <x:v>No</x:v>
      </x:c>
      <x:c r="J113" t="str">
        <x:v>No</x:v>
      </x:c>
      <x:c r="K113" t="str">
        <x:v>No</x:v>
      </x:c>
      <x:c r="L113" t="str">
        <x:f>IF(F113="","UNKNOWN",IF(F113&lt;'WELL INPUTS'!$B$11,"BELOW","OK"))</x:f>
        <x:v>OK</x:v>
      </x:c>
      <x:c r="M113" t="str">
        <x:f>IF(AND('WELL INPUTS'!$B$4="Wet",'WELL INPUTS'!$B$5&gt;0),IF(I113="Yes","CATALOG SOUR","NOT LISTED"),"N/A")</x:f>
        <x:v>N/A</x:v>
      </x:c>
      <x:c r="N113" t="str">
        <x:f>IF(AND('WELL INPUTS'!$B$4="Wet",'WELL INPUTS'!$B$6&gt;0),IF(J113="Yes","ALLOY FAMILY","CORROSION CONTROL"),"N/A")</x:f>
        <x:v>CORROSION CONTROL</x:v>
      </x:c>
      <x:c r="O113" t="str">
        <x:f>IF('WELL INPUTS'!$B$12="Yes",IF(G113="Yes","CLAIMED","NOT LISTED"),"N/A")</x:f>
        <x:v>N/A</x:v>
      </x:c>
      <x:c r="P113" t="str">
        <x:f>IF(OR('WELL INPUTS'!$B$13="Unrestricted",CODE(H113)&lt;=CODE('WELL INPUTS'!$B$13)),"WITHIN TIER","OVER CAP")</x:f>
        <x:v>WITHIN TIER</x:v>
      </x:c>
      <x:c r="Q113" t="n">
        <x:f>MAX(0,MIN(100,43+IF(L113="OK",14,-20)+IF(M113="CATALOG SOUR",24,IF(M113="NOT LISTED",-18,0))+IF(N113="ALLOY FAMILY",14,IF(N113="CORROSION CONTROL",-13,0))+IF(O113="CLAIMED",17,IF(O113="NOT LISTED",-14,0))+IF(K113="Yes",-15,0)+IF('WELL INPUTS'!$B$10="Yes",-17,0)))</x:f>
        <x:v>44</x:v>
      </x:c>
      <x:c r="R113" s="83" t="str">
        <x:f>IF(L113="BELOW","EXCLUDE — STRENGTH",IF(P113="OVER CAP","EXCLUDE — COST",IF(K113="Yes",IF('WELL INPUTS'!$B$14="No","EXCLUDE — REFERENCE","REFERENCE ONLY"),IF(OR(L113="UNKNOWN",M113="NOT LISTED",N113="CORROSION CONTROL",O113="NOT LISTED",'WELL INPUTS'!$B$10="Yes",'WELL INPUTS'!$B$4="Unknown"),"REVIEW","CANDIDATE — VERIFY"))))</x:f>
        <x:v>REVIEW</x:v>
      </x:c>
      <x:c r="S113" t="str">
        <x:f>IF(L113="BELOW","Increase minimum grade strength",IF(P113="OVER CAP","Relax cost tier or exclude",IF(K113="Yes","Identify qualified manufacturer grade",IF(M113="NOT LISTED","Confirm sour-service claim and ISO 15156",IF(O113="NOT LISTED","Obtain manufacturer collapse curve",IF(N113="CORROSION CONTROL","Model CO2 corrosion; review inhibition","Confirm corrosion, cracking, loads and connection"))))))</x:f>
        <x:v>Model CO2 corrosion; review inhibition</x:v>
      </x:c>
      <x:c r="T113" t="str">
        <x:v>https://www.tenaris.com/en/products-and-services/octg/steel-grades/</x:v>
      </x:c>
    </x:row>
    <x:row r="114" ht="23" customHeight="1">
      <x:c r="A114" t="str">
        <x:v>OCTG-0113</x:v>
      </x:c>
      <x:c r="B114" t="str">
        <x:v>Tenaris</x:v>
      </x:c>
      <x:c r="C114" t="str">
        <x:v>TN 80S</x:v>
      </x:c>
      <x:c r="D114" t="str">
        <x:v>Carbon / low alloy</x:v>
      </x:c>
      <x:c r="E114" t="str">
        <x:v>Sour service (manufacturer qualified domain)</x:v>
      </x:c>
      <x:c r="F114" s="82" t="n">
        <x:v>80</x:v>
      </x:c>
      <x:c r="G114" t="str">
        <x:v>No</x:v>
      </x:c>
      <x:c r="H114" t="str">
        <x:v>A</x:v>
      </x:c>
      <x:c r="I114" t="str">
        <x:v>Yes</x:v>
      </x:c>
      <x:c r="J114" t="str">
        <x:v>No</x:v>
      </x:c>
      <x:c r="K114" t="str">
        <x:v>No</x:v>
      </x:c>
      <x:c r="L114" t="str">
        <x:f>IF(F114="","UNKNOWN",IF(F114&lt;'WELL INPUTS'!$B$11,"BELOW","OK"))</x:f>
        <x:v>OK</x:v>
      </x:c>
      <x:c r="M114" t="str">
        <x:f>IF(AND('WELL INPUTS'!$B$4="Wet",'WELL INPUTS'!$B$5&gt;0),IF(I114="Yes","CATALOG SOUR","NOT LISTED"),"N/A")</x:f>
        <x:v>N/A</x:v>
      </x:c>
      <x:c r="N114" t="str">
        <x:f>IF(AND('WELL INPUTS'!$B$4="Wet",'WELL INPUTS'!$B$6&gt;0),IF(J114="Yes","ALLOY FAMILY","CORROSION CONTROL"),"N/A")</x:f>
        <x:v>CORROSION CONTROL</x:v>
      </x:c>
      <x:c r="O114" t="str">
        <x:f>IF('WELL INPUTS'!$B$12="Yes",IF(G114="Yes","CLAIMED","NOT LISTED"),"N/A")</x:f>
        <x:v>N/A</x:v>
      </x:c>
      <x:c r="P114" t="str">
        <x:f>IF(OR('WELL INPUTS'!$B$13="Unrestricted",CODE(H114)&lt;=CODE('WELL INPUTS'!$B$13)),"WITHIN TIER","OVER CAP")</x:f>
        <x:v>WITHIN TIER</x:v>
      </x:c>
      <x:c r="Q114" t="n">
        <x:f>MAX(0,MIN(100,43+IF(L114="OK",14,-20)+IF(M114="CATALOG SOUR",24,IF(M114="NOT LISTED",-18,0))+IF(N114="ALLOY FAMILY",14,IF(N114="CORROSION CONTROL",-13,0))+IF(O114="CLAIMED",17,IF(O114="NOT LISTED",-14,0))+IF(K114="Yes",-15,0)+IF('WELL INPUTS'!$B$10="Yes",-17,0)))</x:f>
        <x:v>44</x:v>
      </x:c>
      <x:c r="R114" s="83" t="str">
        <x:f>IF(L114="BELOW","EXCLUDE — STRENGTH",IF(P114="OVER CAP","EXCLUDE — COST",IF(K114="Yes",IF('WELL INPUTS'!$B$14="No","EXCLUDE — REFERENCE","REFERENCE ONLY"),IF(OR(L114="UNKNOWN",M114="NOT LISTED",N114="CORROSION CONTROL",O114="NOT LISTED",'WELL INPUTS'!$B$10="Yes",'WELL INPUTS'!$B$4="Unknown"),"REVIEW","CANDIDATE — VERIFY"))))</x:f>
        <x:v>REVIEW</x:v>
      </x:c>
      <x:c r="S114" t="str">
        <x:f>IF(L114="BELOW","Increase minimum grade strength",IF(P114="OVER CAP","Relax cost tier or exclude",IF(K114="Yes","Identify qualified manufacturer grade",IF(M114="NOT LISTED","Confirm sour-service claim and ISO 15156",IF(O114="NOT LISTED","Obtain manufacturer collapse curve",IF(N114="CORROSION CONTROL","Model CO2 corrosion; review inhibition","Confirm corrosion, cracking, loads and connection"))))))</x:f>
        <x:v>Model CO2 corrosion; review inhibition</x:v>
      </x:c>
      <x:c r="T114" t="str">
        <x:v>https://www.tenaris.com/en/products-and-services/octg/steel-grades/</x:v>
      </x:c>
    </x:row>
    <x:row r="115" ht="23" customHeight="1">
      <x:c r="A115" t="str">
        <x:v>OCTG-0114</x:v>
      </x:c>
      <x:c r="B115" t="str">
        <x:v>Tenaris</x:v>
      </x:c>
      <x:c r="C115" t="str">
        <x:v>TN 80SS</x:v>
      </x:c>
      <x:c r="D115" t="str">
        <x:v>Carbon / low alloy</x:v>
      </x:c>
      <x:c r="E115" t="str">
        <x:v>Sour service (manufacturer qualified domain)</x:v>
      </x:c>
      <x:c r="F115" s="82" t="n">
        <x:v>80</x:v>
      </x:c>
      <x:c r="G115" t="str">
        <x:v>No</x:v>
      </x:c>
      <x:c r="H115" t="str">
        <x:v>A</x:v>
      </x:c>
      <x:c r="I115" t="str">
        <x:v>Yes</x:v>
      </x:c>
      <x:c r="J115" t="str">
        <x:v>No</x:v>
      </x:c>
      <x:c r="K115" t="str">
        <x:v>No</x:v>
      </x:c>
      <x:c r="L115" t="str">
        <x:f>IF(F115="","UNKNOWN",IF(F115&lt;'WELL INPUTS'!$B$11,"BELOW","OK"))</x:f>
        <x:v>OK</x:v>
      </x:c>
      <x:c r="M115" t="str">
        <x:f>IF(AND('WELL INPUTS'!$B$4="Wet",'WELL INPUTS'!$B$5&gt;0),IF(I115="Yes","CATALOG SOUR","NOT LISTED"),"N/A")</x:f>
        <x:v>N/A</x:v>
      </x:c>
      <x:c r="N115" t="str">
        <x:f>IF(AND('WELL INPUTS'!$B$4="Wet",'WELL INPUTS'!$B$6&gt;0),IF(J115="Yes","ALLOY FAMILY","CORROSION CONTROL"),"N/A")</x:f>
        <x:v>CORROSION CONTROL</x:v>
      </x:c>
      <x:c r="O115" t="str">
        <x:f>IF('WELL INPUTS'!$B$12="Yes",IF(G115="Yes","CLAIMED","NOT LISTED"),"N/A")</x:f>
        <x:v>N/A</x:v>
      </x:c>
      <x:c r="P115" t="str">
        <x:f>IF(OR('WELL INPUTS'!$B$13="Unrestricted",CODE(H115)&lt;=CODE('WELL INPUTS'!$B$13)),"WITHIN TIER","OVER CAP")</x:f>
        <x:v>WITHIN TIER</x:v>
      </x:c>
      <x:c r="Q115" t="n">
        <x:f>MAX(0,MIN(100,43+IF(L115="OK",14,-20)+IF(M115="CATALOG SOUR",24,IF(M115="NOT LISTED",-18,0))+IF(N115="ALLOY FAMILY",14,IF(N115="CORROSION CONTROL",-13,0))+IF(O115="CLAIMED",17,IF(O115="NOT LISTED",-14,0))+IF(K115="Yes",-15,0)+IF('WELL INPUTS'!$B$10="Yes",-17,0)))</x:f>
        <x:v>44</x:v>
      </x:c>
      <x:c r="R115" s="83" t="str">
        <x:f>IF(L115="BELOW","EXCLUDE — STRENGTH",IF(P115="OVER CAP","EXCLUDE — COST",IF(K115="Yes",IF('WELL INPUTS'!$B$14="No","EXCLUDE — REFERENCE","REFERENCE ONLY"),IF(OR(L115="UNKNOWN",M115="NOT LISTED",N115="CORROSION CONTROL",O115="NOT LISTED",'WELL INPUTS'!$B$10="Yes",'WELL INPUTS'!$B$4="Unknown"),"REVIEW","CANDIDATE — VERIFY"))))</x:f>
        <x:v>REVIEW</x:v>
      </x:c>
      <x:c r="S115" t="str">
        <x:f>IF(L115="BELOW","Increase minimum grade strength",IF(P115="OVER CAP","Relax cost tier or exclude",IF(K115="Yes","Identify qualified manufacturer grade",IF(M115="NOT LISTED","Confirm sour-service claim and ISO 15156",IF(O115="NOT LISTED","Obtain manufacturer collapse curve",IF(N115="CORROSION CONTROL","Model CO2 corrosion; review inhibition","Confirm corrosion, cracking, loads and connection"))))))</x:f>
        <x:v>Model CO2 corrosion; review inhibition</x:v>
      </x:c>
      <x:c r="T115" t="str">
        <x:v>https://www.tenaris.com/en/products-and-services/octg/steel-grades/</x:v>
      </x:c>
    </x:row>
    <x:row r="116" ht="23" customHeight="1">
      <x:c r="A116" t="str">
        <x:v>OCTG-0115</x:v>
      </x:c>
      <x:c r="B116" t="str">
        <x:v>Tenaris</x:v>
      </x:c>
      <x:c r="C116" t="str">
        <x:v>TN 80TH</x:v>
      </x:c>
      <x:c r="D116" t="str">
        <x:v>Carbon / low alloy</x:v>
      </x:c>
      <x:c r="E116" t="str">
        <x:v>Thermal/temperature specialty (see Tenaris datasheet)</x:v>
      </x:c>
      <x:c r="F116" s="82" t="n">
        <x:v>80</x:v>
      </x:c>
      <x:c r="G116" t="str">
        <x:v>No</x:v>
      </x:c>
      <x:c r="H116" t="str">
        <x:v>A</x:v>
      </x:c>
      <x:c r="I116" t="str">
        <x:v>No</x:v>
      </x:c>
      <x:c r="J116" t="str">
        <x:v>No</x:v>
      </x:c>
      <x:c r="K116" t="str">
        <x:v>No</x:v>
      </x:c>
      <x:c r="L116" t="str">
        <x:f>IF(F116="","UNKNOWN",IF(F116&lt;'WELL INPUTS'!$B$11,"BELOW","OK"))</x:f>
        <x:v>OK</x:v>
      </x:c>
      <x:c r="M116" t="str">
        <x:f>IF(AND('WELL INPUTS'!$B$4="Wet",'WELL INPUTS'!$B$5&gt;0),IF(I116="Yes","CATALOG SOUR","NOT LISTED"),"N/A")</x:f>
        <x:v>N/A</x:v>
      </x:c>
      <x:c r="N116" t="str">
        <x:f>IF(AND('WELL INPUTS'!$B$4="Wet",'WELL INPUTS'!$B$6&gt;0),IF(J116="Yes","ALLOY FAMILY","CORROSION CONTROL"),"N/A")</x:f>
        <x:v>CORROSION CONTROL</x:v>
      </x:c>
      <x:c r="O116" t="str">
        <x:f>IF('WELL INPUTS'!$B$12="Yes",IF(G116="Yes","CLAIMED","NOT LISTED"),"N/A")</x:f>
        <x:v>N/A</x:v>
      </x:c>
      <x:c r="P116" t="str">
        <x:f>IF(OR('WELL INPUTS'!$B$13="Unrestricted",CODE(H116)&lt;=CODE('WELL INPUTS'!$B$13)),"WITHIN TIER","OVER CAP")</x:f>
        <x:v>WITHIN TIER</x:v>
      </x:c>
      <x:c r="Q116" t="n">
        <x:f>MAX(0,MIN(100,43+IF(L116="OK",14,-20)+IF(M116="CATALOG SOUR",24,IF(M116="NOT LISTED",-18,0))+IF(N116="ALLOY FAMILY",14,IF(N116="CORROSION CONTROL",-13,0))+IF(O116="CLAIMED",17,IF(O116="NOT LISTED",-14,0))+IF(K116="Yes",-15,0)+IF('WELL INPUTS'!$B$10="Yes",-17,0)))</x:f>
        <x:v>44</x:v>
      </x:c>
      <x:c r="R116" s="83" t="str">
        <x:f>IF(L116="BELOW","EXCLUDE — STRENGTH",IF(P116="OVER CAP","EXCLUDE — COST",IF(K116="Yes",IF('WELL INPUTS'!$B$14="No","EXCLUDE — REFERENCE","REFERENCE ONLY"),IF(OR(L116="UNKNOWN",M116="NOT LISTED",N116="CORROSION CONTROL",O116="NOT LISTED",'WELL INPUTS'!$B$10="Yes",'WELL INPUTS'!$B$4="Unknown"),"REVIEW","CANDIDATE — VERIFY"))))</x:f>
        <x:v>REVIEW</x:v>
      </x:c>
      <x:c r="S116" t="str">
        <x:f>IF(L116="BELOW","Increase minimum grade strength",IF(P116="OVER CAP","Relax cost tier or exclude",IF(K116="Yes","Identify qualified manufacturer grade",IF(M116="NOT LISTED","Confirm sour-service claim and ISO 15156",IF(O116="NOT LISTED","Obtain manufacturer collapse curve",IF(N116="CORROSION CONTROL","Model CO2 corrosion; review inhibition","Confirm corrosion, cracking, loads and connection"))))))</x:f>
        <x:v>Model CO2 corrosion; review inhibition</x:v>
      </x:c>
      <x:c r="T116" t="str">
        <x:v>https://www.tenaris.com/en/products-and-services/octg/steel-grades/</x:v>
      </x:c>
    </x:row>
    <x:row r="117" ht="23" customHeight="1">
      <x:c r="A117" t="str">
        <x:v>OCTG-0116</x:v>
      </x:c>
      <x:c r="B117" t="str">
        <x:v>Tenaris</x:v>
      </x:c>
      <x:c r="C117" t="str">
        <x:v>TN 80TL</x:v>
      </x:c>
      <x:c r="D117" t="str">
        <x:v>Carbon / low alloy</x:v>
      </x:c>
      <x:c r="E117" t="str">
        <x:v>Thermal/temperature specialty (see Tenaris datasheet)</x:v>
      </x:c>
      <x:c r="F117" s="82" t="n">
        <x:v>80</x:v>
      </x:c>
      <x:c r="G117" t="str">
        <x:v>No</x:v>
      </x:c>
      <x:c r="H117" t="str">
        <x:v>A</x:v>
      </x:c>
      <x:c r="I117" t="str">
        <x:v>No</x:v>
      </x:c>
      <x:c r="J117" t="str">
        <x:v>No</x:v>
      </x:c>
      <x:c r="K117" t="str">
        <x:v>No</x:v>
      </x:c>
      <x:c r="L117" t="str">
        <x:f>IF(F117="","UNKNOWN",IF(F117&lt;'WELL INPUTS'!$B$11,"BELOW","OK"))</x:f>
        <x:v>OK</x:v>
      </x:c>
      <x:c r="M117" t="str">
        <x:f>IF(AND('WELL INPUTS'!$B$4="Wet",'WELL INPUTS'!$B$5&gt;0),IF(I117="Yes","CATALOG SOUR","NOT LISTED"),"N/A")</x:f>
        <x:v>N/A</x:v>
      </x:c>
      <x:c r="N117" t="str">
        <x:f>IF(AND('WELL INPUTS'!$B$4="Wet",'WELL INPUTS'!$B$6&gt;0),IF(J117="Yes","ALLOY FAMILY","CORROSION CONTROL"),"N/A")</x:f>
        <x:v>CORROSION CONTROL</x:v>
      </x:c>
      <x:c r="O117" t="str">
        <x:f>IF('WELL INPUTS'!$B$12="Yes",IF(G117="Yes","CLAIMED","NOT LISTED"),"N/A")</x:f>
        <x:v>N/A</x:v>
      </x:c>
      <x:c r="P117" t="str">
        <x:f>IF(OR('WELL INPUTS'!$B$13="Unrestricted",CODE(H117)&lt;=CODE('WELL INPUTS'!$B$13)),"WITHIN TIER","OVER CAP")</x:f>
        <x:v>WITHIN TIER</x:v>
      </x:c>
      <x:c r="Q117" t="n">
        <x:f>MAX(0,MIN(100,43+IF(L117="OK",14,-20)+IF(M117="CATALOG SOUR",24,IF(M117="NOT LISTED",-18,0))+IF(N117="ALLOY FAMILY",14,IF(N117="CORROSION CONTROL",-13,0))+IF(O117="CLAIMED",17,IF(O117="NOT LISTED",-14,0))+IF(K117="Yes",-15,0)+IF('WELL INPUTS'!$B$10="Yes",-17,0)))</x:f>
        <x:v>44</x:v>
      </x:c>
      <x:c r="R117" s="83" t="str">
        <x:f>IF(L117="BELOW","EXCLUDE — STRENGTH",IF(P117="OVER CAP","EXCLUDE — COST",IF(K117="Yes",IF('WELL INPUTS'!$B$14="No","EXCLUDE — REFERENCE","REFERENCE ONLY"),IF(OR(L117="UNKNOWN",M117="NOT LISTED",N117="CORROSION CONTROL",O117="NOT LISTED",'WELL INPUTS'!$B$10="Yes",'WELL INPUTS'!$B$4="Unknown"),"REVIEW","CANDIDATE — VERIFY"))))</x:f>
        <x:v>REVIEW</x:v>
      </x:c>
      <x:c r="S117" t="str">
        <x:f>IF(L117="BELOW","Increase minimum grade strength",IF(P117="OVER CAP","Relax cost tier or exclude",IF(K117="Yes","Identify qualified manufacturer grade",IF(M117="NOT LISTED","Confirm sour-service claim and ISO 15156",IF(O117="NOT LISTED","Obtain manufacturer collapse curve",IF(N117="CORROSION CONTROL","Model CO2 corrosion; review inhibition","Confirm corrosion, cracking, loads and connection"))))))</x:f>
        <x:v>Model CO2 corrosion; review inhibition</x:v>
      </x:c>
      <x:c r="T117" t="str">
        <x:v>https://www.tenaris.com/en/products-and-services/octg/steel-grades/</x:v>
      </x:c>
    </x:row>
    <x:row r="118" ht="23" customHeight="1">
      <x:c r="A118" t="str">
        <x:v>OCTG-0117</x:v>
      </x:c>
      <x:c r="B118" t="str">
        <x:v>Tenaris</x:v>
      </x:c>
      <x:c r="C118" t="str">
        <x:v>TN 90S</x:v>
      </x:c>
      <x:c r="D118" t="str">
        <x:v>Carbon / low alloy</x:v>
      </x:c>
      <x:c r="E118" t="str">
        <x:v>Sour service (manufacturer qualified domain)</x:v>
      </x:c>
      <x:c r="F118" s="82" t="n">
        <x:v>90</x:v>
      </x:c>
      <x:c r="G118" t="str">
        <x:v>No</x:v>
      </x:c>
      <x:c r="H118" t="str">
        <x:v>A</x:v>
      </x:c>
      <x:c r="I118" t="str">
        <x:v>Yes</x:v>
      </x:c>
      <x:c r="J118" t="str">
        <x:v>No</x:v>
      </x:c>
      <x:c r="K118" t="str">
        <x:v>No</x:v>
      </x:c>
      <x:c r="L118" t="str">
        <x:f>IF(F118="","UNKNOWN",IF(F118&lt;'WELL INPUTS'!$B$11,"BELOW","OK"))</x:f>
        <x:v>OK</x:v>
      </x:c>
      <x:c r="M118" t="str">
        <x:f>IF(AND('WELL INPUTS'!$B$4="Wet",'WELL INPUTS'!$B$5&gt;0),IF(I118="Yes","CATALOG SOUR","NOT LISTED"),"N/A")</x:f>
        <x:v>N/A</x:v>
      </x:c>
      <x:c r="N118" t="str">
        <x:f>IF(AND('WELL INPUTS'!$B$4="Wet",'WELL INPUTS'!$B$6&gt;0),IF(J118="Yes","ALLOY FAMILY","CORROSION CONTROL"),"N/A")</x:f>
        <x:v>CORROSION CONTROL</x:v>
      </x:c>
      <x:c r="O118" t="str">
        <x:f>IF('WELL INPUTS'!$B$12="Yes",IF(G118="Yes","CLAIMED","NOT LISTED"),"N/A")</x:f>
        <x:v>N/A</x:v>
      </x:c>
      <x:c r="P118" t="str">
        <x:f>IF(OR('WELL INPUTS'!$B$13="Unrestricted",CODE(H118)&lt;=CODE('WELL INPUTS'!$B$13)),"WITHIN TIER","OVER CAP")</x:f>
        <x:v>WITHIN TIER</x:v>
      </x:c>
      <x:c r="Q118" t="n">
        <x:f>MAX(0,MIN(100,43+IF(L118="OK",14,-20)+IF(M118="CATALOG SOUR",24,IF(M118="NOT LISTED",-18,0))+IF(N118="ALLOY FAMILY",14,IF(N118="CORROSION CONTROL",-13,0))+IF(O118="CLAIMED",17,IF(O118="NOT LISTED",-14,0))+IF(K118="Yes",-15,0)+IF('WELL INPUTS'!$B$10="Yes",-17,0)))</x:f>
        <x:v>44</x:v>
      </x:c>
      <x:c r="R118" s="83" t="str">
        <x:f>IF(L118="BELOW","EXCLUDE — STRENGTH",IF(P118="OVER CAP","EXCLUDE — COST",IF(K118="Yes",IF('WELL INPUTS'!$B$14="No","EXCLUDE — REFERENCE","REFERENCE ONLY"),IF(OR(L118="UNKNOWN",M118="NOT LISTED",N118="CORROSION CONTROL",O118="NOT LISTED",'WELL INPUTS'!$B$10="Yes",'WELL INPUTS'!$B$4="Unknown"),"REVIEW","CANDIDATE — VERIFY"))))</x:f>
        <x:v>REVIEW</x:v>
      </x:c>
      <x:c r="S118" t="str">
        <x:f>IF(L118="BELOW","Increase minimum grade strength",IF(P118="OVER CAP","Relax cost tier or exclude",IF(K118="Yes","Identify qualified manufacturer grade",IF(M118="NOT LISTED","Confirm sour-service claim and ISO 15156",IF(O118="NOT LISTED","Obtain manufacturer collapse curve",IF(N118="CORROSION CONTROL","Model CO2 corrosion; review inhibition","Confirm corrosion, cracking, loads and connection"))))))</x:f>
        <x:v>Model CO2 corrosion; review inhibition</x:v>
      </x:c>
      <x:c r="T118" t="str">
        <x:v>https://www.tenaris.com/en/products-and-services/octg/steel-grades/</x:v>
      </x:c>
    </x:row>
    <x:row r="119" ht="23" customHeight="1">
      <x:c r="A119" t="str">
        <x:v>OCTG-0118</x:v>
      </x:c>
      <x:c r="B119" t="str">
        <x:v>Tenaris</x:v>
      </x:c>
      <x:c r="C119" t="str">
        <x:v>TN 90SS</x:v>
      </x:c>
      <x:c r="D119" t="str">
        <x:v>Carbon / low alloy</x:v>
      </x:c>
      <x:c r="E119" t="str">
        <x:v>Sour service (manufacturer qualified domain)</x:v>
      </x:c>
      <x:c r="F119" s="82" t="n">
        <x:v>90</x:v>
      </x:c>
      <x:c r="G119" t="str">
        <x:v>No</x:v>
      </x:c>
      <x:c r="H119" t="str">
        <x:v>A</x:v>
      </x:c>
      <x:c r="I119" t="str">
        <x:v>Yes</x:v>
      </x:c>
      <x:c r="J119" t="str">
        <x:v>No</x:v>
      </x:c>
      <x:c r="K119" t="str">
        <x:v>No</x:v>
      </x:c>
      <x:c r="L119" t="str">
        <x:f>IF(F119="","UNKNOWN",IF(F119&lt;'WELL INPUTS'!$B$11,"BELOW","OK"))</x:f>
        <x:v>OK</x:v>
      </x:c>
      <x:c r="M119" t="str">
        <x:f>IF(AND('WELL INPUTS'!$B$4="Wet",'WELL INPUTS'!$B$5&gt;0),IF(I119="Yes","CATALOG SOUR","NOT LISTED"),"N/A")</x:f>
        <x:v>N/A</x:v>
      </x:c>
      <x:c r="N119" t="str">
        <x:f>IF(AND('WELL INPUTS'!$B$4="Wet",'WELL INPUTS'!$B$6&gt;0),IF(J119="Yes","ALLOY FAMILY","CORROSION CONTROL"),"N/A")</x:f>
        <x:v>CORROSION CONTROL</x:v>
      </x:c>
      <x:c r="O119" t="str">
        <x:f>IF('WELL INPUTS'!$B$12="Yes",IF(G119="Yes","CLAIMED","NOT LISTED"),"N/A")</x:f>
        <x:v>N/A</x:v>
      </x:c>
      <x:c r="P119" t="str">
        <x:f>IF(OR('WELL INPUTS'!$B$13="Unrestricted",CODE(H119)&lt;=CODE('WELL INPUTS'!$B$13)),"WITHIN TIER","OVER CAP")</x:f>
        <x:v>WITHIN TIER</x:v>
      </x:c>
      <x:c r="Q119" t="n">
        <x:f>MAX(0,MIN(100,43+IF(L119="OK",14,-20)+IF(M119="CATALOG SOUR",24,IF(M119="NOT LISTED",-18,0))+IF(N119="ALLOY FAMILY",14,IF(N119="CORROSION CONTROL",-13,0))+IF(O119="CLAIMED",17,IF(O119="NOT LISTED",-14,0))+IF(K119="Yes",-15,0)+IF('WELL INPUTS'!$B$10="Yes",-17,0)))</x:f>
        <x:v>44</x:v>
      </x:c>
      <x:c r="R119" s="83" t="str">
        <x:f>IF(L119="BELOW","EXCLUDE — STRENGTH",IF(P119="OVER CAP","EXCLUDE — COST",IF(K119="Yes",IF('WELL INPUTS'!$B$14="No","EXCLUDE — REFERENCE","REFERENCE ONLY"),IF(OR(L119="UNKNOWN",M119="NOT LISTED",N119="CORROSION CONTROL",O119="NOT LISTED",'WELL INPUTS'!$B$10="Yes",'WELL INPUTS'!$B$4="Unknown"),"REVIEW","CANDIDATE — VERIFY"))))</x:f>
        <x:v>REVIEW</x:v>
      </x:c>
      <x:c r="S119" t="str">
        <x:f>IF(L119="BELOW","Increase minimum grade strength",IF(P119="OVER CAP","Relax cost tier or exclude",IF(K119="Yes","Identify qualified manufacturer grade",IF(M119="NOT LISTED","Confirm sour-service claim and ISO 15156",IF(O119="NOT LISTED","Obtain manufacturer collapse curve",IF(N119="CORROSION CONTROL","Model CO2 corrosion; review inhibition","Confirm corrosion, cracking, loads and connection"))))))</x:f>
        <x:v>Model CO2 corrosion; review inhibition</x:v>
      </x:c>
      <x:c r="T119" t="str">
        <x:v>https://www.tenaris.com/en/products-and-services/octg/steel-grades/</x:v>
      </x:c>
    </x:row>
    <x:row r="120" ht="23" customHeight="1">
      <x:c r="A120" t="str">
        <x:v>OCTG-0119</x:v>
      </x:c>
      <x:c r="B120" t="str">
        <x:v>Tenaris</x:v>
      </x:c>
      <x:c r="C120" t="str">
        <x:v>TN 95HC</x:v>
      </x:c>
      <x:c r="D120" t="str">
        <x:v>Carbon / low alloy</x:v>
      </x:c>
      <x:c r="E120" t="str">
        <x:v>High collapse / external pressure</x:v>
      </x:c>
      <x:c r="F120" s="82" t="n">
        <x:v>95</x:v>
      </x:c>
      <x:c r="G120" t="str">
        <x:v>Yes</x:v>
      </x:c>
      <x:c r="H120" t="str">
        <x:v>A</x:v>
      </x:c>
      <x:c r="I120" t="str">
        <x:v>No</x:v>
      </x:c>
      <x:c r="J120" t="str">
        <x:v>No</x:v>
      </x:c>
      <x:c r="K120" t="str">
        <x:v>No</x:v>
      </x:c>
      <x:c r="L120" t="str">
        <x:f>IF(F120="","UNKNOWN",IF(F120&lt;'WELL INPUTS'!$B$11,"BELOW","OK"))</x:f>
        <x:v>OK</x:v>
      </x:c>
      <x:c r="M120" t="str">
        <x:f>IF(AND('WELL INPUTS'!$B$4="Wet",'WELL INPUTS'!$B$5&gt;0),IF(I120="Yes","CATALOG SOUR","NOT LISTED"),"N/A")</x:f>
        <x:v>N/A</x:v>
      </x:c>
      <x:c r="N120" t="str">
        <x:f>IF(AND('WELL INPUTS'!$B$4="Wet",'WELL INPUTS'!$B$6&gt;0),IF(J120="Yes","ALLOY FAMILY","CORROSION CONTROL"),"N/A")</x:f>
        <x:v>CORROSION CONTROL</x:v>
      </x:c>
      <x:c r="O120" t="str">
        <x:f>IF('WELL INPUTS'!$B$12="Yes",IF(G120="Yes","CLAIMED","NOT LISTED"),"N/A")</x:f>
        <x:v>N/A</x:v>
      </x:c>
      <x:c r="P120" t="str">
        <x:f>IF(OR('WELL INPUTS'!$B$13="Unrestricted",CODE(H120)&lt;=CODE('WELL INPUTS'!$B$13)),"WITHIN TIER","OVER CAP")</x:f>
        <x:v>WITHIN TIER</x:v>
      </x:c>
      <x:c r="Q120" t="n">
        <x:f>MAX(0,MIN(100,43+IF(L120="OK",14,-20)+IF(M120="CATALOG SOUR",24,IF(M120="NOT LISTED",-18,0))+IF(N120="ALLOY FAMILY",14,IF(N120="CORROSION CONTROL",-13,0))+IF(O120="CLAIMED",17,IF(O120="NOT LISTED",-14,0))+IF(K120="Yes",-15,0)+IF('WELL INPUTS'!$B$10="Yes",-17,0)))</x:f>
        <x:v>44</x:v>
      </x:c>
      <x:c r="R120" s="83" t="str">
        <x:f>IF(L120="BELOW","EXCLUDE — STRENGTH",IF(P120="OVER CAP","EXCLUDE — COST",IF(K120="Yes",IF('WELL INPUTS'!$B$14="No","EXCLUDE — REFERENCE","REFERENCE ONLY"),IF(OR(L120="UNKNOWN",M120="NOT LISTED",N120="CORROSION CONTROL",O120="NOT LISTED",'WELL INPUTS'!$B$10="Yes",'WELL INPUTS'!$B$4="Unknown"),"REVIEW","CANDIDATE — VERIFY"))))</x:f>
        <x:v>REVIEW</x:v>
      </x:c>
      <x:c r="S120" t="str">
        <x:f>IF(L120="BELOW","Increase minimum grade strength",IF(P120="OVER CAP","Relax cost tier or exclude",IF(K120="Yes","Identify qualified manufacturer grade",IF(M120="NOT LISTED","Confirm sour-service claim and ISO 15156",IF(O120="NOT LISTED","Obtain manufacturer collapse curve",IF(N120="CORROSION CONTROL","Model CO2 corrosion; review inhibition","Confirm corrosion, cracking, loads and connection"))))))</x:f>
        <x:v>Model CO2 corrosion; review inhibition</x:v>
      </x:c>
      <x:c r="T120" t="str">
        <x:v>https://www.tenaris.com/en/products-and-services/octg/steel-grades/</x:v>
      </x:c>
    </x:row>
    <x:row r="121" ht="23" customHeight="1">
      <x:c r="A121" t="str">
        <x:v>OCTG-0120</x:v>
      </x:c>
      <x:c r="B121" t="str">
        <x:v>Tenaris</x:v>
      </x:c>
      <x:c r="C121" t="str">
        <x:v>TN 95HS</x:v>
      </x:c>
      <x:c r="D121" t="str">
        <x:v>Carbon / low alloy</x:v>
      </x:c>
      <x:c r="E121" t="str">
        <x:v>Sour service (manufacturer qualified domain)</x:v>
      </x:c>
      <x:c r="F121" s="82" t="n">
        <x:v>95</x:v>
      </x:c>
      <x:c r="G121" t="str">
        <x:v>No</x:v>
      </x:c>
      <x:c r="H121" t="str">
        <x:v>A</x:v>
      </x:c>
      <x:c r="I121" t="str">
        <x:v>Yes</x:v>
      </x:c>
      <x:c r="J121" t="str">
        <x:v>No</x:v>
      </x:c>
      <x:c r="K121" t="str">
        <x:v>No</x:v>
      </x:c>
      <x:c r="L121" t="str">
        <x:f>IF(F121="","UNKNOWN",IF(F121&lt;'WELL INPUTS'!$B$11,"BELOW","OK"))</x:f>
        <x:v>OK</x:v>
      </x:c>
      <x:c r="M121" t="str">
        <x:f>IF(AND('WELL INPUTS'!$B$4="Wet",'WELL INPUTS'!$B$5&gt;0),IF(I121="Yes","CATALOG SOUR","NOT LISTED"),"N/A")</x:f>
        <x:v>N/A</x:v>
      </x:c>
      <x:c r="N121" t="str">
        <x:f>IF(AND('WELL INPUTS'!$B$4="Wet",'WELL INPUTS'!$B$6&gt;0),IF(J121="Yes","ALLOY FAMILY","CORROSION CONTROL"),"N/A")</x:f>
        <x:v>CORROSION CONTROL</x:v>
      </x:c>
      <x:c r="O121" t="str">
        <x:f>IF('WELL INPUTS'!$B$12="Yes",IF(G121="Yes","CLAIMED","NOT LISTED"),"N/A")</x:f>
        <x:v>N/A</x:v>
      </x:c>
      <x:c r="P121" t="str">
        <x:f>IF(OR('WELL INPUTS'!$B$13="Unrestricted",CODE(H121)&lt;=CODE('WELL INPUTS'!$B$13)),"WITHIN TIER","OVER CAP")</x:f>
        <x:v>WITHIN TIER</x:v>
      </x:c>
      <x:c r="Q121" t="n">
        <x:f>MAX(0,MIN(100,43+IF(L121="OK",14,-20)+IF(M121="CATALOG SOUR",24,IF(M121="NOT LISTED",-18,0))+IF(N121="ALLOY FAMILY",14,IF(N121="CORROSION CONTROL",-13,0))+IF(O121="CLAIMED",17,IF(O121="NOT LISTED",-14,0))+IF(K121="Yes",-15,0)+IF('WELL INPUTS'!$B$10="Yes",-17,0)))</x:f>
        <x:v>44</x:v>
      </x:c>
      <x:c r="R121" s="83" t="str">
        <x:f>IF(L121="BELOW","EXCLUDE — STRENGTH",IF(P121="OVER CAP","EXCLUDE — COST",IF(K121="Yes",IF('WELL INPUTS'!$B$14="No","EXCLUDE — REFERENCE","REFERENCE ONLY"),IF(OR(L121="UNKNOWN",M121="NOT LISTED",N121="CORROSION CONTROL",O121="NOT LISTED",'WELL INPUTS'!$B$10="Yes",'WELL INPUTS'!$B$4="Unknown"),"REVIEW","CANDIDATE — VERIFY"))))</x:f>
        <x:v>REVIEW</x:v>
      </x:c>
      <x:c r="S121" t="str">
        <x:f>IF(L121="BELOW","Increase minimum grade strength",IF(P121="OVER CAP","Relax cost tier or exclude",IF(K121="Yes","Identify qualified manufacturer grade",IF(M121="NOT LISTED","Confirm sour-service claim and ISO 15156",IF(O121="NOT LISTED","Obtain manufacturer collapse curve",IF(N121="CORROSION CONTROL","Model CO2 corrosion; review inhibition","Confirm corrosion, cracking, loads and connection"))))))</x:f>
        <x:v>Model CO2 corrosion; review inhibition</x:v>
      </x:c>
      <x:c r="T121" t="str">
        <x:v>https://www.tenaris.com/en/products-and-services/octg/steel-grades/</x:v>
      </x:c>
    </x:row>
    <x:row r="122" ht="23" customHeight="1">
      <x:c r="A122" t="str">
        <x:v>OCTG-0121</x:v>
      </x:c>
      <x:c r="B122" t="str">
        <x:v>Tenaris</x:v>
      </x:c>
      <x:c r="C122" t="str">
        <x:v>TN 95LT</x:v>
      </x:c>
      <x:c r="D122" t="str">
        <x:v>Carbon / low alloy</x:v>
      </x:c>
      <x:c r="E122" t="str">
        <x:v>Low temperature / toughness grade</x:v>
      </x:c>
      <x:c r="F122" s="82" t="n">
        <x:v>95</x:v>
      </x:c>
      <x:c r="G122" t="str">
        <x:v>No</x:v>
      </x:c>
      <x:c r="H122" t="str">
        <x:v>A</x:v>
      </x:c>
      <x:c r="I122" t="str">
        <x:v>No</x:v>
      </x:c>
      <x:c r="J122" t="str">
        <x:v>No</x:v>
      </x:c>
      <x:c r="K122" t="str">
        <x:v>No</x:v>
      </x:c>
      <x:c r="L122" t="str">
        <x:f>IF(F122="","UNKNOWN",IF(F122&lt;'WELL INPUTS'!$B$11,"BELOW","OK"))</x:f>
        <x:v>OK</x:v>
      </x:c>
      <x:c r="M122" t="str">
        <x:f>IF(AND('WELL INPUTS'!$B$4="Wet",'WELL INPUTS'!$B$5&gt;0),IF(I122="Yes","CATALOG SOUR","NOT LISTED"),"N/A")</x:f>
        <x:v>N/A</x:v>
      </x:c>
      <x:c r="N122" t="str">
        <x:f>IF(AND('WELL INPUTS'!$B$4="Wet",'WELL INPUTS'!$B$6&gt;0),IF(J122="Yes","ALLOY FAMILY","CORROSION CONTROL"),"N/A")</x:f>
        <x:v>CORROSION CONTROL</x:v>
      </x:c>
      <x:c r="O122" t="str">
        <x:f>IF('WELL INPUTS'!$B$12="Yes",IF(G122="Yes","CLAIMED","NOT LISTED"),"N/A")</x:f>
        <x:v>N/A</x:v>
      </x:c>
      <x:c r="P122" t="str">
        <x:f>IF(OR('WELL INPUTS'!$B$13="Unrestricted",CODE(H122)&lt;=CODE('WELL INPUTS'!$B$13)),"WITHIN TIER","OVER CAP")</x:f>
        <x:v>WITHIN TIER</x:v>
      </x:c>
      <x:c r="Q122" t="n">
        <x:f>MAX(0,MIN(100,43+IF(L122="OK",14,-20)+IF(M122="CATALOG SOUR",24,IF(M122="NOT LISTED",-18,0))+IF(N122="ALLOY FAMILY",14,IF(N122="CORROSION CONTROL",-13,0))+IF(O122="CLAIMED",17,IF(O122="NOT LISTED",-14,0))+IF(K122="Yes",-15,0)+IF('WELL INPUTS'!$B$10="Yes",-17,0)))</x:f>
        <x:v>44</x:v>
      </x:c>
      <x:c r="R122" s="83" t="str">
        <x:f>IF(L122="BELOW","EXCLUDE — STRENGTH",IF(P122="OVER CAP","EXCLUDE — COST",IF(K122="Yes",IF('WELL INPUTS'!$B$14="No","EXCLUDE — REFERENCE","REFERENCE ONLY"),IF(OR(L122="UNKNOWN",M122="NOT LISTED",N122="CORROSION CONTROL",O122="NOT LISTED",'WELL INPUTS'!$B$10="Yes",'WELL INPUTS'!$B$4="Unknown"),"REVIEW","CANDIDATE — VERIFY"))))</x:f>
        <x:v>REVIEW</x:v>
      </x:c>
      <x:c r="S122" t="str">
        <x:f>IF(L122="BELOW","Increase minimum grade strength",IF(P122="OVER CAP","Relax cost tier or exclude",IF(K122="Yes","Identify qualified manufacturer grade",IF(M122="NOT LISTED","Confirm sour-service claim and ISO 15156",IF(O122="NOT LISTED","Obtain manufacturer collapse curve",IF(N122="CORROSION CONTROL","Model CO2 corrosion; review inhibition","Confirm corrosion, cracking, loads and connection"))))))</x:f>
        <x:v>Model CO2 corrosion; review inhibition</x:v>
      </x:c>
      <x:c r="T122" t="str">
        <x:v>https://www.tenaris.com/en/products-and-services/octg/steel-grades/</x:v>
      </x:c>
    </x:row>
    <x:row r="123" ht="23" customHeight="1">
      <x:c r="A123" t="str">
        <x:v>OCTG-0122</x:v>
      </x:c>
      <x:c r="B123" t="str">
        <x:v>Tenaris</x:v>
      </x:c>
      <x:c r="C123" t="str">
        <x:v>TN 95S</x:v>
      </x:c>
      <x:c r="D123" t="str">
        <x:v>Carbon / low alloy</x:v>
      </x:c>
      <x:c r="E123" t="str">
        <x:v>Sour service (manufacturer qualified domain)</x:v>
      </x:c>
      <x:c r="F123" s="82" t="n">
        <x:v>95</x:v>
      </x:c>
      <x:c r="G123" t="str">
        <x:v>No</x:v>
      </x:c>
      <x:c r="H123" t="str">
        <x:v>A</x:v>
      </x:c>
      <x:c r="I123" t="str">
        <x:v>Yes</x:v>
      </x:c>
      <x:c r="J123" t="str">
        <x:v>No</x:v>
      </x:c>
      <x:c r="K123" t="str">
        <x:v>No</x:v>
      </x:c>
      <x:c r="L123" t="str">
        <x:f>IF(F123="","UNKNOWN",IF(F123&lt;'WELL INPUTS'!$B$11,"BELOW","OK"))</x:f>
        <x:v>OK</x:v>
      </x:c>
      <x:c r="M123" t="str">
        <x:f>IF(AND('WELL INPUTS'!$B$4="Wet",'WELL INPUTS'!$B$5&gt;0),IF(I123="Yes","CATALOG SOUR","NOT LISTED"),"N/A")</x:f>
        <x:v>N/A</x:v>
      </x:c>
      <x:c r="N123" t="str">
        <x:f>IF(AND('WELL INPUTS'!$B$4="Wet",'WELL INPUTS'!$B$6&gt;0),IF(J123="Yes","ALLOY FAMILY","CORROSION CONTROL"),"N/A")</x:f>
        <x:v>CORROSION CONTROL</x:v>
      </x:c>
      <x:c r="O123" t="str">
        <x:f>IF('WELL INPUTS'!$B$12="Yes",IF(G123="Yes","CLAIMED","NOT LISTED"),"N/A")</x:f>
        <x:v>N/A</x:v>
      </x:c>
      <x:c r="P123" t="str">
        <x:f>IF(OR('WELL INPUTS'!$B$13="Unrestricted",CODE(H123)&lt;=CODE('WELL INPUTS'!$B$13)),"WITHIN TIER","OVER CAP")</x:f>
        <x:v>WITHIN TIER</x:v>
      </x:c>
      <x:c r="Q123" t="n">
        <x:f>MAX(0,MIN(100,43+IF(L123="OK",14,-20)+IF(M123="CATALOG SOUR",24,IF(M123="NOT LISTED",-18,0))+IF(N123="ALLOY FAMILY",14,IF(N123="CORROSION CONTROL",-13,0))+IF(O123="CLAIMED",17,IF(O123="NOT LISTED",-14,0))+IF(K123="Yes",-15,0)+IF('WELL INPUTS'!$B$10="Yes",-17,0)))</x:f>
        <x:v>44</x:v>
      </x:c>
      <x:c r="R123" s="83" t="str">
        <x:f>IF(L123="BELOW","EXCLUDE — STRENGTH",IF(P123="OVER CAP","EXCLUDE — COST",IF(K123="Yes",IF('WELL INPUTS'!$B$14="No","EXCLUDE — REFERENCE","REFERENCE ONLY"),IF(OR(L123="UNKNOWN",M123="NOT LISTED",N123="CORROSION CONTROL",O123="NOT LISTED",'WELL INPUTS'!$B$10="Yes",'WELL INPUTS'!$B$4="Unknown"),"REVIEW","CANDIDATE — VERIFY"))))</x:f>
        <x:v>REVIEW</x:v>
      </x:c>
      <x:c r="S123" t="str">
        <x:f>IF(L123="BELOW","Increase minimum grade strength",IF(P123="OVER CAP","Relax cost tier or exclude",IF(K123="Yes","Identify qualified manufacturer grade",IF(M123="NOT LISTED","Confirm sour-service claim and ISO 15156",IF(O123="NOT LISTED","Obtain manufacturer collapse curve",IF(N123="CORROSION CONTROL","Model CO2 corrosion; review inhibition","Confirm corrosion, cracking, loads and connection"))))))</x:f>
        <x:v>Model CO2 corrosion; review inhibition</x:v>
      </x:c>
      <x:c r="T123" t="str">
        <x:v>https://www.tenaris.com/en/products-and-services/octg/steel-grades/</x:v>
      </x:c>
    </x:row>
    <x:row r="124" ht="23" customHeight="1">
      <x:c r="A124" t="str">
        <x:v>OCTG-0123</x:v>
      </x:c>
      <x:c r="B124" t="str">
        <x:v>Tenaris</x:v>
      </x:c>
      <x:c r="C124" t="str">
        <x:v>TN 95SS</x:v>
      </x:c>
      <x:c r="D124" t="str">
        <x:v>Carbon / low alloy</x:v>
      </x:c>
      <x:c r="E124" t="str">
        <x:v>Sour service (manufacturer qualified domain)</x:v>
      </x:c>
      <x:c r="F124" s="82" t="n">
        <x:v>95</x:v>
      </x:c>
      <x:c r="G124" t="str">
        <x:v>No</x:v>
      </x:c>
      <x:c r="H124" t="str">
        <x:v>A</x:v>
      </x:c>
      <x:c r="I124" t="str">
        <x:v>Yes</x:v>
      </x:c>
      <x:c r="J124" t="str">
        <x:v>No</x:v>
      </x:c>
      <x:c r="K124" t="str">
        <x:v>No</x:v>
      </x:c>
      <x:c r="L124" t="str">
        <x:f>IF(F124="","UNKNOWN",IF(F124&lt;'WELL INPUTS'!$B$11,"BELOW","OK"))</x:f>
        <x:v>OK</x:v>
      </x:c>
      <x:c r="M124" t="str">
        <x:f>IF(AND('WELL INPUTS'!$B$4="Wet",'WELL INPUTS'!$B$5&gt;0),IF(I124="Yes","CATALOG SOUR","NOT LISTED"),"N/A")</x:f>
        <x:v>N/A</x:v>
      </x:c>
      <x:c r="N124" t="str">
        <x:f>IF(AND('WELL INPUTS'!$B$4="Wet",'WELL INPUTS'!$B$6&gt;0),IF(J124="Yes","ALLOY FAMILY","CORROSION CONTROL"),"N/A")</x:f>
        <x:v>CORROSION CONTROL</x:v>
      </x:c>
      <x:c r="O124" t="str">
        <x:f>IF('WELL INPUTS'!$B$12="Yes",IF(G124="Yes","CLAIMED","NOT LISTED"),"N/A")</x:f>
        <x:v>N/A</x:v>
      </x:c>
      <x:c r="P124" t="str">
        <x:f>IF(OR('WELL INPUTS'!$B$13="Unrestricted",CODE(H124)&lt;=CODE('WELL INPUTS'!$B$13)),"WITHIN TIER","OVER CAP")</x:f>
        <x:v>WITHIN TIER</x:v>
      </x:c>
      <x:c r="Q124" t="n">
        <x:f>MAX(0,MIN(100,43+IF(L124="OK",14,-20)+IF(M124="CATALOG SOUR",24,IF(M124="NOT LISTED",-18,0))+IF(N124="ALLOY FAMILY",14,IF(N124="CORROSION CONTROL",-13,0))+IF(O124="CLAIMED",17,IF(O124="NOT LISTED",-14,0))+IF(K124="Yes",-15,0)+IF('WELL INPUTS'!$B$10="Yes",-17,0)))</x:f>
        <x:v>44</x:v>
      </x:c>
      <x:c r="R124" s="83" t="str">
        <x:f>IF(L124="BELOW","EXCLUDE — STRENGTH",IF(P124="OVER CAP","EXCLUDE — COST",IF(K124="Yes",IF('WELL INPUTS'!$B$14="No","EXCLUDE — REFERENCE","REFERENCE ONLY"),IF(OR(L124="UNKNOWN",M124="NOT LISTED",N124="CORROSION CONTROL",O124="NOT LISTED",'WELL INPUTS'!$B$10="Yes",'WELL INPUTS'!$B$4="Unknown"),"REVIEW","CANDIDATE — VERIFY"))))</x:f>
        <x:v>REVIEW</x:v>
      </x:c>
      <x:c r="S124" t="str">
        <x:f>IF(L124="BELOW","Increase minimum grade strength",IF(P124="OVER CAP","Relax cost tier or exclude",IF(K124="Yes","Identify qualified manufacturer grade",IF(M124="NOT LISTED","Confirm sour-service claim and ISO 15156",IF(O124="NOT LISTED","Obtain manufacturer collapse curve",IF(N124="CORROSION CONTROL","Model CO2 corrosion; review inhibition","Confirm corrosion, cracking, loads and connection"))))))</x:f>
        <x:v>Model CO2 corrosion; review inhibition</x:v>
      </x:c>
      <x:c r="T124" t="str">
        <x:v>https://www.tenaris.com/en/products-and-services/octg/steel-grades/</x:v>
      </x:c>
    </x:row>
    <x:row r="125" ht="23" customHeight="1">
      <x:c r="A125" t="str">
        <x:v>OCTG-0124</x:v>
      </x:c>
      <x:c r="B125" t="str">
        <x:v>Tenaris</x:v>
      </x:c>
      <x:c r="C125" t="str">
        <x:v>22Cr - 140 ksi</x:v>
      </x:c>
      <x:c r="D125" t="str">
        <x:v>Duplex 22Cr</x:v>
      </x:c>
      <x:c r="E125" t="str">
        <x:v>CRA for CO2/H2S/chlorides; service to be qualified</x:v>
      </x:c>
      <x:c r="F125" s="82" t="n">
        <x:v>140</x:v>
      </x:c>
      <x:c r="G125" t="str">
        <x:v>No</x:v>
      </x:c>
      <x:c r="H125" t="str">
        <x:v>F</x:v>
      </x:c>
      <x:c r="I125" t="str">
        <x:v>Yes</x:v>
      </x:c>
      <x:c r="J125" t="str">
        <x:v>Yes</x:v>
      </x:c>
      <x:c r="K125" t="str">
        <x:v>No</x:v>
      </x:c>
      <x:c r="L125" t="str">
        <x:f>IF(F125="","UNKNOWN",IF(F125&lt;'WELL INPUTS'!$B$11,"BELOW","OK"))</x:f>
        <x:v>OK</x:v>
      </x:c>
      <x:c r="M125" t="str">
        <x:f>IF(AND('WELL INPUTS'!$B$4="Wet",'WELL INPUTS'!$B$5&gt;0),IF(I125="Yes","CATALOG SOUR","NOT LISTED"),"N/A")</x:f>
        <x:v>N/A</x:v>
      </x:c>
      <x:c r="N125" t="str">
        <x:f>IF(AND('WELL INPUTS'!$B$4="Wet",'WELL INPUTS'!$B$6&gt;0),IF(J125="Yes","ALLOY FAMILY","CORROSION CONTROL"),"N/A")</x:f>
        <x:v>ALLOY FAMILY</x:v>
      </x:c>
      <x:c r="O125" t="str">
        <x:f>IF('WELL INPUTS'!$B$12="Yes",IF(G125="Yes","CLAIMED","NOT LISTED"),"N/A")</x:f>
        <x:v>N/A</x:v>
      </x:c>
      <x:c r="P125" t="str">
        <x:f>IF(OR('WELL INPUTS'!$B$13="Unrestricted",CODE(H125)&lt;=CODE('WELL INPUTS'!$B$13)),"WITHIN TIER","OVER CAP")</x:f>
        <x:v>WITHIN TIER</x:v>
      </x:c>
      <x:c r="Q125" t="n">
        <x:f>MAX(0,MIN(100,43+IF(L125="OK",14,-20)+IF(M125="CATALOG SOUR",24,IF(M125="NOT LISTED",-18,0))+IF(N125="ALLOY FAMILY",14,IF(N125="CORROSION CONTROL",-13,0))+IF(O125="CLAIMED",17,IF(O125="NOT LISTED",-14,0))+IF(K125="Yes",-15,0)+IF('WELL INPUTS'!$B$10="Yes",-17,0)))</x:f>
        <x:v>71</x:v>
      </x:c>
      <x:c r="R125" s="83" t="str">
        <x:f>IF(L125="BELOW","EXCLUDE — STRENGTH",IF(P125="OVER CAP","EXCLUDE — COST",IF(K125="Yes",IF('WELL INPUTS'!$B$14="No","EXCLUDE — REFERENCE","REFERENCE ONLY"),IF(OR(L125="UNKNOWN",M125="NOT LISTED",N125="CORROSION CONTROL",O125="NOT LISTED",'WELL INPUTS'!$B$10="Yes",'WELL INPUTS'!$B$4="Unknown"),"REVIEW","CANDIDATE — VERIFY"))))</x:f>
        <x:v>CANDIDATE — VERIFY</x:v>
      </x:c>
      <x:c r="S125" t="str">
        <x:f>IF(L125="BELOW","Increase minimum grade strength",IF(P125="OVER CAP","Relax cost tier or exclude",IF(K125="Yes","Identify qualified manufacturer grade",IF(M125="NOT LISTED","Confirm sour-service claim and ISO 15156",IF(O125="NOT LISTED","Obtain manufacturer collapse curve",IF(N125="CORROSION CONTROL","Model CO2 corrosion; review inhibition","Confirm corrosion, cracking, loads and connection"))))))</x:f>
        <x:v>Confirm corrosion, cracking, loads and connection</x:v>
      </x:c>
      <x:c r="T125" t="str">
        <x:v>https://www.tenaris.com/en/products-and-services/octg/steel-grades/</x:v>
      </x:c>
    </x:row>
    <x:row r="126" ht="23" customHeight="1">
      <x:c r="A126" t="str">
        <x:v>OCTG-0125</x:v>
      </x:c>
      <x:c r="B126" t="str">
        <x:v>Tenaris</x:v>
      </x:c>
      <x:c r="C126" t="str">
        <x:v>22Cr - 65 ksi</x:v>
      </x:c>
      <x:c r="D126" t="str">
        <x:v>Duplex 22Cr</x:v>
      </x:c>
      <x:c r="E126" t="str">
        <x:v>CRA for CO2/H2S/chlorides; service to be qualified</x:v>
      </x:c>
      <x:c r="F126" s="82" t="n">
        <x:v>65</x:v>
      </x:c>
      <x:c r="G126" t="str">
        <x:v>No</x:v>
      </x:c>
      <x:c r="H126" t="str">
        <x:v>F</x:v>
      </x:c>
      <x:c r="I126" t="str">
        <x:v>Yes</x:v>
      </x:c>
      <x:c r="J126" t="str">
        <x:v>Yes</x:v>
      </x:c>
      <x:c r="K126" t="str">
        <x:v>No</x:v>
      </x:c>
      <x:c r="L126" t="str">
        <x:f>IF(F126="","UNKNOWN",IF(F126&lt;'WELL INPUTS'!$B$11,"BELOW","OK"))</x:f>
        <x:v>BELOW</x:v>
      </x:c>
      <x:c r="M126" t="str">
        <x:f>IF(AND('WELL INPUTS'!$B$4="Wet",'WELL INPUTS'!$B$5&gt;0),IF(I126="Yes","CATALOG SOUR","NOT LISTED"),"N/A")</x:f>
        <x:v>N/A</x:v>
      </x:c>
      <x:c r="N126" t="str">
        <x:f>IF(AND('WELL INPUTS'!$B$4="Wet",'WELL INPUTS'!$B$6&gt;0),IF(J126="Yes","ALLOY FAMILY","CORROSION CONTROL"),"N/A")</x:f>
        <x:v>ALLOY FAMILY</x:v>
      </x:c>
      <x:c r="O126" t="str">
        <x:f>IF('WELL INPUTS'!$B$12="Yes",IF(G126="Yes","CLAIMED","NOT LISTED"),"N/A")</x:f>
        <x:v>N/A</x:v>
      </x:c>
      <x:c r="P126" t="str">
        <x:f>IF(OR('WELL INPUTS'!$B$13="Unrestricted",CODE(H126)&lt;=CODE('WELL INPUTS'!$B$13)),"WITHIN TIER","OVER CAP")</x:f>
        <x:v>WITHIN TIER</x:v>
      </x:c>
      <x:c r="Q126" t="n">
        <x:f>MAX(0,MIN(100,43+IF(L126="OK",14,-20)+IF(M126="CATALOG SOUR",24,IF(M126="NOT LISTED",-18,0))+IF(N126="ALLOY FAMILY",14,IF(N126="CORROSION CONTROL",-13,0))+IF(O126="CLAIMED",17,IF(O126="NOT LISTED",-14,0))+IF(K126="Yes",-15,0)+IF('WELL INPUTS'!$B$10="Yes",-17,0)))</x:f>
        <x:v>37</x:v>
      </x:c>
      <x:c r="R126" s="83" t="str">
        <x:f>IF(L126="BELOW","EXCLUDE — STRENGTH",IF(P126="OVER CAP","EXCLUDE — COST",IF(K126="Yes",IF('WELL INPUTS'!$B$14="No","EXCLUDE — REFERENCE","REFERENCE ONLY"),IF(OR(L126="UNKNOWN",M126="NOT LISTED",N126="CORROSION CONTROL",O126="NOT LISTED",'WELL INPUTS'!$B$10="Yes",'WELL INPUTS'!$B$4="Unknown"),"REVIEW","CANDIDATE — VERIFY"))))</x:f>
        <x:v>EXCLUDE — STRENGTH</x:v>
      </x:c>
      <x:c r="S126" t="str">
        <x:f>IF(L126="BELOW","Increase minimum grade strength",IF(P126="OVER CAP","Relax cost tier or exclude",IF(K126="Yes","Identify qualified manufacturer grade",IF(M126="NOT LISTED","Confirm sour-service claim and ISO 15156",IF(O126="NOT LISTED","Obtain manufacturer collapse curve",IF(N126="CORROSION CONTROL","Model CO2 corrosion; review inhibition","Confirm corrosion, cracking, loads and connection"))))))</x:f>
        <x:v>Increase minimum grade strength</x:v>
      </x:c>
      <x:c r="T126" t="str">
        <x:v>https://www.tenaris.com/en/products-and-services/octg/steel-grades/</x:v>
      </x:c>
    </x:row>
    <x:row r="127" ht="23" customHeight="1">
      <x:c r="A127" t="str">
        <x:v>OCTG-0126</x:v>
      </x:c>
      <x:c r="B127" t="str">
        <x:v>Tenaris</x:v>
      </x:c>
      <x:c r="C127" t="str">
        <x:v>Alloy 28 - 110 ksi</x:v>
      </x:c>
      <x:c r="D127" t="str">
        <x:v>Fe-base austenitic CRA</x:v>
      </x:c>
      <x:c r="E127" t="str">
        <x:v>CRA for CO2/H2S/chlorides; service to be qualified</x:v>
      </x:c>
      <x:c r="F127" s="82" t="n">
        <x:v>110</x:v>
      </x:c>
      <x:c r="G127" t="str">
        <x:v>No</x:v>
      </x:c>
      <x:c r="H127" t="str">
        <x:v>H</x:v>
      </x:c>
      <x:c r="I127" t="str">
        <x:v>Yes</x:v>
      </x:c>
      <x:c r="J127" t="str">
        <x:v>Yes</x:v>
      </x:c>
      <x:c r="K127" t="str">
        <x:v>No</x:v>
      </x:c>
      <x:c r="L127" t="str">
        <x:f>IF(F127="","UNKNOWN",IF(F127&lt;'WELL INPUTS'!$B$11,"BELOW","OK"))</x:f>
        <x:v>OK</x:v>
      </x:c>
      <x:c r="M127" t="str">
        <x:f>IF(AND('WELL INPUTS'!$B$4="Wet",'WELL INPUTS'!$B$5&gt;0),IF(I127="Yes","CATALOG SOUR","NOT LISTED"),"N/A")</x:f>
        <x:v>N/A</x:v>
      </x:c>
      <x:c r="N127" t="str">
        <x:f>IF(AND('WELL INPUTS'!$B$4="Wet",'WELL INPUTS'!$B$6&gt;0),IF(J127="Yes","ALLOY FAMILY","CORROSION CONTROL"),"N/A")</x:f>
        <x:v>ALLOY FAMILY</x:v>
      </x:c>
      <x:c r="O127" t="str">
        <x:f>IF('WELL INPUTS'!$B$12="Yes",IF(G127="Yes","CLAIMED","NOT LISTED"),"N/A")</x:f>
        <x:v>N/A</x:v>
      </x:c>
      <x:c r="P127" t="str">
        <x:f>IF(OR('WELL INPUTS'!$B$13="Unrestricted",CODE(H127)&lt;=CODE('WELL INPUTS'!$B$13)),"WITHIN TIER","OVER CAP")</x:f>
        <x:v>WITHIN TIER</x:v>
      </x:c>
      <x:c r="Q127" t="n">
        <x:f>MAX(0,MIN(100,43+IF(L127="OK",14,-20)+IF(M127="CATALOG SOUR",24,IF(M127="NOT LISTED",-18,0))+IF(N127="ALLOY FAMILY",14,IF(N127="CORROSION CONTROL",-13,0))+IF(O127="CLAIMED",17,IF(O127="NOT LISTED",-14,0))+IF(K127="Yes",-15,0)+IF('WELL INPUTS'!$B$10="Yes",-17,0)))</x:f>
        <x:v>71</x:v>
      </x:c>
      <x:c r="R127" s="83" t="str">
        <x:f>IF(L127="BELOW","EXCLUDE — STRENGTH",IF(P127="OVER CAP","EXCLUDE — COST",IF(K127="Yes",IF('WELL INPUTS'!$B$14="No","EXCLUDE — REFERENCE","REFERENCE ONLY"),IF(OR(L127="UNKNOWN",M127="NOT LISTED",N127="CORROSION CONTROL",O127="NOT LISTED",'WELL INPUTS'!$B$10="Yes",'WELL INPUTS'!$B$4="Unknown"),"REVIEW","CANDIDATE — VERIFY"))))</x:f>
        <x:v>CANDIDATE — VERIFY</x:v>
      </x:c>
      <x:c r="S127" t="str">
        <x:f>IF(L127="BELOW","Increase minimum grade strength",IF(P127="OVER CAP","Relax cost tier or exclude",IF(K127="Yes","Identify qualified manufacturer grade",IF(M127="NOT LISTED","Confirm sour-service claim and ISO 15156",IF(O127="NOT LISTED","Obtain manufacturer collapse curve",IF(N127="CORROSION CONTROL","Model CO2 corrosion; review inhibition","Confirm corrosion, cracking, loads and connection"))))))</x:f>
        <x:v>Confirm corrosion, cracking, loads and connection</x:v>
      </x:c>
      <x:c r="T127" t="str">
        <x:v>https://www.tenaris.com/en/products-and-services/octg/steel-grades/</x:v>
      </x:c>
    </x:row>
    <x:row r="128" ht="23" customHeight="1">
      <x:c r="A128" t="str">
        <x:v>OCTG-0127</x:v>
      </x:c>
      <x:c r="B128" t="str">
        <x:v>Tenaris</x:v>
      </x:c>
      <x:c r="C128" t="str">
        <x:v>Alloy 28 - 125 ksi</x:v>
      </x:c>
      <x:c r="D128" t="str">
        <x:v>Fe-base austenitic CRA</x:v>
      </x:c>
      <x:c r="E128" t="str">
        <x:v>CRA for CO2/H2S/chlorides; service to be qualified</x:v>
      </x:c>
      <x:c r="F128" s="82" t="n">
        <x:v>125</x:v>
      </x:c>
      <x:c r="G128" t="str">
        <x:v>No</x:v>
      </x:c>
      <x:c r="H128" t="str">
        <x:v>H</x:v>
      </x:c>
      <x:c r="I128" t="str">
        <x:v>Yes</x:v>
      </x:c>
      <x:c r="J128" t="str">
        <x:v>Yes</x:v>
      </x:c>
      <x:c r="K128" t="str">
        <x:v>No</x:v>
      </x:c>
      <x:c r="L128" t="str">
        <x:f>IF(F128="","UNKNOWN",IF(F128&lt;'WELL INPUTS'!$B$11,"BELOW","OK"))</x:f>
        <x:v>OK</x:v>
      </x:c>
      <x:c r="M128" t="str">
        <x:f>IF(AND('WELL INPUTS'!$B$4="Wet",'WELL INPUTS'!$B$5&gt;0),IF(I128="Yes","CATALOG SOUR","NOT LISTED"),"N/A")</x:f>
        <x:v>N/A</x:v>
      </x:c>
      <x:c r="N128" t="str">
        <x:f>IF(AND('WELL INPUTS'!$B$4="Wet",'WELL INPUTS'!$B$6&gt;0),IF(J128="Yes","ALLOY FAMILY","CORROSION CONTROL"),"N/A")</x:f>
        <x:v>ALLOY FAMILY</x:v>
      </x:c>
      <x:c r="O128" t="str">
        <x:f>IF('WELL INPUTS'!$B$12="Yes",IF(G128="Yes","CLAIMED","NOT LISTED"),"N/A")</x:f>
        <x:v>N/A</x:v>
      </x:c>
      <x:c r="P128" t="str">
        <x:f>IF(OR('WELL INPUTS'!$B$13="Unrestricted",CODE(H128)&lt;=CODE('WELL INPUTS'!$B$13)),"WITHIN TIER","OVER CAP")</x:f>
        <x:v>WITHIN TIER</x:v>
      </x:c>
      <x:c r="Q128" t="n">
        <x:f>MAX(0,MIN(100,43+IF(L128="OK",14,-20)+IF(M128="CATALOG SOUR",24,IF(M128="NOT LISTED",-18,0))+IF(N128="ALLOY FAMILY",14,IF(N128="CORROSION CONTROL",-13,0))+IF(O128="CLAIMED",17,IF(O128="NOT LISTED",-14,0))+IF(K128="Yes",-15,0)+IF('WELL INPUTS'!$B$10="Yes",-17,0)))</x:f>
        <x:v>71</x:v>
      </x:c>
      <x:c r="R128" s="83" t="str">
        <x:f>IF(L128="BELOW","EXCLUDE — STRENGTH",IF(P128="OVER CAP","EXCLUDE — COST",IF(K128="Yes",IF('WELL INPUTS'!$B$14="No","EXCLUDE — REFERENCE","REFERENCE ONLY"),IF(OR(L128="UNKNOWN",M128="NOT LISTED",N128="CORROSION CONTROL",O128="NOT LISTED",'WELL INPUTS'!$B$10="Yes",'WELL INPUTS'!$B$4="Unknown"),"REVIEW","CANDIDATE — VERIFY"))))</x:f>
        <x:v>CANDIDATE — VERIFY</x:v>
      </x:c>
      <x:c r="S128" t="str">
        <x:f>IF(L128="BELOW","Increase minimum grade strength",IF(P128="OVER CAP","Relax cost tier or exclude",IF(K128="Yes","Identify qualified manufacturer grade",IF(M128="NOT LISTED","Confirm sour-service claim and ISO 15156",IF(O128="NOT LISTED","Obtain manufacturer collapse curve",IF(N128="CORROSION CONTROL","Model CO2 corrosion; review inhibition","Confirm corrosion, cracking, loads and connection"))))))</x:f>
        <x:v>Confirm corrosion, cracking, loads and connection</x:v>
      </x:c>
      <x:c r="T128" t="str">
        <x:v>https://www.tenaris.com/en/products-and-services/octg/steel-grades/</x:v>
      </x:c>
    </x:row>
    <x:row r="129" ht="23" customHeight="1">
      <x:c r="A129" t="str">
        <x:v>OCTG-0128</x:v>
      </x:c>
      <x:c r="B129" t="str">
        <x:v>Tenaris</x:v>
      </x:c>
      <x:c r="C129" t="str">
        <x:v>Alloy 29 - 110 ksi</x:v>
      </x:c>
      <x:c r="D129" t="str">
        <x:v>Fe-base austenitic CRA</x:v>
      </x:c>
      <x:c r="E129" t="str">
        <x:v>CRA for CO2/H2S/chlorides; service to be qualified</x:v>
      </x:c>
      <x:c r="F129" s="82" t="n">
        <x:v>110</x:v>
      </x:c>
      <x:c r="G129" t="str">
        <x:v>No</x:v>
      </x:c>
      <x:c r="H129" t="str">
        <x:v>H</x:v>
      </x:c>
      <x:c r="I129" t="str">
        <x:v>Yes</x:v>
      </x:c>
      <x:c r="J129" t="str">
        <x:v>Yes</x:v>
      </x:c>
      <x:c r="K129" t="str">
        <x:v>No</x:v>
      </x:c>
      <x:c r="L129" t="str">
        <x:f>IF(F129="","UNKNOWN",IF(F129&lt;'WELL INPUTS'!$B$11,"BELOW","OK"))</x:f>
        <x:v>OK</x:v>
      </x:c>
      <x:c r="M129" t="str">
        <x:f>IF(AND('WELL INPUTS'!$B$4="Wet",'WELL INPUTS'!$B$5&gt;0),IF(I129="Yes","CATALOG SOUR","NOT LISTED"),"N/A")</x:f>
        <x:v>N/A</x:v>
      </x:c>
      <x:c r="N129" t="str">
        <x:f>IF(AND('WELL INPUTS'!$B$4="Wet",'WELL INPUTS'!$B$6&gt;0),IF(J129="Yes","ALLOY FAMILY","CORROSION CONTROL"),"N/A")</x:f>
        <x:v>ALLOY FAMILY</x:v>
      </x:c>
      <x:c r="O129" t="str">
        <x:f>IF('WELL INPUTS'!$B$12="Yes",IF(G129="Yes","CLAIMED","NOT LISTED"),"N/A")</x:f>
        <x:v>N/A</x:v>
      </x:c>
      <x:c r="P129" t="str">
        <x:f>IF(OR('WELL INPUTS'!$B$13="Unrestricted",CODE(H129)&lt;=CODE('WELL INPUTS'!$B$13)),"WITHIN TIER","OVER CAP")</x:f>
        <x:v>WITHIN TIER</x:v>
      </x:c>
      <x:c r="Q129" t="n">
        <x:f>MAX(0,MIN(100,43+IF(L129="OK",14,-20)+IF(M129="CATALOG SOUR",24,IF(M129="NOT LISTED",-18,0))+IF(N129="ALLOY FAMILY",14,IF(N129="CORROSION CONTROL",-13,0))+IF(O129="CLAIMED",17,IF(O129="NOT LISTED",-14,0))+IF(K129="Yes",-15,0)+IF('WELL INPUTS'!$B$10="Yes",-17,0)))</x:f>
        <x:v>71</x:v>
      </x:c>
      <x:c r="R129" s="83" t="str">
        <x:f>IF(L129="BELOW","EXCLUDE — STRENGTH",IF(P129="OVER CAP","EXCLUDE — COST",IF(K129="Yes",IF('WELL INPUTS'!$B$14="No","EXCLUDE — REFERENCE","REFERENCE ONLY"),IF(OR(L129="UNKNOWN",M129="NOT LISTED",N129="CORROSION CONTROL",O129="NOT LISTED",'WELL INPUTS'!$B$10="Yes",'WELL INPUTS'!$B$4="Unknown"),"REVIEW","CANDIDATE — VERIFY"))))</x:f>
        <x:v>CANDIDATE — VERIFY</x:v>
      </x:c>
      <x:c r="S129" t="str">
        <x:f>IF(L129="BELOW","Increase minimum grade strength",IF(P129="OVER CAP","Relax cost tier or exclude",IF(K129="Yes","Identify qualified manufacturer grade",IF(M129="NOT LISTED","Confirm sour-service claim and ISO 15156",IF(O129="NOT LISTED","Obtain manufacturer collapse curve",IF(N129="CORROSION CONTROL","Model CO2 corrosion; review inhibition","Confirm corrosion, cracking, loads and connection"))))))</x:f>
        <x:v>Confirm corrosion, cracking, loads and connection</x:v>
      </x:c>
      <x:c r="T129" t="str">
        <x:v>https://www.tenaris.com/en/products-and-services/octg/steel-grades/</x:v>
      </x:c>
    </x:row>
    <x:row r="130" ht="23" customHeight="1">
      <x:c r="A130" t="str">
        <x:v>OCTG-0129</x:v>
      </x:c>
      <x:c r="B130" t="str">
        <x:v>Tenaris</x:v>
      </x:c>
      <x:c r="C130" t="str">
        <x:v>Alloy 29 - 125 ksi</x:v>
      </x:c>
      <x:c r="D130" t="str">
        <x:v>Fe-base austenitic CRA</x:v>
      </x:c>
      <x:c r="E130" t="str">
        <x:v>CRA for CO2/H2S/chlorides; service to be qualified</x:v>
      </x:c>
      <x:c r="F130" s="82" t="n">
        <x:v>125</x:v>
      </x:c>
      <x:c r="G130" t="str">
        <x:v>No</x:v>
      </x:c>
      <x:c r="H130" t="str">
        <x:v>H</x:v>
      </x:c>
      <x:c r="I130" t="str">
        <x:v>Yes</x:v>
      </x:c>
      <x:c r="J130" t="str">
        <x:v>Yes</x:v>
      </x:c>
      <x:c r="K130" t="str">
        <x:v>No</x:v>
      </x:c>
      <x:c r="L130" t="str">
        <x:f>IF(F130="","UNKNOWN",IF(F130&lt;'WELL INPUTS'!$B$11,"BELOW","OK"))</x:f>
        <x:v>OK</x:v>
      </x:c>
      <x:c r="M130" t="str">
        <x:f>IF(AND('WELL INPUTS'!$B$4="Wet",'WELL INPUTS'!$B$5&gt;0),IF(I130="Yes","CATALOG SOUR","NOT LISTED"),"N/A")</x:f>
        <x:v>N/A</x:v>
      </x:c>
      <x:c r="N130" t="str">
        <x:f>IF(AND('WELL INPUTS'!$B$4="Wet",'WELL INPUTS'!$B$6&gt;0),IF(J130="Yes","ALLOY FAMILY","CORROSION CONTROL"),"N/A")</x:f>
        <x:v>ALLOY FAMILY</x:v>
      </x:c>
      <x:c r="O130" t="str">
        <x:f>IF('WELL INPUTS'!$B$12="Yes",IF(G130="Yes","CLAIMED","NOT LISTED"),"N/A")</x:f>
        <x:v>N/A</x:v>
      </x:c>
      <x:c r="P130" t="str">
        <x:f>IF(OR('WELL INPUTS'!$B$13="Unrestricted",CODE(H130)&lt;=CODE('WELL INPUTS'!$B$13)),"WITHIN TIER","OVER CAP")</x:f>
        <x:v>WITHIN TIER</x:v>
      </x:c>
      <x:c r="Q130" t="n">
        <x:f>MAX(0,MIN(100,43+IF(L130="OK",14,-20)+IF(M130="CATALOG SOUR",24,IF(M130="NOT LISTED",-18,0))+IF(N130="ALLOY FAMILY",14,IF(N130="CORROSION CONTROL",-13,0))+IF(O130="CLAIMED",17,IF(O130="NOT LISTED",-14,0))+IF(K130="Yes",-15,0)+IF('WELL INPUTS'!$B$10="Yes",-17,0)))</x:f>
        <x:v>71</x:v>
      </x:c>
      <x:c r="R130" s="83" t="str">
        <x:f>IF(L130="BELOW","EXCLUDE — STRENGTH",IF(P130="OVER CAP","EXCLUDE — COST",IF(K130="Yes",IF('WELL INPUTS'!$B$14="No","EXCLUDE — REFERENCE","REFERENCE ONLY"),IF(OR(L130="UNKNOWN",M130="NOT LISTED",N130="CORROSION CONTROL",O130="NOT LISTED",'WELL INPUTS'!$B$10="Yes",'WELL INPUTS'!$B$4="Unknown"),"REVIEW","CANDIDATE — VERIFY"))))</x:f>
        <x:v>CANDIDATE — VERIFY</x:v>
      </x:c>
      <x:c r="S130" t="str">
        <x:f>IF(L130="BELOW","Increase minimum grade strength",IF(P130="OVER CAP","Relax cost tier or exclude",IF(K130="Yes","Identify qualified manufacturer grade",IF(M130="NOT LISTED","Confirm sour-service claim and ISO 15156",IF(O130="NOT LISTED","Obtain manufacturer collapse curve",IF(N130="CORROSION CONTROL","Model CO2 corrosion; review inhibition","Confirm corrosion, cracking, loads and connection"))))))</x:f>
        <x:v>Confirm corrosion, cracking, loads and connection</x:v>
      </x:c>
      <x:c r="T130" t="str">
        <x:v>https://www.tenaris.com/en/products-and-services/octg/steel-grades/</x:v>
      </x:c>
    </x:row>
    <x:row r="131" ht="23" customHeight="1">
      <x:c r="A131" t="str">
        <x:v>OCTG-0130</x:v>
      </x:c>
      <x:c r="B131" t="str">
        <x:v>Tenaris</x:v>
      </x:c>
      <x:c r="C131" t="str">
        <x:v>TN 110Cr3</x:v>
      </x:c>
      <x:c r="D131" t="str">
        <x:v>Low-Cr alloy steel</x:v>
      </x:c>
      <x:c r="E131" t="str">
        <x:v>Critical-service CO2 corrosion mitigation (low Cr)</x:v>
      </x:c>
      <x:c r="F131" s="82" t="n">
        <x:v>110</x:v>
      </x:c>
      <x:c r="G131" t="str">
        <x:v>No</x:v>
      </x:c>
      <x:c r="H131" t="str">
        <x:v>B</x:v>
      </x:c>
      <x:c r="I131" t="str">
        <x:v>No</x:v>
      </x:c>
      <x:c r="J131" t="str">
        <x:v>Yes</x:v>
      </x:c>
      <x:c r="K131" t="str">
        <x:v>No</x:v>
      </x:c>
      <x:c r="L131" t="str">
        <x:f>IF(F131="","UNKNOWN",IF(F131&lt;'WELL INPUTS'!$B$11,"BELOW","OK"))</x:f>
        <x:v>OK</x:v>
      </x:c>
      <x:c r="M131" t="str">
        <x:f>IF(AND('WELL INPUTS'!$B$4="Wet",'WELL INPUTS'!$B$5&gt;0),IF(I131="Yes","CATALOG SOUR","NOT LISTED"),"N/A")</x:f>
        <x:v>N/A</x:v>
      </x:c>
      <x:c r="N131" t="str">
        <x:f>IF(AND('WELL INPUTS'!$B$4="Wet",'WELL INPUTS'!$B$6&gt;0),IF(J131="Yes","ALLOY FAMILY","CORROSION CONTROL"),"N/A")</x:f>
        <x:v>ALLOY FAMILY</x:v>
      </x:c>
      <x:c r="O131" t="str">
        <x:f>IF('WELL INPUTS'!$B$12="Yes",IF(G131="Yes","CLAIMED","NOT LISTED"),"N/A")</x:f>
        <x:v>N/A</x:v>
      </x:c>
      <x:c r="P131" t="str">
        <x:f>IF(OR('WELL INPUTS'!$B$13="Unrestricted",CODE(H131)&lt;=CODE('WELL INPUTS'!$B$13)),"WITHIN TIER","OVER CAP")</x:f>
        <x:v>WITHIN TIER</x:v>
      </x:c>
      <x:c r="Q131" t="n">
        <x:f>MAX(0,MIN(100,43+IF(L131="OK",14,-20)+IF(M131="CATALOG SOUR",24,IF(M131="NOT LISTED",-18,0))+IF(N131="ALLOY FAMILY",14,IF(N131="CORROSION CONTROL",-13,0))+IF(O131="CLAIMED",17,IF(O131="NOT LISTED",-14,0))+IF(K131="Yes",-15,0)+IF('WELL INPUTS'!$B$10="Yes",-17,0)))</x:f>
        <x:v>71</x:v>
      </x:c>
      <x:c r="R131" s="83" t="str">
        <x:f>IF(L131="BELOW","EXCLUDE — STRENGTH",IF(P131="OVER CAP","EXCLUDE — COST",IF(K131="Yes",IF('WELL INPUTS'!$B$14="No","EXCLUDE — REFERENCE","REFERENCE ONLY"),IF(OR(L131="UNKNOWN",M131="NOT LISTED",N131="CORROSION CONTROL",O131="NOT LISTED",'WELL INPUTS'!$B$10="Yes",'WELL INPUTS'!$B$4="Unknown"),"REVIEW","CANDIDATE — VERIFY"))))</x:f>
        <x:v>CANDIDATE — VERIFY</x:v>
      </x:c>
      <x:c r="S131" t="str">
        <x:f>IF(L131="BELOW","Increase minimum grade strength",IF(P131="OVER CAP","Relax cost tier or exclude",IF(K131="Yes","Identify qualified manufacturer grade",IF(M131="NOT LISTED","Confirm sour-service claim and ISO 15156",IF(O131="NOT LISTED","Obtain manufacturer collapse curve",IF(N131="CORROSION CONTROL","Model CO2 corrosion; review inhibition","Confirm corrosion, cracking, loads and connection"))))))</x:f>
        <x:v>Confirm corrosion, cracking, loads and connection</x:v>
      </x:c>
      <x:c r="T131" t="str">
        <x:v>https://www.tenaris.com/en/products-and-services/octg/steel-grades/</x:v>
      </x:c>
    </x:row>
    <x:row r="132" ht="23" customHeight="1">
      <x:c r="A132" t="str">
        <x:v>OCTG-0131</x:v>
      </x:c>
      <x:c r="B132" t="str">
        <x:v>Tenaris</x:v>
      </x:c>
      <x:c r="C132" t="str">
        <x:v>TN 80Cr3</x:v>
      </x:c>
      <x:c r="D132" t="str">
        <x:v>Low-Cr alloy steel</x:v>
      </x:c>
      <x:c r="E132" t="str">
        <x:v>Critical-service CO2 corrosion mitigation (low Cr)</x:v>
      </x:c>
      <x:c r="F132" s="82" t="n">
        <x:v>80</x:v>
      </x:c>
      <x:c r="G132" t="str">
        <x:v>No</x:v>
      </x:c>
      <x:c r="H132" t="str">
        <x:v>B</x:v>
      </x:c>
      <x:c r="I132" t="str">
        <x:v>No</x:v>
      </x:c>
      <x:c r="J132" t="str">
        <x:v>Yes</x:v>
      </x:c>
      <x:c r="K132" t="str">
        <x:v>No</x:v>
      </x:c>
      <x:c r="L132" t="str">
        <x:f>IF(F132="","UNKNOWN",IF(F132&lt;'WELL INPUTS'!$B$11,"BELOW","OK"))</x:f>
        <x:v>OK</x:v>
      </x:c>
      <x:c r="M132" t="str">
        <x:f>IF(AND('WELL INPUTS'!$B$4="Wet",'WELL INPUTS'!$B$5&gt;0),IF(I132="Yes","CATALOG SOUR","NOT LISTED"),"N/A")</x:f>
        <x:v>N/A</x:v>
      </x:c>
      <x:c r="N132" t="str">
        <x:f>IF(AND('WELL INPUTS'!$B$4="Wet",'WELL INPUTS'!$B$6&gt;0),IF(J132="Yes","ALLOY FAMILY","CORROSION CONTROL"),"N/A")</x:f>
        <x:v>ALLOY FAMILY</x:v>
      </x:c>
      <x:c r="O132" t="str">
        <x:f>IF('WELL INPUTS'!$B$12="Yes",IF(G132="Yes","CLAIMED","NOT LISTED"),"N/A")</x:f>
        <x:v>N/A</x:v>
      </x:c>
      <x:c r="P132" t="str">
        <x:f>IF(OR('WELL INPUTS'!$B$13="Unrestricted",CODE(H132)&lt;=CODE('WELL INPUTS'!$B$13)),"WITHIN TIER","OVER CAP")</x:f>
        <x:v>WITHIN TIER</x:v>
      </x:c>
      <x:c r="Q132" t="n">
        <x:f>MAX(0,MIN(100,43+IF(L132="OK",14,-20)+IF(M132="CATALOG SOUR",24,IF(M132="NOT LISTED",-18,0))+IF(N132="ALLOY FAMILY",14,IF(N132="CORROSION CONTROL",-13,0))+IF(O132="CLAIMED",17,IF(O132="NOT LISTED",-14,0))+IF(K132="Yes",-15,0)+IF('WELL INPUTS'!$B$10="Yes",-17,0)))</x:f>
        <x:v>71</x:v>
      </x:c>
      <x:c r="R132" s="83" t="str">
        <x:f>IF(L132="BELOW","EXCLUDE — STRENGTH",IF(P132="OVER CAP","EXCLUDE — COST",IF(K132="Yes",IF('WELL INPUTS'!$B$14="No","EXCLUDE — REFERENCE","REFERENCE ONLY"),IF(OR(L132="UNKNOWN",M132="NOT LISTED",N132="CORROSION CONTROL",O132="NOT LISTED",'WELL INPUTS'!$B$10="Yes",'WELL INPUTS'!$B$4="Unknown"),"REVIEW","CANDIDATE — VERIFY"))))</x:f>
        <x:v>CANDIDATE — VERIFY</x:v>
      </x:c>
      <x:c r="S132" t="str">
        <x:f>IF(L132="BELOW","Increase minimum grade strength",IF(P132="OVER CAP","Relax cost tier or exclude",IF(K132="Yes","Identify qualified manufacturer grade",IF(M132="NOT LISTED","Confirm sour-service claim and ISO 15156",IF(O132="NOT LISTED","Obtain manufacturer collapse curve",IF(N132="CORROSION CONTROL","Model CO2 corrosion; review inhibition","Confirm corrosion, cracking, loads and connection"))))))</x:f>
        <x:v>Confirm corrosion, cracking, loads and connection</x:v>
      </x:c>
      <x:c r="T132" t="str">
        <x:v>https://www.tenaris.com/en/products-and-services/octg/steel-grades/</x:v>
      </x:c>
    </x:row>
    <x:row r="133" ht="23" customHeight="1">
      <x:c r="A133" t="str">
        <x:v>OCTG-0132</x:v>
      </x:c>
      <x:c r="B133" t="str">
        <x:v>Tenaris</x:v>
      </x:c>
      <x:c r="C133" t="str">
        <x:v>TN 95Cr3</x:v>
      </x:c>
      <x:c r="D133" t="str">
        <x:v>Low-Cr alloy steel</x:v>
      </x:c>
      <x:c r="E133" t="str">
        <x:v>Critical-service CO2 corrosion mitigation (low Cr)</x:v>
      </x:c>
      <x:c r="F133" s="82" t="n">
        <x:v>95</x:v>
      </x:c>
      <x:c r="G133" t="str">
        <x:v>No</x:v>
      </x:c>
      <x:c r="H133" t="str">
        <x:v>B</x:v>
      </x:c>
      <x:c r="I133" t="str">
        <x:v>No</x:v>
      </x:c>
      <x:c r="J133" t="str">
        <x:v>Yes</x:v>
      </x:c>
      <x:c r="K133" t="str">
        <x:v>No</x:v>
      </x:c>
      <x:c r="L133" t="str">
        <x:f>IF(F133="","UNKNOWN",IF(F133&lt;'WELL INPUTS'!$B$11,"BELOW","OK"))</x:f>
        <x:v>OK</x:v>
      </x:c>
      <x:c r="M133" t="str">
        <x:f>IF(AND('WELL INPUTS'!$B$4="Wet",'WELL INPUTS'!$B$5&gt;0),IF(I133="Yes","CATALOG SOUR","NOT LISTED"),"N/A")</x:f>
        <x:v>N/A</x:v>
      </x:c>
      <x:c r="N133" t="str">
        <x:f>IF(AND('WELL INPUTS'!$B$4="Wet",'WELL INPUTS'!$B$6&gt;0),IF(J133="Yes","ALLOY FAMILY","CORROSION CONTROL"),"N/A")</x:f>
        <x:v>ALLOY FAMILY</x:v>
      </x:c>
      <x:c r="O133" t="str">
        <x:f>IF('WELL INPUTS'!$B$12="Yes",IF(G133="Yes","CLAIMED","NOT LISTED"),"N/A")</x:f>
        <x:v>N/A</x:v>
      </x:c>
      <x:c r="P133" t="str">
        <x:f>IF(OR('WELL INPUTS'!$B$13="Unrestricted",CODE(H133)&lt;=CODE('WELL INPUTS'!$B$13)),"WITHIN TIER","OVER CAP")</x:f>
        <x:v>WITHIN TIER</x:v>
      </x:c>
      <x:c r="Q133" t="n">
        <x:f>MAX(0,MIN(100,43+IF(L133="OK",14,-20)+IF(M133="CATALOG SOUR",24,IF(M133="NOT LISTED",-18,0))+IF(N133="ALLOY FAMILY",14,IF(N133="CORROSION CONTROL",-13,0))+IF(O133="CLAIMED",17,IF(O133="NOT LISTED",-14,0))+IF(K133="Yes",-15,0)+IF('WELL INPUTS'!$B$10="Yes",-17,0)))</x:f>
        <x:v>71</x:v>
      </x:c>
      <x:c r="R133" s="83" t="str">
        <x:f>IF(L133="BELOW","EXCLUDE — STRENGTH",IF(P133="OVER CAP","EXCLUDE — COST",IF(K133="Yes",IF('WELL INPUTS'!$B$14="No","EXCLUDE — REFERENCE","REFERENCE ONLY"),IF(OR(L133="UNKNOWN",M133="NOT LISTED",N133="CORROSION CONTROL",O133="NOT LISTED",'WELL INPUTS'!$B$10="Yes",'WELL INPUTS'!$B$4="Unknown"),"REVIEW","CANDIDATE — VERIFY"))))</x:f>
        <x:v>CANDIDATE — VERIFY</x:v>
      </x:c>
      <x:c r="S133" t="str">
        <x:f>IF(L133="BELOW","Increase minimum grade strength",IF(P133="OVER CAP","Relax cost tier or exclude",IF(K133="Yes","Identify qualified manufacturer grade",IF(M133="NOT LISTED","Confirm sour-service claim and ISO 15156",IF(O133="NOT LISTED","Obtain manufacturer collapse curve",IF(N133="CORROSION CONTROL","Model CO2 corrosion; review inhibition","Confirm corrosion, cracking, loads and connection"))))))</x:f>
        <x:v>Confirm corrosion, cracking, loads and connection</x:v>
      </x:c>
      <x:c r="T133" t="str">
        <x:v>https://www.tenaris.com/en/products-and-services/octg/steel-grades/</x:v>
      </x:c>
    </x:row>
    <x:row r="134" ht="23" customHeight="1">
      <x:c r="A134" t="str">
        <x:v>OCTG-0133</x:v>
      </x:c>
      <x:c r="B134" t="str">
        <x:v>Tenaris</x:v>
      </x:c>
      <x:c r="C134" t="str">
        <x:v>TN 80Cr13</x:v>
      </x:c>
      <x:c r="D134" t="str">
        <x:v>Martensitic 13Cr</x:v>
      </x:c>
      <x:c r="E134" t="str">
        <x:v>Sweet wet CO2</x:v>
      </x:c>
      <x:c r="F134" s="82" t="n">
        <x:v>80</x:v>
      </x:c>
      <x:c r="G134" t="str">
        <x:v>No</x:v>
      </x:c>
      <x:c r="H134" t="str">
        <x:v>D</x:v>
      </x:c>
      <x:c r="I134" t="str">
        <x:v>No</x:v>
      </x:c>
      <x:c r="J134" t="str">
        <x:v>Yes</x:v>
      </x:c>
      <x:c r="K134" t="str">
        <x:v>No</x:v>
      </x:c>
      <x:c r="L134" t="str">
        <x:f>IF(F134="","UNKNOWN",IF(F134&lt;'WELL INPUTS'!$B$11,"BELOW","OK"))</x:f>
        <x:v>OK</x:v>
      </x:c>
      <x:c r="M134" t="str">
        <x:f>IF(AND('WELL INPUTS'!$B$4="Wet",'WELL INPUTS'!$B$5&gt;0),IF(I134="Yes","CATALOG SOUR","NOT LISTED"),"N/A")</x:f>
        <x:v>N/A</x:v>
      </x:c>
      <x:c r="N134" t="str">
        <x:f>IF(AND('WELL INPUTS'!$B$4="Wet",'WELL INPUTS'!$B$6&gt;0),IF(J134="Yes","ALLOY FAMILY","CORROSION CONTROL"),"N/A")</x:f>
        <x:v>ALLOY FAMILY</x:v>
      </x:c>
      <x:c r="O134" t="str">
        <x:f>IF('WELL INPUTS'!$B$12="Yes",IF(G134="Yes","CLAIMED","NOT LISTED"),"N/A")</x:f>
        <x:v>N/A</x:v>
      </x:c>
      <x:c r="P134" t="str">
        <x:f>IF(OR('WELL INPUTS'!$B$13="Unrestricted",CODE(H134)&lt;=CODE('WELL INPUTS'!$B$13)),"WITHIN TIER","OVER CAP")</x:f>
        <x:v>WITHIN TIER</x:v>
      </x:c>
      <x:c r="Q134" t="n">
        <x:f>MAX(0,MIN(100,43+IF(L134="OK",14,-20)+IF(M134="CATALOG SOUR",24,IF(M134="NOT LISTED",-18,0))+IF(N134="ALLOY FAMILY",14,IF(N134="CORROSION CONTROL",-13,0))+IF(O134="CLAIMED",17,IF(O134="NOT LISTED",-14,0))+IF(K134="Yes",-15,0)+IF('WELL INPUTS'!$B$10="Yes",-17,0)))</x:f>
        <x:v>71</x:v>
      </x:c>
      <x:c r="R134" s="83" t="str">
        <x:f>IF(L134="BELOW","EXCLUDE — STRENGTH",IF(P134="OVER CAP","EXCLUDE — COST",IF(K134="Yes",IF('WELL INPUTS'!$B$14="No","EXCLUDE — REFERENCE","REFERENCE ONLY"),IF(OR(L134="UNKNOWN",M134="NOT LISTED",N134="CORROSION CONTROL",O134="NOT LISTED",'WELL INPUTS'!$B$10="Yes",'WELL INPUTS'!$B$4="Unknown"),"REVIEW","CANDIDATE — VERIFY"))))</x:f>
        <x:v>CANDIDATE — VERIFY</x:v>
      </x:c>
      <x:c r="S134" t="str">
        <x:f>IF(L134="BELOW","Increase minimum grade strength",IF(P134="OVER CAP","Relax cost tier or exclude",IF(K134="Yes","Identify qualified manufacturer grade",IF(M134="NOT LISTED","Confirm sour-service claim and ISO 15156",IF(O134="NOT LISTED","Obtain manufacturer collapse curve",IF(N134="CORROSION CONTROL","Model CO2 corrosion; review inhibition","Confirm corrosion, cracking, loads and connection"))))))</x:f>
        <x:v>Confirm corrosion, cracking, loads and connection</x:v>
      </x:c>
      <x:c r="T134" t="str">
        <x:v>https://www.tenaris.com/en/products-and-services/octg/steel-grades/</x:v>
      </x:c>
    </x:row>
    <x:row r="135" ht="23" customHeight="1">
      <x:c r="A135" t="str">
        <x:v>OCTG-0134</x:v>
      </x:c>
      <x:c r="B135" t="str">
        <x:v>Tenaris</x:v>
      </x:c>
      <x:c r="C135" t="str">
        <x:v>TN 85Cr13</x:v>
      </x:c>
      <x:c r="D135" t="str">
        <x:v>Martensitic 13Cr</x:v>
      </x:c>
      <x:c r="E135" t="str">
        <x:v>Sweet wet CO2</x:v>
      </x:c>
      <x:c r="F135" s="82" t="n">
        <x:v>85</x:v>
      </x:c>
      <x:c r="G135" t="str">
        <x:v>No</x:v>
      </x:c>
      <x:c r="H135" t="str">
        <x:v>D</x:v>
      </x:c>
      <x:c r="I135" t="str">
        <x:v>No</x:v>
      </x:c>
      <x:c r="J135" t="str">
        <x:v>Yes</x:v>
      </x:c>
      <x:c r="K135" t="str">
        <x:v>No</x:v>
      </x:c>
      <x:c r="L135" t="str">
        <x:f>IF(F135="","UNKNOWN",IF(F135&lt;'WELL INPUTS'!$B$11,"BELOW","OK"))</x:f>
        <x:v>OK</x:v>
      </x:c>
      <x:c r="M135" t="str">
        <x:f>IF(AND('WELL INPUTS'!$B$4="Wet",'WELL INPUTS'!$B$5&gt;0),IF(I135="Yes","CATALOG SOUR","NOT LISTED"),"N/A")</x:f>
        <x:v>N/A</x:v>
      </x:c>
      <x:c r="N135" t="str">
        <x:f>IF(AND('WELL INPUTS'!$B$4="Wet",'WELL INPUTS'!$B$6&gt;0),IF(J135="Yes","ALLOY FAMILY","CORROSION CONTROL"),"N/A")</x:f>
        <x:v>ALLOY FAMILY</x:v>
      </x:c>
      <x:c r="O135" t="str">
        <x:f>IF('WELL INPUTS'!$B$12="Yes",IF(G135="Yes","CLAIMED","NOT LISTED"),"N/A")</x:f>
        <x:v>N/A</x:v>
      </x:c>
      <x:c r="P135" t="str">
        <x:f>IF(OR('WELL INPUTS'!$B$13="Unrestricted",CODE(H135)&lt;=CODE('WELL INPUTS'!$B$13)),"WITHIN TIER","OVER CAP")</x:f>
        <x:v>WITHIN TIER</x:v>
      </x:c>
      <x:c r="Q135" t="n">
        <x:f>MAX(0,MIN(100,43+IF(L135="OK",14,-20)+IF(M135="CATALOG SOUR",24,IF(M135="NOT LISTED",-18,0))+IF(N135="ALLOY FAMILY",14,IF(N135="CORROSION CONTROL",-13,0))+IF(O135="CLAIMED",17,IF(O135="NOT LISTED",-14,0))+IF(K135="Yes",-15,0)+IF('WELL INPUTS'!$B$10="Yes",-17,0)))</x:f>
        <x:v>71</x:v>
      </x:c>
      <x:c r="R135" s="83" t="str">
        <x:f>IF(L135="BELOW","EXCLUDE — STRENGTH",IF(P135="OVER CAP","EXCLUDE — COST",IF(K135="Yes",IF('WELL INPUTS'!$B$14="No","EXCLUDE — REFERENCE","REFERENCE ONLY"),IF(OR(L135="UNKNOWN",M135="NOT LISTED",N135="CORROSION CONTROL",O135="NOT LISTED",'WELL INPUTS'!$B$10="Yes",'WELL INPUTS'!$B$4="Unknown"),"REVIEW","CANDIDATE — VERIFY"))))</x:f>
        <x:v>CANDIDATE — VERIFY</x:v>
      </x:c>
      <x:c r="S135" t="str">
        <x:f>IF(L135="BELOW","Increase minimum grade strength",IF(P135="OVER CAP","Relax cost tier or exclude",IF(K135="Yes","Identify qualified manufacturer grade",IF(M135="NOT LISTED","Confirm sour-service claim and ISO 15156",IF(O135="NOT LISTED","Obtain manufacturer collapse curve",IF(N135="CORROSION CONTROL","Model CO2 corrosion; review inhibition","Confirm corrosion, cracking, loads and connection"))))))</x:f>
        <x:v>Confirm corrosion, cracking, loads and connection</x:v>
      </x:c>
      <x:c r="T135" t="str">
        <x:v>https://www.tenaris.com/en/products-and-services/octg/steel-grades/</x:v>
      </x:c>
    </x:row>
    <x:row r="136" ht="23" customHeight="1">
      <x:c r="A136" t="str">
        <x:v>OCTG-0135</x:v>
      </x:c>
      <x:c r="B136" t="str">
        <x:v>Tenaris</x:v>
      </x:c>
      <x:c r="C136" t="str">
        <x:v>TN 95Cr13</x:v>
      </x:c>
      <x:c r="D136" t="str">
        <x:v>Martensitic 13Cr</x:v>
      </x:c>
      <x:c r="E136" t="str">
        <x:v>Sweet wet CO2</x:v>
      </x:c>
      <x:c r="F136" s="82" t="n">
        <x:v>95</x:v>
      </x:c>
      <x:c r="G136" t="str">
        <x:v>No</x:v>
      </x:c>
      <x:c r="H136" t="str">
        <x:v>D</x:v>
      </x:c>
      <x:c r="I136" t="str">
        <x:v>No</x:v>
      </x:c>
      <x:c r="J136" t="str">
        <x:v>Yes</x:v>
      </x:c>
      <x:c r="K136" t="str">
        <x:v>No</x:v>
      </x:c>
      <x:c r="L136" t="str">
        <x:f>IF(F136="","UNKNOWN",IF(F136&lt;'WELL INPUTS'!$B$11,"BELOW","OK"))</x:f>
        <x:v>OK</x:v>
      </x:c>
      <x:c r="M136" t="str">
        <x:f>IF(AND('WELL INPUTS'!$B$4="Wet",'WELL INPUTS'!$B$5&gt;0),IF(I136="Yes","CATALOG SOUR","NOT LISTED"),"N/A")</x:f>
        <x:v>N/A</x:v>
      </x:c>
      <x:c r="N136" t="str">
        <x:f>IF(AND('WELL INPUTS'!$B$4="Wet",'WELL INPUTS'!$B$6&gt;0),IF(J136="Yes","ALLOY FAMILY","CORROSION CONTROL"),"N/A")</x:f>
        <x:v>ALLOY FAMILY</x:v>
      </x:c>
      <x:c r="O136" t="str">
        <x:f>IF('WELL INPUTS'!$B$12="Yes",IF(G136="Yes","CLAIMED","NOT LISTED"),"N/A")</x:f>
        <x:v>N/A</x:v>
      </x:c>
      <x:c r="P136" t="str">
        <x:f>IF(OR('WELL INPUTS'!$B$13="Unrestricted",CODE(H136)&lt;=CODE('WELL INPUTS'!$B$13)),"WITHIN TIER","OVER CAP")</x:f>
        <x:v>WITHIN TIER</x:v>
      </x:c>
      <x:c r="Q136" t="n">
        <x:f>MAX(0,MIN(100,43+IF(L136="OK",14,-20)+IF(M136="CATALOG SOUR",24,IF(M136="NOT LISTED",-18,0))+IF(N136="ALLOY FAMILY",14,IF(N136="CORROSION CONTROL",-13,0))+IF(O136="CLAIMED",17,IF(O136="NOT LISTED",-14,0))+IF(K136="Yes",-15,0)+IF('WELL INPUTS'!$B$10="Yes",-17,0)))</x:f>
        <x:v>71</x:v>
      </x:c>
      <x:c r="R136" s="83" t="str">
        <x:f>IF(L136="BELOW","EXCLUDE — STRENGTH",IF(P136="OVER CAP","EXCLUDE — COST",IF(K136="Yes",IF('WELL INPUTS'!$B$14="No","EXCLUDE — REFERENCE","REFERENCE ONLY"),IF(OR(L136="UNKNOWN",M136="NOT LISTED",N136="CORROSION CONTROL",O136="NOT LISTED",'WELL INPUTS'!$B$10="Yes",'WELL INPUTS'!$B$4="Unknown"),"REVIEW","CANDIDATE — VERIFY"))))</x:f>
        <x:v>CANDIDATE — VERIFY</x:v>
      </x:c>
      <x:c r="S136" t="str">
        <x:f>IF(L136="BELOW","Increase minimum grade strength",IF(P136="OVER CAP","Relax cost tier or exclude",IF(K136="Yes","Identify qualified manufacturer grade",IF(M136="NOT LISTED","Confirm sour-service claim and ISO 15156",IF(O136="NOT LISTED","Obtain manufacturer collapse curve",IF(N136="CORROSION CONTROL","Model CO2 corrosion; review inhibition","Confirm corrosion, cracking, loads and connection"))))))</x:f>
        <x:v>Confirm corrosion, cracking, loads and connection</x:v>
      </x:c>
      <x:c r="T136" t="str">
        <x:v>https://www.tenaris.com/en/products-and-services/octg/steel-grades/</x:v>
      </x:c>
    </x:row>
    <x:row r="137" ht="23" customHeight="1">
      <x:c r="A137" t="str">
        <x:v>OCTG-0136</x:v>
      </x:c>
      <x:c r="B137" t="str">
        <x:v>Tenaris</x:v>
      </x:c>
      <x:c r="C137" t="str">
        <x:v>TN 110Cr13M</x:v>
      </x:c>
      <x:c r="D137" t="str">
        <x:v>Modified / super 13Cr</x:v>
      </x:c>
      <x:c r="E137" t="str">
        <x:v>Enhanced CO2 resistance / limited H2S depending on grade</x:v>
      </x:c>
      <x:c r="F137" s="82" t="n">
        <x:v>110</x:v>
      </x:c>
      <x:c r="G137" t="str">
        <x:v>No</x:v>
      </x:c>
      <x:c r="H137" t="str">
        <x:v>E</x:v>
      </x:c>
      <x:c r="I137" t="str">
        <x:v>Yes</x:v>
      </x:c>
      <x:c r="J137" t="str">
        <x:v>Yes</x:v>
      </x:c>
      <x:c r="K137" t="str">
        <x:v>No</x:v>
      </x:c>
      <x:c r="L137" t="str">
        <x:f>IF(F137="","UNKNOWN",IF(F137&lt;'WELL INPUTS'!$B$11,"BELOW","OK"))</x:f>
        <x:v>OK</x:v>
      </x:c>
      <x:c r="M137" t="str">
        <x:f>IF(AND('WELL INPUTS'!$B$4="Wet",'WELL INPUTS'!$B$5&gt;0),IF(I137="Yes","CATALOG SOUR","NOT LISTED"),"N/A")</x:f>
        <x:v>N/A</x:v>
      </x:c>
      <x:c r="N137" t="str">
        <x:f>IF(AND('WELL INPUTS'!$B$4="Wet",'WELL INPUTS'!$B$6&gt;0),IF(J137="Yes","ALLOY FAMILY","CORROSION CONTROL"),"N/A")</x:f>
        <x:v>ALLOY FAMILY</x:v>
      </x:c>
      <x:c r="O137" t="str">
        <x:f>IF('WELL INPUTS'!$B$12="Yes",IF(G137="Yes","CLAIMED","NOT LISTED"),"N/A")</x:f>
        <x:v>N/A</x:v>
      </x:c>
      <x:c r="P137" t="str">
        <x:f>IF(OR('WELL INPUTS'!$B$13="Unrestricted",CODE(H137)&lt;=CODE('WELL INPUTS'!$B$13)),"WITHIN TIER","OVER CAP")</x:f>
        <x:v>WITHIN TIER</x:v>
      </x:c>
      <x:c r="Q137" t="n">
        <x:f>MAX(0,MIN(100,43+IF(L137="OK",14,-20)+IF(M137="CATALOG SOUR",24,IF(M137="NOT LISTED",-18,0))+IF(N137="ALLOY FAMILY",14,IF(N137="CORROSION CONTROL",-13,0))+IF(O137="CLAIMED",17,IF(O137="NOT LISTED",-14,0))+IF(K137="Yes",-15,0)+IF('WELL INPUTS'!$B$10="Yes",-17,0)))</x:f>
        <x:v>71</x:v>
      </x:c>
      <x:c r="R137" s="83" t="str">
        <x:f>IF(L137="BELOW","EXCLUDE — STRENGTH",IF(P137="OVER CAP","EXCLUDE — COST",IF(K137="Yes",IF('WELL INPUTS'!$B$14="No","EXCLUDE — REFERENCE","REFERENCE ONLY"),IF(OR(L137="UNKNOWN",M137="NOT LISTED",N137="CORROSION CONTROL",O137="NOT LISTED",'WELL INPUTS'!$B$10="Yes",'WELL INPUTS'!$B$4="Unknown"),"REVIEW","CANDIDATE — VERIFY"))))</x:f>
        <x:v>CANDIDATE — VERIFY</x:v>
      </x:c>
      <x:c r="S137" t="str">
        <x:f>IF(L137="BELOW","Increase minimum grade strength",IF(P137="OVER CAP","Relax cost tier or exclude",IF(K137="Yes","Identify qualified manufacturer grade",IF(M137="NOT LISTED","Confirm sour-service claim and ISO 15156",IF(O137="NOT LISTED","Obtain manufacturer collapse curve",IF(N137="CORROSION CONTROL","Model CO2 corrosion; review inhibition","Confirm corrosion, cracking, loads and connection"))))))</x:f>
        <x:v>Confirm corrosion, cracking, loads and connection</x:v>
      </x:c>
      <x:c r="T137" t="str">
        <x:v>https://www.tenaris.com/en/products-and-services/octg/steel-grades/</x:v>
      </x:c>
    </x:row>
    <x:row r="138" ht="23" customHeight="1">
      <x:c r="A138" t="str">
        <x:v>OCTG-0137</x:v>
      </x:c>
      <x:c r="B138" t="str">
        <x:v>Tenaris</x:v>
      </x:c>
      <x:c r="C138" t="str">
        <x:v>TN 110Cr13S</x:v>
      </x:c>
      <x:c r="D138" t="str">
        <x:v>Modified / super 13Cr</x:v>
      </x:c>
      <x:c r="E138" t="str">
        <x:v>Enhanced CO2 resistance / limited H2S depending on grade</x:v>
      </x:c>
      <x:c r="F138" s="82" t="n">
        <x:v>110</x:v>
      </x:c>
      <x:c r="G138" t="str">
        <x:v>No</x:v>
      </x:c>
      <x:c r="H138" t="str">
        <x:v>E</x:v>
      </x:c>
      <x:c r="I138" t="str">
        <x:v>Yes</x:v>
      </x:c>
      <x:c r="J138" t="str">
        <x:v>Yes</x:v>
      </x:c>
      <x:c r="K138" t="str">
        <x:v>No</x:v>
      </x:c>
      <x:c r="L138" t="str">
        <x:f>IF(F138="","UNKNOWN",IF(F138&lt;'WELL INPUTS'!$B$11,"BELOW","OK"))</x:f>
        <x:v>OK</x:v>
      </x:c>
      <x:c r="M138" t="str">
        <x:f>IF(AND('WELL INPUTS'!$B$4="Wet",'WELL INPUTS'!$B$5&gt;0),IF(I138="Yes","CATALOG SOUR","NOT LISTED"),"N/A")</x:f>
        <x:v>N/A</x:v>
      </x:c>
      <x:c r="N138" t="str">
        <x:f>IF(AND('WELL INPUTS'!$B$4="Wet",'WELL INPUTS'!$B$6&gt;0),IF(J138="Yes","ALLOY FAMILY","CORROSION CONTROL"),"N/A")</x:f>
        <x:v>ALLOY FAMILY</x:v>
      </x:c>
      <x:c r="O138" t="str">
        <x:f>IF('WELL INPUTS'!$B$12="Yes",IF(G138="Yes","CLAIMED","NOT LISTED"),"N/A")</x:f>
        <x:v>N/A</x:v>
      </x:c>
      <x:c r="P138" t="str">
        <x:f>IF(OR('WELL INPUTS'!$B$13="Unrestricted",CODE(H138)&lt;=CODE('WELL INPUTS'!$B$13)),"WITHIN TIER","OVER CAP")</x:f>
        <x:v>WITHIN TIER</x:v>
      </x:c>
      <x:c r="Q138" t="n">
        <x:f>MAX(0,MIN(100,43+IF(L138="OK",14,-20)+IF(M138="CATALOG SOUR",24,IF(M138="NOT LISTED",-18,0))+IF(N138="ALLOY FAMILY",14,IF(N138="CORROSION CONTROL",-13,0))+IF(O138="CLAIMED",17,IF(O138="NOT LISTED",-14,0))+IF(K138="Yes",-15,0)+IF('WELL INPUTS'!$B$10="Yes",-17,0)))</x:f>
        <x:v>71</x:v>
      </x:c>
      <x:c r="R138" s="83" t="str">
        <x:f>IF(L138="BELOW","EXCLUDE — STRENGTH",IF(P138="OVER CAP","EXCLUDE — COST",IF(K138="Yes",IF('WELL INPUTS'!$B$14="No","EXCLUDE — REFERENCE","REFERENCE ONLY"),IF(OR(L138="UNKNOWN",M138="NOT LISTED",N138="CORROSION CONTROL",O138="NOT LISTED",'WELL INPUTS'!$B$10="Yes",'WELL INPUTS'!$B$4="Unknown"),"REVIEW","CANDIDATE — VERIFY"))))</x:f>
        <x:v>CANDIDATE — VERIFY</x:v>
      </x:c>
      <x:c r="S138" t="str">
        <x:f>IF(L138="BELOW","Increase minimum grade strength",IF(P138="OVER CAP","Relax cost tier or exclude",IF(K138="Yes","Identify qualified manufacturer grade",IF(M138="NOT LISTED","Confirm sour-service claim and ISO 15156",IF(O138="NOT LISTED","Obtain manufacturer collapse curve",IF(N138="CORROSION CONTROL","Model CO2 corrosion; review inhibition","Confirm corrosion, cracking, loads and connection"))))))</x:f>
        <x:v>Confirm corrosion, cracking, loads and connection</x:v>
      </x:c>
      <x:c r="T138" t="str">
        <x:v>https://www.tenaris.com/en/products-and-services/octg/steel-grades/</x:v>
      </x:c>
    </x:row>
    <x:row r="139" ht="23" customHeight="1">
      <x:c r="A139" t="str">
        <x:v>OCTG-0138</x:v>
      </x:c>
      <x:c r="B139" t="str">
        <x:v>Tenaris</x:v>
      </x:c>
      <x:c r="C139" t="str">
        <x:v>TN 125Cr13S</x:v>
      </x:c>
      <x:c r="D139" t="str">
        <x:v>Modified / super 13Cr</x:v>
      </x:c>
      <x:c r="E139" t="str">
        <x:v>Enhanced CO2 resistance / limited H2S depending on grade</x:v>
      </x:c>
      <x:c r="F139" s="82" t="n">
        <x:v>125</x:v>
      </x:c>
      <x:c r="G139" t="str">
        <x:v>No</x:v>
      </x:c>
      <x:c r="H139" t="str">
        <x:v>E</x:v>
      </x:c>
      <x:c r="I139" t="str">
        <x:v>Yes</x:v>
      </x:c>
      <x:c r="J139" t="str">
        <x:v>Yes</x:v>
      </x:c>
      <x:c r="K139" t="str">
        <x:v>No</x:v>
      </x:c>
      <x:c r="L139" t="str">
        <x:f>IF(F139="","UNKNOWN",IF(F139&lt;'WELL INPUTS'!$B$11,"BELOW","OK"))</x:f>
        <x:v>OK</x:v>
      </x:c>
      <x:c r="M139" t="str">
        <x:f>IF(AND('WELL INPUTS'!$B$4="Wet",'WELL INPUTS'!$B$5&gt;0),IF(I139="Yes","CATALOG SOUR","NOT LISTED"),"N/A")</x:f>
        <x:v>N/A</x:v>
      </x:c>
      <x:c r="N139" t="str">
        <x:f>IF(AND('WELL INPUTS'!$B$4="Wet",'WELL INPUTS'!$B$6&gt;0),IF(J139="Yes","ALLOY FAMILY","CORROSION CONTROL"),"N/A")</x:f>
        <x:v>ALLOY FAMILY</x:v>
      </x:c>
      <x:c r="O139" t="str">
        <x:f>IF('WELL INPUTS'!$B$12="Yes",IF(G139="Yes","CLAIMED","NOT LISTED"),"N/A")</x:f>
        <x:v>N/A</x:v>
      </x:c>
      <x:c r="P139" t="str">
        <x:f>IF(OR('WELL INPUTS'!$B$13="Unrestricted",CODE(H139)&lt;=CODE('WELL INPUTS'!$B$13)),"WITHIN TIER","OVER CAP")</x:f>
        <x:v>WITHIN TIER</x:v>
      </x:c>
      <x:c r="Q139" t="n">
        <x:f>MAX(0,MIN(100,43+IF(L139="OK",14,-20)+IF(M139="CATALOG SOUR",24,IF(M139="NOT LISTED",-18,0))+IF(N139="ALLOY FAMILY",14,IF(N139="CORROSION CONTROL",-13,0))+IF(O139="CLAIMED",17,IF(O139="NOT LISTED",-14,0))+IF(K139="Yes",-15,0)+IF('WELL INPUTS'!$B$10="Yes",-17,0)))</x:f>
        <x:v>71</x:v>
      </x:c>
      <x:c r="R139" s="83" t="str">
        <x:f>IF(L139="BELOW","EXCLUDE — STRENGTH",IF(P139="OVER CAP","EXCLUDE — COST",IF(K139="Yes",IF('WELL INPUTS'!$B$14="No","EXCLUDE — REFERENCE","REFERENCE ONLY"),IF(OR(L139="UNKNOWN",M139="NOT LISTED",N139="CORROSION CONTROL",O139="NOT LISTED",'WELL INPUTS'!$B$10="Yes",'WELL INPUTS'!$B$4="Unknown"),"REVIEW","CANDIDATE — VERIFY"))))</x:f>
        <x:v>CANDIDATE — VERIFY</x:v>
      </x:c>
      <x:c r="S139" t="str">
        <x:f>IF(L139="BELOW","Increase minimum grade strength",IF(P139="OVER CAP","Relax cost tier or exclude",IF(K139="Yes","Identify qualified manufacturer grade",IF(M139="NOT LISTED","Confirm sour-service claim and ISO 15156",IF(O139="NOT LISTED","Obtain manufacturer collapse curve",IF(N139="CORROSION CONTROL","Model CO2 corrosion; review inhibition","Confirm corrosion, cracking, loads and connection"))))))</x:f>
        <x:v>Confirm corrosion, cracking, loads and connection</x:v>
      </x:c>
      <x:c r="T139" t="str">
        <x:v>https://www.tenaris.com/en/products-and-services/octg/steel-grades/</x:v>
      </x:c>
    </x:row>
    <x:row r="140" ht="23" customHeight="1">
      <x:c r="A140" t="str">
        <x:v>OCTG-0139</x:v>
      </x:c>
      <x:c r="B140" t="str">
        <x:v>Tenaris</x:v>
      </x:c>
      <x:c r="C140" t="str">
        <x:v>TN 125Cr13U</x:v>
      </x:c>
      <x:c r="D140" t="str">
        <x:v>Modified / super 13Cr</x:v>
      </x:c>
      <x:c r="E140" t="str">
        <x:v>Enhanced CO2 resistance / limited H2S depending on grade</x:v>
      </x:c>
      <x:c r="F140" s="82" t="n">
        <x:v>125</x:v>
      </x:c>
      <x:c r="G140" t="str">
        <x:v>No</x:v>
      </x:c>
      <x:c r="H140" t="str">
        <x:v>E</x:v>
      </x:c>
      <x:c r="I140" t="str">
        <x:v>Yes</x:v>
      </x:c>
      <x:c r="J140" t="str">
        <x:v>Yes</x:v>
      </x:c>
      <x:c r="K140" t="str">
        <x:v>No</x:v>
      </x:c>
      <x:c r="L140" t="str">
        <x:f>IF(F140="","UNKNOWN",IF(F140&lt;'WELL INPUTS'!$B$11,"BELOW","OK"))</x:f>
        <x:v>OK</x:v>
      </x:c>
      <x:c r="M140" t="str">
        <x:f>IF(AND('WELL INPUTS'!$B$4="Wet",'WELL INPUTS'!$B$5&gt;0),IF(I140="Yes","CATALOG SOUR","NOT LISTED"),"N/A")</x:f>
        <x:v>N/A</x:v>
      </x:c>
      <x:c r="N140" t="str">
        <x:f>IF(AND('WELL INPUTS'!$B$4="Wet",'WELL INPUTS'!$B$6&gt;0),IF(J140="Yes","ALLOY FAMILY","CORROSION CONTROL"),"N/A")</x:f>
        <x:v>ALLOY FAMILY</x:v>
      </x:c>
      <x:c r="O140" t="str">
        <x:f>IF('WELL INPUTS'!$B$12="Yes",IF(G140="Yes","CLAIMED","NOT LISTED"),"N/A")</x:f>
        <x:v>N/A</x:v>
      </x:c>
      <x:c r="P140" t="str">
        <x:f>IF(OR('WELL INPUTS'!$B$13="Unrestricted",CODE(H140)&lt;=CODE('WELL INPUTS'!$B$13)),"WITHIN TIER","OVER CAP")</x:f>
        <x:v>WITHIN TIER</x:v>
      </x:c>
      <x:c r="Q140" t="n">
        <x:f>MAX(0,MIN(100,43+IF(L140="OK",14,-20)+IF(M140="CATALOG SOUR",24,IF(M140="NOT LISTED",-18,0))+IF(N140="ALLOY FAMILY",14,IF(N140="CORROSION CONTROL",-13,0))+IF(O140="CLAIMED",17,IF(O140="NOT LISTED",-14,0))+IF(K140="Yes",-15,0)+IF('WELL INPUTS'!$B$10="Yes",-17,0)))</x:f>
        <x:v>71</x:v>
      </x:c>
      <x:c r="R140" s="83" t="str">
        <x:f>IF(L140="BELOW","EXCLUDE — STRENGTH",IF(P140="OVER CAP","EXCLUDE — COST",IF(K140="Yes",IF('WELL INPUTS'!$B$14="No","EXCLUDE — REFERENCE","REFERENCE ONLY"),IF(OR(L140="UNKNOWN",M140="NOT LISTED",N140="CORROSION CONTROL",O140="NOT LISTED",'WELL INPUTS'!$B$10="Yes",'WELL INPUTS'!$B$4="Unknown"),"REVIEW","CANDIDATE — VERIFY"))))</x:f>
        <x:v>CANDIDATE — VERIFY</x:v>
      </x:c>
      <x:c r="S140" t="str">
        <x:f>IF(L140="BELOW","Increase minimum grade strength",IF(P140="OVER CAP","Relax cost tier or exclude",IF(K140="Yes","Identify qualified manufacturer grade",IF(M140="NOT LISTED","Confirm sour-service claim and ISO 15156",IF(O140="NOT LISTED","Obtain manufacturer collapse curve",IF(N140="CORROSION CONTROL","Model CO2 corrosion; review inhibition","Confirm corrosion, cracking, loads and connection"))))))</x:f>
        <x:v>Confirm corrosion, cracking, loads and connection</x:v>
      </x:c>
      <x:c r="T140" t="str">
        <x:v>https://www.tenaris.com/en/products-and-services/octg/steel-grades/</x:v>
      </x:c>
    </x:row>
    <x:row r="141" ht="23" customHeight="1">
      <x:c r="A141" t="str">
        <x:v>OCTG-0140</x:v>
      </x:c>
      <x:c r="B141" t="str">
        <x:v>Tenaris</x:v>
      </x:c>
      <x:c r="C141" t="str">
        <x:v>TN 95Cr13M</x:v>
      </x:c>
      <x:c r="D141" t="str">
        <x:v>Modified / super 13Cr</x:v>
      </x:c>
      <x:c r="E141" t="str">
        <x:v>Enhanced CO2 resistance / limited H2S depending on grade</x:v>
      </x:c>
      <x:c r="F141" s="82" t="n">
        <x:v>95</x:v>
      </x:c>
      <x:c r="G141" t="str">
        <x:v>No</x:v>
      </x:c>
      <x:c r="H141" t="str">
        <x:v>E</x:v>
      </x:c>
      <x:c r="I141" t="str">
        <x:v>Yes</x:v>
      </x:c>
      <x:c r="J141" t="str">
        <x:v>Yes</x:v>
      </x:c>
      <x:c r="K141" t="str">
        <x:v>No</x:v>
      </x:c>
      <x:c r="L141" t="str">
        <x:f>IF(F141="","UNKNOWN",IF(F141&lt;'WELL INPUTS'!$B$11,"BELOW","OK"))</x:f>
        <x:v>OK</x:v>
      </x:c>
      <x:c r="M141" t="str">
        <x:f>IF(AND('WELL INPUTS'!$B$4="Wet",'WELL INPUTS'!$B$5&gt;0),IF(I141="Yes","CATALOG SOUR","NOT LISTED"),"N/A")</x:f>
        <x:v>N/A</x:v>
      </x:c>
      <x:c r="N141" t="str">
        <x:f>IF(AND('WELL INPUTS'!$B$4="Wet",'WELL INPUTS'!$B$6&gt;0),IF(J141="Yes","ALLOY FAMILY","CORROSION CONTROL"),"N/A")</x:f>
        <x:v>ALLOY FAMILY</x:v>
      </x:c>
      <x:c r="O141" t="str">
        <x:f>IF('WELL INPUTS'!$B$12="Yes",IF(G141="Yes","CLAIMED","NOT LISTED"),"N/A")</x:f>
        <x:v>N/A</x:v>
      </x:c>
      <x:c r="P141" t="str">
        <x:f>IF(OR('WELL INPUTS'!$B$13="Unrestricted",CODE(H141)&lt;=CODE('WELL INPUTS'!$B$13)),"WITHIN TIER","OVER CAP")</x:f>
        <x:v>WITHIN TIER</x:v>
      </x:c>
      <x:c r="Q141" t="n">
        <x:f>MAX(0,MIN(100,43+IF(L141="OK",14,-20)+IF(M141="CATALOG SOUR",24,IF(M141="NOT LISTED",-18,0))+IF(N141="ALLOY FAMILY",14,IF(N141="CORROSION CONTROL",-13,0))+IF(O141="CLAIMED",17,IF(O141="NOT LISTED",-14,0))+IF(K141="Yes",-15,0)+IF('WELL INPUTS'!$B$10="Yes",-17,0)))</x:f>
        <x:v>71</x:v>
      </x:c>
      <x:c r="R141" s="83" t="str">
        <x:f>IF(L141="BELOW","EXCLUDE — STRENGTH",IF(P141="OVER CAP","EXCLUDE — COST",IF(K141="Yes",IF('WELL INPUTS'!$B$14="No","EXCLUDE — REFERENCE","REFERENCE ONLY"),IF(OR(L141="UNKNOWN",M141="NOT LISTED",N141="CORROSION CONTROL",O141="NOT LISTED",'WELL INPUTS'!$B$10="Yes",'WELL INPUTS'!$B$4="Unknown"),"REVIEW","CANDIDATE — VERIFY"))))</x:f>
        <x:v>CANDIDATE — VERIFY</x:v>
      </x:c>
      <x:c r="S141" t="str">
        <x:f>IF(L141="BELOW","Increase minimum grade strength",IF(P141="OVER CAP","Relax cost tier or exclude",IF(K141="Yes","Identify qualified manufacturer grade",IF(M141="NOT LISTED","Confirm sour-service claim and ISO 15156",IF(O141="NOT LISTED","Obtain manufacturer collapse curve",IF(N141="CORROSION CONTROL","Model CO2 corrosion; review inhibition","Confirm corrosion, cracking, loads and connection"))))))</x:f>
        <x:v>Confirm corrosion, cracking, loads and connection</x:v>
      </x:c>
      <x:c r="T141" t="str">
        <x:v>https://www.tenaris.com/en/products-and-services/octg/steel-grades/</x:v>
      </x:c>
    </x:row>
    <x:row r="142" ht="23" customHeight="1">
      <x:c r="A142" t="str">
        <x:v>OCTG-0141</x:v>
      </x:c>
      <x:c r="B142" t="str">
        <x:v>Tenaris</x:v>
      </x:c>
      <x:c r="C142" t="str">
        <x:v>TN 95Cr13S</x:v>
      </x:c>
      <x:c r="D142" t="str">
        <x:v>Modified / super 13Cr</x:v>
      </x:c>
      <x:c r="E142" t="str">
        <x:v>Enhanced CO2 resistance / limited H2S depending on grade</x:v>
      </x:c>
      <x:c r="F142" s="82" t="n">
        <x:v>95</x:v>
      </x:c>
      <x:c r="G142" t="str">
        <x:v>No</x:v>
      </x:c>
      <x:c r="H142" t="str">
        <x:v>E</x:v>
      </x:c>
      <x:c r="I142" t="str">
        <x:v>Yes</x:v>
      </x:c>
      <x:c r="J142" t="str">
        <x:v>Yes</x:v>
      </x:c>
      <x:c r="K142" t="str">
        <x:v>No</x:v>
      </x:c>
      <x:c r="L142" t="str">
        <x:f>IF(F142="","UNKNOWN",IF(F142&lt;'WELL INPUTS'!$B$11,"BELOW","OK"))</x:f>
        <x:v>OK</x:v>
      </x:c>
      <x:c r="M142" t="str">
        <x:f>IF(AND('WELL INPUTS'!$B$4="Wet",'WELL INPUTS'!$B$5&gt;0),IF(I142="Yes","CATALOG SOUR","NOT LISTED"),"N/A")</x:f>
        <x:v>N/A</x:v>
      </x:c>
      <x:c r="N142" t="str">
        <x:f>IF(AND('WELL INPUTS'!$B$4="Wet",'WELL INPUTS'!$B$6&gt;0),IF(J142="Yes","ALLOY FAMILY","CORROSION CONTROL"),"N/A")</x:f>
        <x:v>ALLOY FAMILY</x:v>
      </x:c>
      <x:c r="O142" t="str">
        <x:f>IF('WELL INPUTS'!$B$12="Yes",IF(G142="Yes","CLAIMED","NOT LISTED"),"N/A")</x:f>
        <x:v>N/A</x:v>
      </x:c>
      <x:c r="P142" t="str">
        <x:f>IF(OR('WELL INPUTS'!$B$13="Unrestricted",CODE(H142)&lt;=CODE('WELL INPUTS'!$B$13)),"WITHIN TIER","OVER CAP")</x:f>
        <x:v>WITHIN TIER</x:v>
      </x:c>
      <x:c r="Q142" t="n">
        <x:f>MAX(0,MIN(100,43+IF(L142="OK",14,-20)+IF(M142="CATALOG SOUR",24,IF(M142="NOT LISTED",-18,0))+IF(N142="ALLOY FAMILY",14,IF(N142="CORROSION CONTROL",-13,0))+IF(O142="CLAIMED",17,IF(O142="NOT LISTED",-14,0))+IF(K142="Yes",-15,0)+IF('WELL INPUTS'!$B$10="Yes",-17,0)))</x:f>
        <x:v>71</x:v>
      </x:c>
      <x:c r="R142" s="83" t="str">
        <x:f>IF(L142="BELOW","EXCLUDE — STRENGTH",IF(P142="OVER CAP","EXCLUDE — COST",IF(K142="Yes",IF('WELL INPUTS'!$B$14="No","EXCLUDE — REFERENCE","REFERENCE ONLY"),IF(OR(L142="UNKNOWN",M142="NOT LISTED",N142="CORROSION CONTROL",O142="NOT LISTED",'WELL INPUTS'!$B$10="Yes",'WELL INPUTS'!$B$4="Unknown"),"REVIEW","CANDIDATE — VERIFY"))))</x:f>
        <x:v>CANDIDATE — VERIFY</x:v>
      </x:c>
      <x:c r="S142" t="str">
        <x:f>IF(L142="BELOW","Increase minimum grade strength",IF(P142="OVER CAP","Relax cost tier or exclude",IF(K142="Yes","Identify qualified manufacturer grade",IF(M142="NOT LISTED","Confirm sour-service claim and ISO 15156",IF(O142="NOT LISTED","Obtain manufacturer collapse curve",IF(N142="CORROSION CONTROL","Model CO2 corrosion; review inhibition","Confirm corrosion, cracking, loads and connection"))))))</x:f>
        <x:v>Confirm corrosion, cracking, loads and connection</x:v>
      </x:c>
      <x:c r="T142" t="str">
        <x:v>https://www.tenaris.com/en/products-and-services/octg/steel-grades/</x:v>
      </x:c>
    </x:row>
    <x:row r="143" ht="23" customHeight="1">
      <x:c r="A143" t="str">
        <x:v>OCTG-0142</x:v>
      </x:c>
      <x:c r="B143" t="str">
        <x:v>Tenaris</x:v>
      </x:c>
      <x:c r="C143" t="str">
        <x:v>Alloy 825 - 110 ksi</x:v>
      </x:c>
      <x:c r="D143" t="str">
        <x:v>Ni-base CRA</x:v>
      </x:c>
      <x:c r="E143" t="str">
        <x:v>CRA for CO2/H2S/chlorides; service to be qualified</x:v>
      </x:c>
      <x:c r="F143" s="82" t="n">
        <x:v>110</x:v>
      </x:c>
      <x:c r="G143" t="str">
        <x:v>No</x:v>
      </x:c>
      <x:c r="H143" t="str">
        <x:v>I</x:v>
      </x:c>
      <x:c r="I143" t="str">
        <x:v>Yes</x:v>
      </x:c>
      <x:c r="J143" t="str">
        <x:v>Yes</x:v>
      </x:c>
      <x:c r="K143" t="str">
        <x:v>No</x:v>
      </x:c>
      <x:c r="L143" t="str">
        <x:f>IF(F143="","UNKNOWN",IF(F143&lt;'WELL INPUTS'!$B$11,"BELOW","OK"))</x:f>
        <x:v>OK</x:v>
      </x:c>
      <x:c r="M143" t="str">
        <x:f>IF(AND('WELL INPUTS'!$B$4="Wet",'WELL INPUTS'!$B$5&gt;0),IF(I143="Yes","CATALOG SOUR","NOT LISTED"),"N/A")</x:f>
        <x:v>N/A</x:v>
      </x:c>
      <x:c r="N143" t="str">
        <x:f>IF(AND('WELL INPUTS'!$B$4="Wet",'WELL INPUTS'!$B$6&gt;0),IF(J143="Yes","ALLOY FAMILY","CORROSION CONTROL"),"N/A")</x:f>
        <x:v>ALLOY FAMILY</x:v>
      </x:c>
      <x:c r="O143" t="str">
        <x:f>IF('WELL INPUTS'!$B$12="Yes",IF(G143="Yes","CLAIMED","NOT LISTED"),"N/A")</x:f>
        <x:v>N/A</x:v>
      </x:c>
      <x:c r="P143" t="str">
        <x:f>IF(OR('WELL INPUTS'!$B$13="Unrestricted",CODE(H143)&lt;=CODE('WELL INPUTS'!$B$13)),"WITHIN TIER","OVER CAP")</x:f>
        <x:v>WITHIN TIER</x:v>
      </x:c>
      <x:c r="Q143" t="n">
        <x:f>MAX(0,MIN(100,43+IF(L143="OK",14,-20)+IF(M143="CATALOG SOUR",24,IF(M143="NOT LISTED",-18,0))+IF(N143="ALLOY FAMILY",14,IF(N143="CORROSION CONTROL",-13,0))+IF(O143="CLAIMED",17,IF(O143="NOT LISTED",-14,0))+IF(K143="Yes",-15,0)+IF('WELL INPUTS'!$B$10="Yes",-17,0)))</x:f>
        <x:v>71</x:v>
      </x:c>
      <x:c r="R143" s="83" t="str">
        <x:f>IF(L143="BELOW","EXCLUDE — STRENGTH",IF(P143="OVER CAP","EXCLUDE — COST",IF(K143="Yes",IF('WELL INPUTS'!$B$14="No","EXCLUDE — REFERENCE","REFERENCE ONLY"),IF(OR(L143="UNKNOWN",M143="NOT LISTED",N143="CORROSION CONTROL",O143="NOT LISTED",'WELL INPUTS'!$B$10="Yes",'WELL INPUTS'!$B$4="Unknown"),"REVIEW","CANDIDATE — VERIFY"))))</x:f>
        <x:v>CANDIDATE — VERIFY</x:v>
      </x:c>
      <x:c r="S143" t="str">
        <x:f>IF(L143="BELOW","Increase minimum grade strength",IF(P143="OVER CAP","Relax cost tier or exclude",IF(K143="Yes","Identify qualified manufacturer grade",IF(M143="NOT LISTED","Confirm sour-service claim and ISO 15156",IF(O143="NOT LISTED","Obtain manufacturer collapse curve",IF(N143="CORROSION CONTROL","Model CO2 corrosion; review inhibition","Confirm corrosion, cracking, loads and connection"))))))</x:f>
        <x:v>Confirm corrosion, cracking, loads and connection</x:v>
      </x:c>
      <x:c r="T143" t="str">
        <x:v>https://www.tenaris.com/en/products-and-services/octg/steel-grades/</x:v>
      </x:c>
    </x:row>
    <x:row r="144" ht="23" customHeight="1">
      <x:c r="A144" t="str">
        <x:v>OCTG-0143</x:v>
      </x:c>
      <x:c r="B144" t="str">
        <x:v>Tenaris</x:v>
      </x:c>
      <x:c r="C144" t="str">
        <x:v>Alloy 825 - 125 ksi</x:v>
      </x:c>
      <x:c r="D144" t="str">
        <x:v>Ni-base CRA</x:v>
      </x:c>
      <x:c r="E144" t="str">
        <x:v>CRA for CO2/H2S/chlorides; service to be qualified</x:v>
      </x:c>
      <x:c r="F144" s="82" t="n">
        <x:v>125</x:v>
      </x:c>
      <x:c r="G144" t="str">
        <x:v>No</x:v>
      </x:c>
      <x:c r="H144" t="str">
        <x:v>I</x:v>
      </x:c>
      <x:c r="I144" t="str">
        <x:v>Yes</x:v>
      </x:c>
      <x:c r="J144" t="str">
        <x:v>Yes</x:v>
      </x:c>
      <x:c r="K144" t="str">
        <x:v>No</x:v>
      </x:c>
      <x:c r="L144" t="str">
        <x:f>IF(F144="","UNKNOWN",IF(F144&lt;'WELL INPUTS'!$B$11,"BELOW","OK"))</x:f>
        <x:v>OK</x:v>
      </x:c>
      <x:c r="M144" t="str">
        <x:f>IF(AND('WELL INPUTS'!$B$4="Wet",'WELL INPUTS'!$B$5&gt;0),IF(I144="Yes","CATALOG SOUR","NOT LISTED"),"N/A")</x:f>
        <x:v>N/A</x:v>
      </x:c>
      <x:c r="N144" t="str">
        <x:f>IF(AND('WELL INPUTS'!$B$4="Wet",'WELL INPUTS'!$B$6&gt;0),IF(J144="Yes","ALLOY FAMILY","CORROSION CONTROL"),"N/A")</x:f>
        <x:v>ALLOY FAMILY</x:v>
      </x:c>
      <x:c r="O144" t="str">
        <x:f>IF('WELL INPUTS'!$B$12="Yes",IF(G144="Yes","CLAIMED","NOT LISTED"),"N/A")</x:f>
        <x:v>N/A</x:v>
      </x:c>
      <x:c r="P144" t="str">
        <x:f>IF(OR('WELL INPUTS'!$B$13="Unrestricted",CODE(H144)&lt;=CODE('WELL INPUTS'!$B$13)),"WITHIN TIER","OVER CAP")</x:f>
        <x:v>WITHIN TIER</x:v>
      </x:c>
      <x:c r="Q144" t="n">
        <x:f>MAX(0,MIN(100,43+IF(L144="OK",14,-20)+IF(M144="CATALOG SOUR",24,IF(M144="NOT LISTED",-18,0))+IF(N144="ALLOY FAMILY",14,IF(N144="CORROSION CONTROL",-13,0))+IF(O144="CLAIMED",17,IF(O144="NOT LISTED",-14,0))+IF(K144="Yes",-15,0)+IF('WELL INPUTS'!$B$10="Yes",-17,0)))</x:f>
        <x:v>71</x:v>
      </x:c>
      <x:c r="R144" s="83" t="str">
        <x:f>IF(L144="BELOW","EXCLUDE — STRENGTH",IF(P144="OVER CAP","EXCLUDE — COST",IF(K144="Yes",IF('WELL INPUTS'!$B$14="No","EXCLUDE — REFERENCE","REFERENCE ONLY"),IF(OR(L144="UNKNOWN",M144="NOT LISTED",N144="CORROSION CONTROL",O144="NOT LISTED",'WELL INPUTS'!$B$10="Yes",'WELL INPUTS'!$B$4="Unknown"),"REVIEW","CANDIDATE — VERIFY"))))</x:f>
        <x:v>CANDIDATE — VERIFY</x:v>
      </x:c>
      <x:c r="S144" t="str">
        <x:f>IF(L144="BELOW","Increase minimum grade strength",IF(P144="OVER CAP","Relax cost tier or exclude",IF(K144="Yes","Identify qualified manufacturer grade",IF(M144="NOT LISTED","Confirm sour-service claim and ISO 15156",IF(O144="NOT LISTED","Obtain manufacturer collapse curve",IF(N144="CORROSION CONTROL","Model CO2 corrosion; review inhibition","Confirm corrosion, cracking, loads and connection"))))))</x:f>
        <x:v>Confirm corrosion, cracking, loads and connection</x:v>
      </x:c>
      <x:c r="T144" t="str">
        <x:v>https://www.tenaris.com/en/products-and-services/octg/steel-grades/</x:v>
      </x:c>
    </x:row>
    <x:row r="145" ht="23" customHeight="1">
      <x:c r="A145" t="str">
        <x:v>OCTG-0144</x:v>
      </x:c>
      <x:c r="B145" t="str">
        <x:v>Tenaris</x:v>
      </x:c>
      <x:c r="C145" t="str">
        <x:v>G-3 - 110 ksi</x:v>
      </x:c>
      <x:c r="D145" t="str">
        <x:v>Ni-base CRA</x:v>
      </x:c>
      <x:c r="E145" t="str">
        <x:v>CRA for CO2/H2S/chlorides; service to be qualified</x:v>
      </x:c>
      <x:c r="F145" s="82" t="n">
        <x:v>110</x:v>
      </x:c>
      <x:c r="G145" t="str">
        <x:v>No</x:v>
      </x:c>
      <x:c r="H145" t="str">
        <x:v>I</x:v>
      </x:c>
      <x:c r="I145" t="str">
        <x:v>Yes</x:v>
      </x:c>
      <x:c r="J145" t="str">
        <x:v>Yes</x:v>
      </x:c>
      <x:c r="K145" t="str">
        <x:v>No</x:v>
      </x:c>
      <x:c r="L145" t="str">
        <x:f>IF(F145="","UNKNOWN",IF(F145&lt;'WELL INPUTS'!$B$11,"BELOW","OK"))</x:f>
        <x:v>OK</x:v>
      </x:c>
      <x:c r="M145" t="str">
        <x:f>IF(AND('WELL INPUTS'!$B$4="Wet",'WELL INPUTS'!$B$5&gt;0),IF(I145="Yes","CATALOG SOUR","NOT LISTED"),"N/A")</x:f>
        <x:v>N/A</x:v>
      </x:c>
      <x:c r="N145" t="str">
        <x:f>IF(AND('WELL INPUTS'!$B$4="Wet",'WELL INPUTS'!$B$6&gt;0),IF(J145="Yes","ALLOY FAMILY","CORROSION CONTROL"),"N/A")</x:f>
        <x:v>ALLOY FAMILY</x:v>
      </x:c>
      <x:c r="O145" t="str">
        <x:f>IF('WELL INPUTS'!$B$12="Yes",IF(G145="Yes","CLAIMED","NOT LISTED"),"N/A")</x:f>
        <x:v>N/A</x:v>
      </x:c>
      <x:c r="P145" t="str">
        <x:f>IF(OR('WELL INPUTS'!$B$13="Unrestricted",CODE(H145)&lt;=CODE('WELL INPUTS'!$B$13)),"WITHIN TIER","OVER CAP")</x:f>
        <x:v>WITHIN TIER</x:v>
      </x:c>
      <x:c r="Q145" t="n">
        <x:f>MAX(0,MIN(100,43+IF(L145="OK",14,-20)+IF(M145="CATALOG SOUR",24,IF(M145="NOT LISTED",-18,0))+IF(N145="ALLOY FAMILY",14,IF(N145="CORROSION CONTROL",-13,0))+IF(O145="CLAIMED",17,IF(O145="NOT LISTED",-14,0))+IF(K145="Yes",-15,0)+IF('WELL INPUTS'!$B$10="Yes",-17,0)))</x:f>
        <x:v>71</x:v>
      </x:c>
      <x:c r="R145" s="83" t="str">
        <x:f>IF(L145="BELOW","EXCLUDE — STRENGTH",IF(P145="OVER CAP","EXCLUDE — COST",IF(K145="Yes",IF('WELL INPUTS'!$B$14="No","EXCLUDE — REFERENCE","REFERENCE ONLY"),IF(OR(L145="UNKNOWN",M145="NOT LISTED",N145="CORROSION CONTROL",O145="NOT LISTED",'WELL INPUTS'!$B$10="Yes",'WELL INPUTS'!$B$4="Unknown"),"REVIEW","CANDIDATE — VERIFY"))))</x:f>
        <x:v>CANDIDATE — VERIFY</x:v>
      </x:c>
      <x:c r="S145" t="str">
        <x:f>IF(L145="BELOW","Increase minimum grade strength",IF(P145="OVER CAP","Relax cost tier or exclude",IF(K145="Yes","Identify qualified manufacturer grade",IF(M145="NOT LISTED","Confirm sour-service claim and ISO 15156",IF(O145="NOT LISTED","Obtain manufacturer collapse curve",IF(N145="CORROSION CONTROL","Model CO2 corrosion; review inhibition","Confirm corrosion, cracking, loads and connection"))))))</x:f>
        <x:v>Confirm corrosion, cracking, loads and connection</x:v>
      </x:c>
      <x:c r="T145" t="str">
        <x:v>https://www.tenaris.com/en/products-and-services/octg/steel-grades/</x:v>
      </x:c>
    </x:row>
    <x:row r="146" ht="23" customHeight="1">
      <x:c r="A146" t="str">
        <x:v>OCTG-0145</x:v>
      </x:c>
      <x:c r="B146" t="str">
        <x:v>Tenaris</x:v>
      </x:c>
      <x:c r="C146" t="str">
        <x:v>G-3 - 125 ksi</x:v>
      </x:c>
      <x:c r="D146" t="str">
        <x:v>Ni-base CRA</x:v>
      </x:c>
      <x:c r="E146" t="str">
        <x:v>CRA for CO2/H2S/chlorides; service to be qualified</x:v>
      </x:c>
      <x:c r="F146" s="82" t="n">
        <x:v>125</x:v>
      </x:c>
      <x:c r="G146" t="str">
        <x:v>No</x:v>
      </x:c>
      <x:c r="H146" t="str">
        <x:v>I</x:v>
      </x:c>
      <x:c r="I146" t="str">
        <x:v>Yes</x:v>
      </x:c>
      <x:c r="J146" t="str">
        <x:v>Yes</x:v>
      </x:c>
      <x:c r="K146" t="str">
        <x:v>No</x:v>
      </x:c>
      <x:c r="L146" t="str">
        <x:f>IF(F146="","UNKNOWN",IF(F146&lt;'WELL INPUTS'!$B$11,"BELOW","OK"))</x:f>
        <x:v>OK</x:v>
      </x:c>
      <x:c r="M146" t="str">
        <x:f>IF(AND('WELL INPUTS'!$B$4="Wet",'WELL INPUTS'!$B$5&gt;0),IF(I146="Yes","CATALOG SOUR","NOT LISTED"),"N/A")</x:f>
        <x:v>N/A</x:v>
      </x:c>
      <x:c r="N146" t="str">
        <x:f>IF(AND('WELL INPUTS'!$B$4="Wet",'WELL INPUTS'!$B$6&gt;0),IF(J146="Yes","ALLOY FAMILY","CORROSION CONTROL"),"N/A")</x:f>
        <x:v>ALLOY FAMILY</x:v>
      </x:c>
      <x:c r="O146" t="str">
        <x:f>IF('WELL INPUTS'!$B$12="Yes",IF(G146="Yes","CLAIMED","NOT LISTED"),"N/A")</x:f>
        <x:v>N/A</x:v>
      </x:c>
      <x:c r="P146" t="str">
        <x:f>IF(OR('WELL INPUTS'!$B$13="Unrestricted",CODE(H146)&lt;=CODE('WELL INPUTS'!$B$13)),"WITHIN TIER","OVER CAP")</x:f>
        <x:v>WITHIN TIER</x:v>
      </x:c>
      <x:c r="Q146" t="n">
        <x:f>MAX(0,MIN(100,43+IF(L146="OK",14,-20)+IF(M146="CATALOG SOUR",24,IF(M146="NOT LISTED",-18,0))+IF(N146="ALLOY FAMILY",14,IF(N146="CORROSION CONTROL",-13,0))+IF(O146="CLAIMED",17,IF(O146="NOT LISTED",-14,0))+IF(K146="Yes",-15,0)+IF('WELL INPUTS'!$B$10="Yes",-17,0)))</x:f>
        <x:v>71</x:v>
      </x:c>
      <x:c r="R146" s="83" t="str">
        <x:f>IF(L146="BELOW","EXCLUDE — STRENGTH",IF(P146="OVER CAP","EXCLUDE — COST",IF(K146="Yes",IF('WELL INPUTS'!$B$14="No","EXCLUDE — REFERENCE","REFERENCE ONLY"),IF(OR(L146="UNKNOWN",M146="NOT LISTED",N146="CORROSION CONTROL",O146="NOT LISTED",'WELL INPUTS'!$B$10="Yes",'WELL INPUTS'!$B$4="Unknown"),"REVIEW","CANDIDATE — VERIFY"))))</x:f>
        <x:v>CANDIDATE — VERIFY</x:v>
      </x:c>
      <x:c r="S146" t="str">
        <x:f>IF(L146="BELOW","Increase minimum grade strength",IF(P146="OVER CAP","Relax cost tier or exclude",IF(K146="Yes","Identify qualified manufacturer grade",IF(M146="NOT LISTED","Confirm sour-service claim and ISO 15156",IF(O146="NOT LISTED","Obtain manufacturer collapse curve",IF(N146="CORROSION CONTROL","Model CO2 corrosion; review inhibition","Confirm corrosion, cracking, loads and connection"))))))</x:f>
        <x:v>Confirm corrosion, cracking, loads and connection</x:v>
      </x:c>
      <x:c r="T146" t="str">
        <x:v>https://www.tenaris.com/en/products-and-services/octg/steel-grades/</x:v>
      </x:c>
    </x:row>
    <x:row r="147" ht="23" customHeight="1">
      <x:c r="A147" t="str">
        <x:v>OCTG-0146</x:v>
      </x:c>
      <x:c r="B147" t="str">
        <x:v>Tenaris</x:v>
      </x:c>
      <x:c r="C147" t="str">
        <x:v>25Cr - 125 ksi</x:v>
      </x:c>
      <x:c r="D147" t="str">
        <x:v>Super duplex 25Cr</x:v>
      </x:c>
      <x:c r="E147" t="str">
        <x:v>CRA for CO2/H2S/chlorides; service to be qualified</x:v>
      </x:c>
      <x:c r="F147" s="82" t="n">
        <x:v>125</x:v>
      </x:c>
      <x:c r="G147" t="str">
        <x:v>No</x:v>
      </x:c>
      <x:c r="H147" t="str">
        <x:v>G</x:v>
      </x:c>
      <x:c r="I147" t="str">
        <x:v>Yes</x:v>
      </x:c>
      <x:c r="J147" t="str">
        <x:v>Yes</x:v>
      </x:c>
      <x:c r="K147" t="str">
        <x:v>No</x:v>
      </x:c>
      <x:c r="L147" t="str">
        <x:f>IF(F147="","UNKNOWN",IF(F147&lt;'WELL INPUTS'!$B$11,"BELOW","OK"))</x:f>
        <x:v>OK</x:v>
      </x:c>
      <x:c r="M147" t="str">
        <x:f>IF(AND('WELL INPUTS'!$B$4="Wet",'WELL INPUTS'!$B$5&gt;0),IF(I147="Yes","CATALOG SOUR","NOT LISTED"),"N/A")</x:f>
        <x:v>N/A</x:v>
      </x:c>
      <x:c r="N147" t="str">
        <x:f>IF(AND('WELL INPUTS'!$B$4="Wet",'WELL INPUTS'!$B$6&gt;0),IF(J147="Yes","ALLOY FAMILY","CORROSION CONTROL"),"N/A")</x:f>
        <x:v>ALLOY FAMILY</x:v>
      </x:c>
      <x:c r="O147" t="str">
        <x:f>IF('WELL INPUTS'!$B$12="Yes",IF(G147="Yes","CLAIMED","NOT LISTED"),"N/A")</x:f>
        <x:v>N/A</x:v>
      </x:c>
      <x:c r="P147" t="str">
        <x:f>IF(OR('WELL INPUTS'!$B$13="Unrestricted",CODE(H147)&lt;=CODE('WELL INPUTS'!$B$13)),"WITHIN TIER","OVER CAP")</x:f>
        <x:v>WITHIN TIER</x:v>
      </x:c>
      <x:c r="Q147" t="n">
        <x:f>MAX(0,MIN(100,43+IF(L147="OK",14,-20)+IF(M147="CATALOG SOUR",24,IF(M147="NOT LISTED",-18,0))+IF(N147="ALLOY FAMILY",14,IF(N147="CORROSION CONTROL",-13,0))+IF(O147="CLAIMED",17,IF(O147="NOT LISTED",-14,0))+IF(K147="Yes",-15,0)+IF('WELL INPUTS'!$B$10="Yes",-17,0)))</x:f>
        <x:v>71</x:v>
      </x:c>
      <x:c r="R147" s="83" t="str">
        <x:f>IF(L147="BELOW","EXCLUDE — STRENGTH",IF(P147="OVER CAP","EXCLUDE — COST",IF(K147="Yes",IF('WELL INPUTS'!$B$14="No","EXCLUDE — REFERENCE","REFERENCE ONLY"),IF(OR(L147="UNKNOWN",M147="NOT LISTED",N147="CORROSION CONTROL",O147="NOT LISTED",'WELL INPUTS'!$B$10="Yes",'WELL INPUTS'!$B$4="Unknown"),"REVIEW","CANDIDATE — VERIFY"))))</x:f>
        <x:v>CANDIDATE — VERIFY</x:v>
      </x:c>
      <x:c r="S147" t="str">
        <x:f>IF(L147="BELOW","Increase minimum grade strength",IF(P147="OVER CAP","Relax cost tier or exclude",IF(K147="Yes","Identify qualified manufacturer grade",IF(M147="NOT LISTED","Confirm sour-service claim and ISO 15156",IF(O147="NOT LISTED","Obtain manufacturer collapse curve",IF(N147="CORROSION CONTROL","Model CO2 corrosion; review inhibition","Confirm corrosion, cracking, loads and connection"))))))</x:f>
        <x:v>Confirm corrosion, cracking, loads and connection</x:v>
      </x:c>
      <x:c r="T147" t="str">
        <x:v>https://www.tenaris.com/en/products-and-services/octg/steel-grades/</x:v>
      </x:c>
    </x:row>
    <x:row r="148" ht="23" customHeight="1">
      <x:c r="A148" t="str">
        <x:v>OCTG-0147</x:v>
      </x:c>
      <x:c r="B148" t="str">
        <x:v>Tenaris</x:v>
      </x:c>
      <x:c r="C148" t="str">
        <x:v>25Cr - 140 ksi</x:v>
      </x:c>
      <x:c r="D148" t="str">
        <x:v>Super duplex 25Cr</x:v>
      </x:c>
      <x:c r="E148" t="str">
        <x:v>CRA for CO2/H2S/chlorides; service to be qualified</x:v>
      </x:c>
      <x:c r="F148" s="82" t="n">
        <x:v>140</x:v>
      </x:c>
      <x:c r="G148" t="str">
        <x:v>No</x:v>
      </x:c>
      <x:c r="H148" t="str">
        <x:v>G</x:v>
      </x:c>
      <x:c r="I148" t="str">
        <x:v>Yes</x:v>
      </x:c>
      <x:c r="J148" t="str">
        <x:v>Yes</x:v>
      </x:c>
      <x:c r="K148" t="str">
        <x:v>No</x:v>
      </x:c>
      <x:c r="L148" t="str">
        <x:f>IF(F148="","UNKNOWN",IF(F148&lt;'WELL INPUTS'!$B$11,"BELOW","OK"))</x:f>
        <x:v>OK</x:v>
      </x:c>
      <x:c r="M148" t="str">
        <x:f>IF(AND('WELL INPUTS'!$B$4="Wet",'WELL INPUTS'!$B$5&gt;0),IF(I148="Yes","CATALOG SOUR","NOT LISTED"),"N/A")</x:f>
        <x:v>N/A</x:v>
      </x:c>
      <x:c r="N148" t="str">
        <x:f>IF(AND('WELL INPUTS'!$B$4="Wet",'WELL INPUTS'!$B$6&gt;0),IF(J148="Yes","ALLOY FAMILY","CORROSION CONTROL"),"N/A")</x:f>
        <x:v>ALLOY FAMILY</x:v>
      </x:c>
      <x:c r="O148" t="str">
        <x:f>IF('WELL INPUTS'!$B$12="Yes",IF(G148="Yes","CLAIMED","NOT LISTED"),"N/A")</x:f>
        <x:v>N/A</x:v>
      </x:c>
      <x:c r="P148" t="str">
        <x:f>IF(OR('WELL INPUTS'!$B$13="Unrestricted",CODE(H148)&lt;=CODE('WELL INPUTS'!$B$13)),"WITHIN TIER","OVER CAP")</x:f>
        <x:v>WITHIN TIER</x:v>
      </x:c>
      <x:c r="Q148" t="n">
        <x:f>MAX(0,MIN(100,43+IF(L148="OK",14,-20)+IF(M148="CATALOG SOUR",24,IF(M148="NOT LISTED",-18,0))+IF(N148="ALLOY FAMILY",14,IF(N148="CORROSION CONTROL",-13,0))+IF(O148="CLAIMED",17,IF(O148="NOT LISTED",-14,0))+IF(K148="Yes",-15,0)+IF('WELL INPUTS'!$B$10="Yes",-17,0)))</x:f>
        <x:v>71</x:v>
      </x:c>
      <x:c r="R148" s="83" t="str">
        <x:f>IF(L148="BELOW","EXCLUDE — STRENGTH",IF(P148="OVER CAP","EXCLUDE — COST",IF(K148="Yes",IF('WELL INPUTS'!$B$14="No","EXCLUDE — REFERENCE","REFERENCE ONLY"),IF(OR(L148="UNKNOWN",M148="NOT LISTED",N148="CORROSION CONTROL",O148="NOT LISTED",'WELL INPUTS'!$B$10="Yes",'WELL INPUTS'!$B$4="Unknown"),"REVIEW","CANDIDATE — VERIFY"))))</x:f>
        <x:v>CANDIDATE — VERIFY</x:v>
      </x:c>
      <x:c r="S148" t="str">
        <x:f>IF(L148="BELOW","Increase minimum grade strength",IF(P148="OVER CAP","Relax cost tier or exclude",IF(K148="Yes","Identify qualified manufacturer grade",IF(M148="NOT LISTED","Confirm sour-service claim and ISO 15156",IF(O148="NOT LISTED","Obtain manufacturer collapse curve",IF(N148="CORROSION CONTROL","Model CO2 corrosion; review inhibition","Confirm corrosion, cracking, loads and connection"))))))</x:f>
        <x:v>Confirm corrosion, cracking, loads and connection</x:v>
      </x:c>
      <x:c r="T148" t="str">
        <x:v>https://www.tenaris.com/en/products-and-services/octg/steel-grades/</x:v>
      </x:c>
    </x:row>
    <x:row r="149" ht="23" customHeight="1">
      <x:c r="A149" t="str">
        <x:v>OCTG-0148</x:v>
      </x:c>
      <x:c r="B149" t="str">
        <x:v>Tenaris</x:v>
      </x:c>
      <x:c r="C149" t="str">
        <x:v>25Cr - 80 ksi</x:v>
      </x:c>
      <x:c r="D149" t="str">
        <x:v>Super duplex 25Cr</x:v>
      </x:c>
      <x:c r="E149" t="str">
        <x:v>CRA for CO2/H2S/chlorides; service to be qualified</x:v>
      </x:c>
      <x:c r="F149" s="82" t="n">
        <x:v>80</x:v>
      </x:c>
      <x:c r="G149" t="str">
        <x:v>No</x:v>
      </x:c>
      <x:c r="H149" t="str">
        <x:v>G</x:v>
      </x:c>
      <x:c r="I149" t="str">
        <x:v>Yes</x:v>
      </x:c>
      <x:c r="J149" t="str">
        <x:v>Yes</x:v>
      </x:c>
      <x:c r="K149" t="str">
        <x:v>No</x:v>
      </x:c>
      <x:c r="L149" t="str">
        <x:f>IF(F149="","UNKNOWN",IF(F149&lt;'WELL INPUTS'!$B$11,"BELOW","OK"))</x:f>
        <x:v>OK</x:v>
      </x:c>
      <x:c r="M149" t="str">
        <x:f>IF(AND('WELL INPUTS'!$B$4="Wet",'WELL INPUTS'!$B$5&gt;0),IF(I149="Yes","CATALOG SOUR","NOT LISTED"),"N/A")</x:f>
        <x:v>N/A</x:v>
      </x:c>
      <x:c r="N149" t="str">
        <x:f>IF(AND('WELL INPUTS'!$B$4="Wet",'WELL INPUTS'!$B$6&gt;0),IF(J149="Yes","ALLOY FAMILY","CORROSION CONTROL"),"N/A")</x:f>
        <x:v>ALLOY FAMILY</x:v>
      </x:c>
      <x:c r="O149" t="str">
        <x:f>IF('WELL INPUTS'!$B$12="Yes",IF(G149="Yes","CLAIMED","NOT LISTED"),"N/A")</x:f>
        <x:v>N/A</x:v>
      </x:c>
      <x:c r="P149" t="str">
        <x:f>IF(OR('WELL INPUTS'!$B$13="Unrestricted",CODE(H149)&lt;=CODE('WELL INPUTS'!$B$13)),"WITHIN TIER","OVER CAP")</x:f>
        <x:v>WITHIN TIER</x:v>
      </x:c>
      <x:c r="Q149" t="n">
        <x:f>MAX(0,MIN(100,43+IF(L149="OK",14,-20)+IF(M149="CATALOG SOUR",24,IF(M149="NOT LISTED",-18,0))+IF(N149="ALLOY FAMILY",14,IF(N149="CORROSION CONTROL",-13,0))+IF(O149="CLAIMED",17,IF(O149="NOT LISTED",-14,0))+IF(K149="Yes",-15,0)+IF('WELL INPUTS'!$B$10="Yes",-17,0)))</x:f>
        <x:v>71</x:v>
      </x:c>
      <x:c r="R149" s="83" t="str">
        <x:f>IF(L149="BELOW","EXCLUDE — STRENGTH",IF(P149="OVER CAP","EXCLUDE — COST",IF(K149="Yes",IF('WELL INPUTS'!$B$14="No","EXCLUDE — REFERENCE","REFERENCE ONLY"),IF(OR(L149="UNKNOWN",M149="NOT LISTED",N149="CORROSION CONTROL",O149="NOT LISTED",'WELL INPUTS'!$B$10="Yes",'WELL INPUTS'!$B$4="Unknown"),"REVIEW","CANDIDATE — VERIFY"))))</x:f>
        <x:v>CANDIDATE — VERIFY</x:v>
      </x:c>
      <x:c r="S149" t="str">
        <x:f>IF(L149="BELOW","Increase minimum grade strength",IF(P149="OVER CAP","Relax cost tier or exclude",IF(K149="Yes","Identify qualified manufacturer grade",IF(M149="NOT LISTED","Confirm sour-service claim and ISO 15156",IF(O149="NOT LISTED","Obtain manufacturer collapse curve",IF(N149="CORROSION CONTROL","Model CO2 corrosion; review inhibition","Confirm corrosion, cracking, loads and connection"))))))</x:f>
        <x:v>Confirm corrosion, cracking, loads and connection</x:v>
      </x:c>
      <x:c r="T149" t="str">
        <x:v>https://www.tenaris.com/en/products-and-services/octg/steel-grades/</x:v>
      </x:c>
    </x:row>
    <x:row r="150" ht="23" customHeight="1">
      <x:c r="A150" t="str">
        <x:v>OCTG-0149</x:v>
      </x:c>
      <x:c r="B150" t="str">
        <x:v>Vallourec</x:v>
      </x:c>
      <x:c r="C150" t="str">
        <x:v>VM 100 HCSS</x:v>
      </x:c>
      <x:c r="D150" t="str">
        <x:v>Carbon / low alloy</x:v>
      </x:c>
      <x:c r="E150" t="str">
        <x:v>High collapse; sour qualified where HCSS/HCMS/HCESS</x:v>
      </x:c>
      <x:c r="F150" s="82" t="n">
        <x:v>100</x:v>
      </x:c>
      <x:c r="G150" t="str">
        <x:v>Yes</x:v>
      </x:c>
      <x:c r="H150" t="str">
        <x:v>A</x:v>
      </x:c>
      <x:c r="I150" t="str">
        <x:v>Yes</x:v>
      </x:c>
      <x:c r="J150" t="str">
        <x:v>No</x:v>
      </x:c>
      <x:c r="K150" t="str">
        <x:v>No</x:v>
      </x:c>
      <x:c r="L150" t="str">
        <x:f>IF(F150="","UNKNOWN",IF(F150&lt;'WELL INPUTS'!$B$11,"BELOW","OK"))</x:f>
        <x:v>OK</x:v>
      </x:c>
      <x:c r="M150" t="str">
        <x:f>IF(AND('WELL INPUTS'!$B$4="Wet",'WELL INPUTS'!$B$5&gt;0),IF(I150="Yes","CATALOG SOUR","NOT LISTED"),"N/A")</x:f>
        <x:v>N/A</x:v>
      </x:c>
      <x:c r="N150" t="str">
        <x:f>IF(AND('WELL INPUTS'!$B$4="Wet",'WELL INPUTS'!$B$6&gt;0),IF(J150="Yes","ALLOY FAMILY","CORROSION CONTROL"),"N/A")</x:f>
        <x:v>CORROSION CONTROL</x:v>
      </x:c>
      <x:c r="O150" t="str">
        <x:f>IF('WELL INPUTS'!$B$12="Yes",IF(G150="Yes","CLAIMED","NOT LISTED"),"N/A")</x:f>
        <x:v>N/A</x:v>
      </x:c>
      <x:c r="P150" t="str">
        <x:f>IF(OR('WELL INPUTS'!$B$13="Unrestricted",CODE(H150)&lt;=CODE('WELL INPUTS'!$B$13)),"WITHIN TIER","OVER CAP")</x:f>
        <x:v>WITHIN TIER</x:v>
      </x:c>
      <x:c r="Q150" t="n">
        <x:f>MAX(0,MIN(100,43+IF(L150="OK",14,-20)+IF(M150="CATALOG SOUR",24,IF(M150="NOT LISTED",-18,0))+IF(N150="ALLOY FAMILY",14,IF(N150="CORROSION CONTROL",-13,0))+IF(O150="CLAIMED",17,IF(O150="NOT LISTED",-14,0))+IF(K150="Yes",-15,0)+IF('WELL INPUTS'!$B$10="Yes",-17,0)))</x:f>
        <x:v>44</x:v>
      </x:c>
      <x:c r="R150" s="83" t="str">
        <x:f>IF(L150="BELOW","EXCLUDE — STRENGTH",IF(P150="OVER CAP","EXCLUDE — COST",IF(K150="Yes",IF('WELL INPUTS'!$B$14="No","EXCLUDE — REFERENCE","REFERENCE ONLY"),IF(OR(L150="UNKNOWN",M150="NOT LISTED",N150="CORROSION CONTROL",O150="NOT LISTED",'WELL INPUTS'!$B$10="Yes",'WELL INPUTS'!$B$4="Unknown"),"REVIEW","CANDIDATE — VERIFY"))))</x:f>
        <x:v>REVIEW</x:v>
      </x:c>
      <x:c r="S150" t="str">
        <x:f>IF(L150="BELOW","Increase minimum grade strength",IF(P150="OVER CAP","Relax cost tier or exclude",IF(K150="Yes","Identify qualified manufacturer grade",IF(M150="NOT LISTED","Confirm sour-service claim and ISO 15156",IF(O150="NOT LISTED","Obtain manufacturer collapse curve",IF(N150="CORROSION CONTROL","Model CO2 corrosion; review inhibition","Confirm corrosion, cracking, loads and connection"))))))</x:f>
        <x:v>Model CO2 corrosion; review inhibition</x:v>
      </x:c>
      <x:c r="T150" t="str">
        <x:v>https://solutions.vallourec.com/product/high-collapse/</x:v>
      </x:c>
    </x:row>
    <x:row r="151" ht="23" customHeight="1">
      <x:c r="A151" t="str">
        <x:v>OCTG-0150</x:v>
      </x:c>
      <x:c r="B151" t="str">
        <x:v>Vallourec</x:v>
      </x:c>
      <x:c r="C151" t="str">
        <x:v>VM 100 SS</x:v>
      </x:c>
      <x:c r="D151" t="str">
        <x:v>Carbon / low alloy</x:v>
      </x:c>
      <x:c r="E151" t="str">
        <x:v>Sour service / SSC resistance; region varies by grade</x:v>
      </x:c>
      <x:c r="F151" s="82" t="n">
        <x:v>100</x:v>
      </x:c>
      <x:c r="G151" t="str">
        <x:v>No</x:v>
      </x:c>
      <x:c r="H151" t="str">
        <x:v>A</x:v>
      </x:c>
      <x:c r="I151" t="str">
        <x:v>Yes</x:v>
      </x:c>
      <x:c r="J151" t="str">
        <x:v>No</x:v>
      </x:c>
      <x:c r="K151" t="str">
        <x:v>No</x:v>
      </x:c>
      <x:c r="L151" t="str">
        <x:f>IF(F151="","UNKNOWN",IF(F151&lt;'WELL INPUTS'!$B$11,"BELOW","OK"))</x:f>
        <x:v>OK</x:v>
      </x:c>
      <x:c r="M151" t="str">
        <x:f>IF(AND('WELL INPUTS'!$B$4="Wet",'WELL INPUTS'!$B$5&gt;0),IF(I151="Yes","CATALOG SOUR","NOT LISTED"),"N/A")</x:f>
        <x:v>N/A</x:v>
      </x:c>
      <x:c r="N151" t="str">
        <x:f>IF(AND('WELL INPUTS'!$B$4="Wet",'WELL INPUTS'!$B$6&gt;0),IF(J151="Yes","ALLOY FAMILY","CORROSION CONTROL"),"N/A")</x:f>
        <x:v>CORROSION CONTROL</x:v>
      </x:c>
      <x:c r="O151" t="str">
        <x:f>IF('WELL INPUTS'!$B$12="Yes",IF(G151="Yes","CLAIMED","NOT LISTED"),"N/A")</x:f>
        <x:v>N/A</x:v>
      </x:c>
      <x:c r="P151" t="str">
        <x:f>IF(OR('WELL INPUTS'!$B$13="Unrestricted",CODE(H151)&lt;=CODE('WELL INPUTS'!$B$13)),"WITHIN TIER","OVER CAP")</x:f>
        <x:v>WITHIN TIER</x:v>
      </x:c>
      <x:c r="Q151" t="n">
        <x:f>MAX(0,MIN(100,43+IF(L151="OK",14,-20)+IF(M151="CATALOG SOUR",24,IF(M151="NOT LISTED",-18,0))+IF(N151="ALLOY FAMILY",14,IF(N151="CORROSION CONTROL",-13,0))+IF(O151="CLAIMED",17,IF(O151="NOT LISTED",-14,0))+IF(K151="Yes",-15,0)+IF('WELL INPUTS'!$B$10="Yes",-17,0)))</x:f>
        <x:v>44</x:v>
      </x:c>
      <x:c r="R151" s="83" t="str">
        <x:f>IF(L151="BELOW","EXCLUDE — STRENGTH",IF(P151="OVER CAP","EXCLUDE — COST",IF(K151="Yes",IF('WELL INPUTS'!$B$14="No","EXCLUDE — REFERENCE","REFERENCE ONLY"),IF(OR(L151="UNKNOWN",M151="NOT LISTED",N151="CORROSION CONTROL",O151="NOT LISTED",'WELL INPUTS'!$B$10="Yes",'WELL INPUTS'!$B$4="Unknown"),"REVIEW","CANDIDATE — VERIFY"))))</x:f>
        <x:v>REVIEW</x:v>
      </x:c>
      <x:c r="S151" t="str">
        <x:f>IF(L151="BELOW","Increase minimum grade strength",IF(P151="OVER CAP","Relax cost tier or exclude",IF(K151="Yes","Identify qualified manufacturer grade",IF(M151="NOT LISTED","Confirm sour-service claim and ISO 15156",IF(O151="NOT LISTED","Obtain manufacturer collapse curve",IF(N151="CORROSION CONTROL","Model CO2 corrosion; review inhibition","Confirm corrosion, cracking, loads and connection"))))))</x:f>
        <x:v>Model CO2 corrosion; review inhibition</x:v>
      </x:c>
      <x:c r="T151" t="str">
        <x:v>https://solutions.vallourec.com/product/sour-service/</x:v>
      </x:c>
    </x:row>
    <x:row r="152" ht="23" customHeight="1">
      <x:c r="A152" t="str">
        <x:v>OCTG-0151</x:v>
      </x:c>
      <x:c r="B152" t="str">
        <x:v>Vallourec</x:v>
      </x:c>
      <x:c r="C152" t="str">
        <x:v>VM 100 SS-D</x:v>
      </x:c>
      <x:c r="D152" t="str">
        <x:v>Carbon / low alloy</x:v>
      </x:c>
      <x:c r="E152" t="str">
        <x:v>Sour service / SSC resistance; region varies by grade</x:v>
      </x:c>
      <x:c r="F152" s="82" t="n">
        <x:v>100</x:v>
      </x:c>
      <x:c r="G152" t="str">
        <x:v>No</x:v>
      </x:c>
      <x:c r="H152" t="str">
        <x:v>A</x:v>
      </x:c>
      <x:c r="I152" t="str">
        <x:v>Yes</x:v>
      </x:c>
      <x:c r="J152" t="str">
        <x:v>No</x:v>
      </x:c>
      <x:c r="K152" t="str">
        <x:v>No</x:v>
      </x:c>
      <x:c r="L152" t="str">
        <x:f>IF(F152="","UNKNOWN",IF(F152&lt;'WELL INPUTS'!$B$11,"BELOW","OK"))</x:f>
        <x:v>OK</x:v>
      </x:c>
      <x:c r="M152" t="str">
        <x:f>IF(AND('WELL INPUTS'!$B$4="Wet",'WELL INPUTS'!$B$5&gt;0),IF(I152="Yes","CATALOG SOUR","NOT LISTED"),"N/A")</x:f>
        <x:v>N/A</x:v>
      </x:c>
      <x:c r="N152" t="str">
        <x:f>IF(AND('WELL INPUTS'!$B$4="Wet",'WELL INPUTS'!$B$6&gt;0),IF(J152="Yes","ALLOY FAMILY","CORROSION CONTROL"),"N/A")</x:f>
        <x:v>CORROSION CONTROL</x:v>
      </x:c>
      <x:c r="O152" t="str">
        <x:f>IF('WELL INPUTS'!$B$12="Yes",IF(G152="Yes","CLAIMED","NOT LISTED"),"N/A")</x:f>
        <x:v>N/A</x:v>
      </x:c>
      <x:c r="P152" t="str">
        <x:f>IF(OR('WELL INPUTS'!$B$13="Unrestricted",CODE(H152)&lt;=CODE('WELL INPUTS'!$B$13)),"WITHIN TIER","OVER CAP")</x:f>
        <x:v>WITHIN TIER</x:v>
      </x:c>
      <x:c r="Q152" t="n">
        <x:f>MAX(0,MIN(100,43+IF(L152="OK",14,-20)+IF(M152="CATALOG SOUR",24,IF(M152="NOT LISTED",-18,0))+IF(N152="ALLOY FAMILY",14,IF(N152="CORROSION CONTROL",-13,0))+IF(O152="CLAIMED",17,IF(O152="NOT LISTED",-14,0))+IF(K152="Yes",-15,0)+IF('WELL INPUTS'!$B$10="Yes",-17,0)))</x:f>
        <x:v>44</x:v>
      </x:c>
      <x:c r="R152" s="83" t="str">
        <x:f>IF(L152="BELOW","EXCLUDE — STRENGTH",IF(P152="OVER CAP","EXCLUDE — COST",IF(K152="Yes",IF('WELL INPUTS'!$B$14="No","EXCLUDE — REFERENCE","REFERENCE ONLY"),IF(OR(L152="UNKNOWN",M152="NOT LISTED",N152="CORROSION CONTROL",O152="NOT LISTED",'WELL INPUTS'!$B$10="Yes",'WELL INPUTS'!$B$4="Unknown"),"REVIEW","CANDIDATE — VERIFY"))))</x:f>
        <x:v>REVIEW</x:v>
      </x:c>
      <x:c r="S152" t="str">
        <x:f>IF(L152="BELOW","Increase minimum grade strength",IF(P152="OVER CAP","Relax cost tier or exclude",IF(K152="Yes","Identify qualified manufacturer grade",IF(M152="NOT LISTED","Confirm sour-service claim and ISO 15156",IF(O152="NOT LISTED","Obtain manufacturer collapse curve",IF(N152="CORROSION CONTROL","Model CO2 corrosion; review inhibition","Confirm corrosion, cracking, loads and connection"))))))</x:f>
        <x:v>Model CO2 corrosion; review inhibition</x:v>
      </x:c>
      <x:c r="T152" t="str">
        <x:v>https://solutions.vallourec.com/product/sour-service/</x:v>
      </x:c>
    </x:row>
    <x:row r="153" ht="23" customHeight="1">
      <x:c r="A153" t="str">
        <x:v>OCTG-0152</x:v>
      </x:c>
      <x:c r="B153" t="str">
        <x:v>Vallourec</x:v>
      </x:c>
      <x:c r="C153" t="str">
        <x:v>VM 110 HC</x:v>
      </x:c>
      <x:c r="D153" t="str">
        <x:v>Carbon / low alloy</x:v>
      </x:c>
      <x:c r="E153" t="str">
        <x:v>High collapse; sour qualified where HCSS/HCMS/HCESS</x:v>
      </x:c>
      <x:c r="F153" s="82" t="n">
        <x:v>110</x:v>
      </x:c>
      <x:c r="G153" t="str">
        <x:v>Yes</x:v>
      </x:c>
      <x:c r="H153" t="str">
        <x:v>A</x:v>
      </x:c>
      <x:c r="I153" t="str">
        <x:v>Yes</x:v>
      </x:c>
      <x:c r="J153" t="str">
        <x:v>No</x:v>
      </x:c>
      <x:c r="K153" t="str">
        <x:v>No</x:v>
      </x:c>
      <x:c r="L153" t="str">
        <x:f>IF(F153="","UNKNOWN",IF(F153&lt;'WELL INPUTS'!$B$11,"BELOW","OK"))</x:f>
        <x:v>OK</x:v>
      </x:c>
      <x:c r="M153" t="str">
        <x:f>IF(AND('WELL INPUTS'!$B$4="Wet",'WELL INPUTS'!$B$5&gt;0),IF(I153="Yes","CATALOG SOUR","NOT LISTED"),"N/A")</x:f>
        <x:v>N/A</x:v>
      </x:c>
      <x:c r="N153" t="str">
        <x:f>IF(AND('WELL INPUTS'!$B$4="Wet",'WELL INPUTS'!$B$6&gt;0),IF(J153="Yes","ALLOY FAMILY","CORROSION CONTROL"),"N/A")</x:f>
        <x:v>CORROSION CONTROL</x:v>
      </x:c>
      <x:c r="O153" t="str">
        <x:f>IF('WELL INPUTS'!$B$12="Yes",IF(G153="Yes","CLAIMED","NOT LISTED"),"N/A")</x:f>
        <x:v>N/A</x:v>
      </x:c>
      <x:c r="P153" t="str">
        <x:f>IF(OR('WELL INPUTS'!$B$13="Unrestricted",CODE(H153)&lt;=CODE('WELL INPUTS'!$B$13)),"WITHIN TIER","OVER CAP")</x:f>
        <x:v>WITHIN TIER</x:v>
      </x:c>
      <x:c r="Q153" t="n">
        <x:f>MAX(0,MIN(100,43+IF(L153="OK",14,-20)+IF(M153="CATALOG SOUR",24,IF(M153="NOT LISTED",-18,0))+IF(N153="ALLOY FAMILY",14,IF(N153="CORROSION CONTROL",-13,0))+IF(O153="CLAIMED",17,IF(O153="NOT LISTED",-14,0))+IF(K153="Yes",-15,0)+IF('WELL INPUTS'!$B$10="Yes",-17,0)))</x:f>
        <x:v>44</x:v>
      </x:c>
      <x:c r="R153" s="83" t="str">
        <x:f>IF(L153="BELOW","EXCLUDE — STRENGTH",IF(P153="OVER CAP","EXCLUDE — COST",IF(K153="Yes",IF('WELL INPUTS'!$B$14="No","EXCLUDE — REFERENCE","REFERENCE ONLY"),IF(OR(L153="UNKNOWN",M153="NOT LISTED",N153="CORROSION CONTROL",O153="NOT LISTED",'WELL INPUTS'!$B$10="Yes",'WELL INPUTS'!$B$4="Unknown"),"REVIEW","CANDIDATE — VERIFY"))))</x:f>
        <x:v>REVIEW</x:v>
      </x:c>
      <x:c r="S153" t="str">
        <x:f>IF(L153="BELOW","Increase minimum grade strength",IF(P153="OVER CAP","Relax cost tier or exclude",IF(K153="Yes","Identify qualified manufacturer grade",IF(M153="NOT LISTED","Confirm sour-service claim and ISO 15156",IF(O153="NOT LISTED","Obtain manufacturer collapse curve",IF(N153="CORROSION CONTROL","Model CO2 corrosion; review inhibition","Confirm corrosion, cracking, loads and connection"))))))</x:f>
        <x:v>Model CO2 corrosion; review inhibition</x:v>
      </x:c>
      <x:c r="T153" t="str">
        <x:v>https://solutions.vallourec.com/product/high-collapse/</x:v>
      </x:c>
    </x:row>
    <x:row r="154" ht="23" customHeight="1">
      <x:c r="A154" t="str">
        <x:v>OCTG-0153</x:v>
      </x:c>
      <x:c r="B154" t="str">
        <x:v>Vallourec</x:v>
      </x:c>
      <x:c r="C154" t="str">
        <x:v>VM 110 HCMS</x:v>
      </x:c>
      <x:c r="D154" t="str">
        <x:v>Carbon / low alloy</x:v>
      </x:c>
      <x:c r="E154" t="str">
        <x:v>High collapse; sour qualified where HCSS/HCMS/HCESS</x:v>
      </x:c>
      <x:c r="F154" s="82" t="n">
        <x:v>110</x:v>
      </x:c>
      <x:c r="G154" t="str">
        <x:v>Yes</x:v>
      </x:c>
      <x:c r="H154" t="str">
        <x:v>A</x:v>
      </x:c>
      <x:c r="I154" t="str">
        <x:v>Yes</x:v>
      </x:c>
      <x:c r="J154" t="str">
        <x:v>No</x:v>
      </x:c>
      <x:c r="K154" t="str">
        <x:v>No</x:v>
      </x:c>
      <x:c r="L154" t="str">
        <x:f>IF(F154="","UNKNOWN",IF(F154&lt;'WELL INPUTS'!$B$11,"BELOW","OK"))</x:f>
        <x:v>OK</x:v>
      </x:c>
      <x:c r="M154" t="str">
        <x:f>IF(AND('WELL INPUTS'!$B$4="Wet",'WELL INPUTS'!$B$5&gt;0),IF(I154="Yes","CATALOG SOUR","NOT LISTED"),"N/A")</x:f>
        <x:v>N/A</x:v>
      </x:c>
      <x:c r="N154" t="str">
        <x:f>IF(AND('WELL INPUTS'!$B$4="Wet",'WELL INPUTS'!$B$6&gt;0),IF(J154="Yes","ALLOY FAMILY","CORROSION CONTROL"),"N/A")</x:f>
        <x:v>CORROSION CONTROL</x:v>
      </x:c>
      <x:c r="O154" t="str">
        <x:f>IF('WELL INPUTS'!$B$12="Yes",IF(G154="Yes","CLAIMED","NOT LISTED"),"N/A")</x:f>
        <x:v>N/A</x:v>
      </x:c>
      <x:c r="P154" t="str">
        <x:f>IF(OR('WELL INPUTS'!$B$13="Unrestricted",CODE(H154)&lt;=CODE('WELL INPUTS'!$B$13)),"WITHIN TIER","OVER CAP")</x:f>
        <x:v>WITHIN TIER</x:v>
      </x:c>
      <x:c r="Q154" t="n">
        <x:f>MAX(0,MIN(100,43+IF(L154="OK",14,-20)+IF(M154="CATALOG SOUR",24,IF(M154="NOT LISTED",-18,0))+IF(N154="ALLOY FAMILY",14,IF(N154="CORROSION CONTROL",-13,0))+IF(O154="CLAIMED",17,IF(O154="NOT LISTED",-14,0))+IF(K154="Yes",-15,0)+IF('WELL INPUTS'!$B$10="Yes",-17,0)))</x:f>
        <x:v>44</x:v>
      </x:c>
      <x:c r="R154" s="83" t="str">
        <x:f>IF(L154="BELOW","EXCLUDE — STRENGTH",IF(P154="OVER CAP","EXCLUDE — COST",IF(K154="Yes",IF('WELL INPUTS'!$B$14="No","EXCLUDE — REFERENCE","REFERENCE ONLY"),IF(OR(L154="UNKNOWN",M154="NOT LISTED",N154="CORROSION CONTROL",O154="NOT LISTED",'WELL INPUTS'!$B$10="Yes",'WELL INPUTS'!$B$4="Unknown"),"REVIEW","CANDIDATE — VERIFY"))))</x:f>
        <x:v>REVIEW</x:v>
      </x:c>
      <x:c r="S154" t="str">
        <x:f>IF(L154="BELOW","Increase minimum grade strength",IF(P154="OVER CAP","Relax cost tier or exclude",IF(K154="Yes","Identify qualified manufacturer grade",IF(M154="NOT LISTED","Confirm sour-service claim and ISO 15156",IF(O154="NOT LISTED","Obtain manufacturer collapse curve",IF(N154="CORROSION CONTROL","Model CO2 corrosion; review inhibition","Confirm corrosion, cracking, loads and connection"))))))</x:f>
        <x:v>Model CO2 corrosion; review inhibition</x:v>
      </x:c>
      <x:c r="T154" t="str">
        <x:v>https://solutions.vallourec.com/product/high-collapse/</x:v>
      </x:c>
    </x:row>
    <x:row r="155" ht="23" customHeight="1">
      <x:c r="A155" t="str">
        <x:v>OCTG-0154</x:v>
      </x:c>
      <x:c r="B155" t="str">
        <x:v>Vallourec</x:v>
      </x:c>
      <x:c r="C155" t="str">
        <x:v>VM 110 HCSS</x:v>
      </x:c>
      <x:c r="D155" t="str">
        <x:v>Carbon / low alloy</x:v>
      </x:c>
      <x:c r="E155" t="str">
        <x:v>High collapse; sour qualified where HCSS/HCMS/HCESS</x:v>
      </x:c>
      <x:c r="F155" s="82" t="n">
        <x:v>110</x:v>
      </x:c>
      <x:c r="G155" t="str">
        <x:v>Yes</x:v>
      </x:c>
      <x:c r="H155" t="str">
        <x:v>A</x:v>
      </x:c>
      <x:c r="I155" t="str">
        <x:v>Yes</x:v>
      </x:c>
      <x:c r="J155" t="str">
        <x:v>No</x:v>
      </x:c>
      <x:c r="K155" t="str">
        <x:v>No</x:v>
      </x:c>
      <x:c r="L155" t="str">
        <x:f>IF(F155="","UNKNOWN",IF(F155&lt;'WELL INPUTS'!$B$11,"BELOW","OK"))</x:f>
        <x:v>OK</x:v>
      </x:c>
      <x:c r="M155" t="str">
        <x:f>IF(AND('WELL INPUTS'!$B$4="Wet",'WELL INPUTS'!$B$5&gt;0),IF(I155="Yes","CATALOG SOUR","NOT LISTED"),"N/A")</x:f>
        <x:v>N/A</x:v>
      </x:c>
      <x:c r="N155" t="str">
        <x:f>IF(AND('WELL INPUTS'!$B$4="Wet",'WELL INPUTS'!$B$6&gt;0),IF(J155="Yes","ALLOY FAMILY","CORROSION CONTROL"),"N/A")</x:f>
        <x:v>CORROSION CONTROL</x:v>
      </x:c>
      <x:c r="O155" t="str">
        <x:f>IF('WELL INPUTS'!$B$12="Yes",IF(G155="Yes","CLAIMED","NOT LISTED"),"N/A")</x:f>
        <x:v>N/A</x:v>
      </x:c>
      <x:c r="P155" t="str">
        <x:f>IF(OR('WELL INPUTS'!$B$13="Unrestricted",CODE(H155)&lt;=CODE('WELL INPUTS'!$B$13)),"WITHIN TIER","OVER CAP")</x:f>
        <x:v>WITHIN TIER</x:v>
      </x:c>
      <x:c r="Q155" t="n">
        <x:f>MAX(0,MIN(100,43+IF(L155="OK",14,-20)+IF(M155="CATALOG SOUR",24,IF(M155="NOT LISTED",-18,0))+IF(N155="ALLOY FAMILY",14,IF(N155="CORROSION CONTROL",-13,0))+IF(O155="CLAIMED",17,IF(O155="NOT LISTED",-14,0))+IF(K155="Yes",-15,0)+IF('WELL INPUTS'!$B$10="Yes",-17,0)))</x:f>
        <x:v>44</x:v>
      </x:c>
      <x:c r="R155" s="83" t="str">
        <x:f>IF(L155="BELOW","EXCLUDE — STRENGTH",IF(P155="OVER CAP","EXCLUDE — COST",IF(K155="Yes",IF('WELL INPUTS'!$B$14="No","EXCLUDE — REFERENCE","REFERENCE ONLY"),IF(OR(L155="UNKNOWN",M155="NOT LISTED",N155="CORROSION CONTROL",O155="NOT LISTED",'WELL INPUTS'!$B$10="Yes",'WELL INPUTS'!$B$4="Unknown"),"REVIEW","CANDIDATE — VERIFY"))))</x:f>
        <x:v>REVIEW</x:v>
      </x:c>
      <x:c r="S155" t="str">
        <x:f>IF(L155="BELOW","Increase minimum grade strength",IF(P155="OVER CAP","Relax cost tier or exclude",IF(K155="Yes","Identify qualified manufacturer grade",IF(M155="NOT LISTED","Confirm sour-service claim and ISO 15156",IF(O155="NOT LISTED","Obtain manufacturer collapse curve",IF(N155="CORROSION CONTROL","Model CO2 corrosion; review inhibition","Confirm corrosion, cracking, loads and connection"))))))</x:f>
        <x:v>Model CO2 corrosion; review inhibition</x:v>
      </x:c>
      <x:c r="T155" t="str">
        <x:v>https://solutions.vallourec.com/product/high-collapse/</x:v>
      </x:c>
    </x:row>
    <x:row r="156" ht="23" customHeight="1">
      <x:c r="A156" t="str">
        <x:v>OCTG-0155</x:v>
      </x:c>
      <x:c r="B156" t="str">
        <x:v>Vallourec</x:v>
      </x:c>
      <x:c r="C156" t="str">
        <x:v>VM 110 MS</x:v>
      </x:c>
      <x:c r="D156" t="str">
        <x:v>Carbon / low alloy</x:v>
      </x:c>
      <x:c r="E156" t="str">
        <x:v>Sour service / SSC resistance; region varies by grade</x:v>
      </x:c>
      <x:c r="F156" s="82" t="n">
        <x:v>110</x:v>
      </x:c>
      <x:c r="G156" t="str">
        <x:v>No</x:v>
      </x:c>
      <x:c r="H156" t="str">
        <x:v>A</x:v>
      </x:c>
      <x:c r="I156" t="str">
        <x:v>Yes</x:v>
      </x:c>
      <x:c r="J156" t="str">
        <x:v>No</x:v>
      </x:c>
      <x:c r="K156" t="str">
        <x:v>No</x:v>
      </x:c>
      <x:c r="L156" t="str">
        <x:f>IF(F156="","UNKNOWN",IF(F156&lt;'WELL INPUTS'!$B$11,"BELOW","OK"))</x:f>
        <x:v>OK</x:v>
      </x:c>
      <x:c r="M156" t="str">
        <x:f>IF(AND('WELL INPUTS'!$B$4="Wet",'WELL INPUTS'!$B$5&gt;0),IF(I156="Yes","CATALOG SOUR","NOT LISTED"),"N/A")</x:f>
        <x:v>N/A</x:v>
      </x:c>
      <x:c r="N156" t="str">
        <x:f>IF(AND('WELL INPUTS'!$B$4="Wet",'WELL INPUTS'!$B$6&gt;0),IF(J156="Yes","ALLOY FAMILY","CORROSION CONTROL"),"N/A")</x:f>
        <x:v>CORROSION CONTROL</x:v>
      </x:c>
      <x:c r="O156" t="str">
        <x:f>IF('WELL INPUTS'!$B$12="Yes",IF(G156="Yes","CLAIMED","NOT LISTED"),"N/A")</x:f>
        <x:v>N/A</x:v>
      </x:c>
      <x:c r="P156" t="str">
        <x:f>IF(OR('WELL INPUTS'!$B$13="Unrestricted",CODE(H156)&lt;=CODE('WELL INPUTS'!$B$13)),"WITHIN TIER","OVER CAP")</x:f>
        <x:v>WITHIN TIER</x:v>
      </x:c>
      <x:c r="Q156" t="n">
        <x:f>MAX(0,MIN(100,43+IF(L156="OK",14,-20)+IF(M156="CATALOG SOUR",24,IF(M156="NOT LISTED",-18,0))+IF(N156="ALLOY FAMILY",14,IF(N156="CORROSION CONTROL",-13,0))+IF(O156="CLAIMED",17,IF(O156="NOT LISTED",-14,0))+IF(K156="Yes",-15,0)+IF('WELL INPUTS'!$B$10="Yes",-17,0)))</x:f>
        <x:v>44</x:v>
      </x:c>
      <x:c r="R156" s="83" t="str">
        <x:f>IF(L156="BELOW","EXCLUDE — STRENGTH",IF(P156="OVER CAP","EXCLUDE — COST",IF(K156="Yes",IF('WELL INPUTS'!$B$14="No","EXCLUDE — REFERENCE","REFERENCE ONLY"),IF(OR(L156="UNKNOWN",M156="NOT LISTED",N156="CORROSION CONTROL",O156="NOT LISTED",'WELL INPUTS'!$B$10="Yes",'WELL INPUTS'!$B$4="Unknown"),"REVIEW","CANDIDATE — VERIFY"))))</x:f>
        <x:v>REVIEW</x:v>
      </x:c>
      <x:c r="S156" t="str">
        <x:f>IF(L156="BELOW","Increase minimum grade strength",IF(P156="OVER CAP","Relax cost tier or exclude",IF(K156="Yes","Identify qualified manufacturer grade",IF(M156="NOT LISTED","Confirm sour-service claim and ISO 15156",IF(O156="NOT LISTED","Obtain manufacturer collapse curve",IF(N156="CORROSION CONTROL","Model CO2 corrosion; review inhibition","Confirm corrosion, cracking, loads and connection"))))))</x:f>
        <x:v>Model CO2 corrosion; review inhibition</x:v>
      </x:c>
      <x:c r="T156" t="str">
        <x:v>https://solutions.vallourec.com/product/sour-service/</x:v>
      </x:c>
    </x:row>
    <x:row r="157" ht="23" customHeight="1">
      <x:c r="A157" t="str">
        <x:v>OCTG-0156</x:v>
      </x:c>
      <x:c r="B157" t="str">
        <x:v>Vallourec</x:v>
      </x:c>
      <x:c r="C157" t="str">
        <x:v>VM 110 MS-D</x:v>
      </x:c>
      <x:c r="D157" t="str">
        <x:v>Carbon / low alloy</x:v>
      </x:c>
      <x:c r="E157" t="str">
        <x:v>Sour service / SSC resistance; region varies by grade</x:v>
      </x:c>
      <x:c r="F157" s="82" t="n">
        <x:v>110</x:v>
      </x:c>
      <x:c r="G157" t="str">
        <x:v>No</x:v>
      </x:c>
      <x:c r="H157" t="str">
        <x:v>A</x:v>
      </x:c>
      <x:c r="I157" t="str">
        <x:v>Yes</x:v>
      </x:c>
      <x:c r="J157" t="str">
        <x:v>No</x:v>
      </x:c>
      <x:c r="K157" t="str">
        <x:v>No</x:v>
      </x:c>
      <x:c r="L157" t="str">
        <x:f>IF(F157="","UNKNOWN",IF(F157&lt;'WELL INPUTS'!$B$11,"BELOW","OK"))</x:f>
        <x:v>OK</x:v>
      </x:c>
      <x:c r="M157" t="str">
        <x:f>IF(AND('WELL INPUTS'!$B$4="Wet",'WELL INPUTS'!$B$5&gt;0),IF(I157="Yes","CATALOG SOUR","NOT LISTED"),"N/A")</x:f>
        <x:v>N/A</x:v>
      </x:c>
      <x:c r="N157" t="str">
        <x:f>IF(AND('WELL INPUTS'!$B$4="Wet",'WELL INPUTS'!$B$6&gt;0),IF(J157="Yes","ALLOY FAMILY","CORROSION CONTROL"),"N/A")</x:f>
        <x:v>CORROSION CONTROL</x:v>
      </x:c>
      <x:c r="O157" t="str">
        <x:f>IF('WELL INPUTS'!$B$12="Yes",IF(G157="Yes","CLAIMED","NOT LISTED"),"N/A")</x:f>
        <x:v>N/A</x:v>
      </x:c>
      <x:c r="P157" t="str">
        <x:f>IF(OR('WELL INPUTS'!$B$13="Unrestricted",CODE(H157)&lt;=CODE('WELL INPUTS'!$B$13)),"WITHIN TIER","OVER CAP")</x:f>
        <x:v>WITHIN TIER</x:v>
      </x:c>
      <x:c r="Q157" t="n">
        <x:f>MAX(0,MIN(100,43+IF(L157="OK",14,-20)+IF(M157="CATALOG SOUR",24,IF(M157="NOT LISTED",-18,0))+IF(N157="ALLOY FAMILY",14,IF(N157="CORROSION CONTROL",-13,0))+IF(O157="CLAIMED",17,IF(O157="NOT LISTED",-14,0))+IF(K157="Yes",-15,0)+IF('WELL INPUTS'!$B$10="Yes",-17,0)))</x:f>
        <x:v>44</x:v>
      </x:c>
      <x:c r="R157" s="83" t="str">
        <x:f>IF(L157="BELOW","EXCLUDE — STRENGTH",IF(P157="OVER CAP","EXCLUDE — COST",IF(K157="Yes",IF('WELL INPUTS'!$B$14="No","EXCLUDE — REFERENCE","REFERENCE ONLY"),IF(OR(L157="UNKNOWN",M157="NOT LISTED",N157="CORROSION CONTROL",O157="NOT LISTED",'WELL INPUTS'!$B$10="Yes",'WELL INPUTS'!$B$4="Unknown"),"REVIEW","CANDIDATE — VERIFY"))))</x:f>
        <x:v>REVIEW</x:v>
      </x:c>
      <x:c r="S157" t="str">
        <x:f>IF(L157="BELOW","Increase minimum grade strength",IF(P157="OVER CAP","Relax cost tier or exclude",IF(K157="Yes","Identify qualified manufacturer grade",IF(M157="NOT LISTED","Confirm sour-service claim and ISO 15156",IF(O157="NOT LISTED","Obtain manufacturer collapse curve",IF(N157="CORROSION CONTROL","Model CO2 corrosion; review inhibition","Confirm corrosion, cracking, loads and connection"))))))</x:f>
        <x:v>Model CO2 corrosion; review inhibition</x:v>
      </x:c>
      <x:c r="T157" t="str">
        <x:v>https://solutions.vallourec.com/product/sour-service/</x:v>
      </x:c>
    </x:row>
    <x:row r="158" ht="23" customHeight="1">
      <x:c r="A158" t="str">
        <x:v>OCTG-0157</x:v>
      </x:c>
      <x:c r="B158" t="str">
        <x:v>Vallourec</x:v>
      </x:c>
      <x:c r="C158" t="str">
        <x:v>VM 110 RSS</x:v>
      </x:c>
      <x:c r="D158" t="str">
        <x:v>Carbon / low alloy</x:v>
      </x:c>
      <x:c r="E158" t="str">
        <x:v>Sour service / SSC resistance; region varies by grade</x:v>
      </x:c>
      <x:c r="F158" s="82" t="n">
        <x:v>110</x:v>
      </x:c>
      <x:c r="G158" t="str">
        <x:v>No</x:v>
      </x:c>
      <x:c r="H158" t="str">
        <x:v>A</x:v>
      </x:c>
      <x:c r="I158" t="str">
        <x:v>Yes</x:v>
      </x:c>
      <x:c r="J158" t="str">
        <x:v>No</x:v>
      </x:c>
      <x:c r="K158" t="str">
        <x:v>No</x:v>
      </x:c>
      <x:c r="L158" t="str">
        <x:f>IF(F158="","UNKNOWN",IF(F158&lt;'WELL INPUTS'!$B$11,"BELOW","OK"))</x:f>
        <x:v>OK</x:v>
      </x:c>
      <x:c r="M158" t="str">
        <x:f>IF(AND('WELL INPUTS'!$B$4="Wet",'WELL INPUTS'!$B$5&gt;0),IF(I158="Yes","CATALOG SOUR","NOT LISTED"),"N/A")</x:f>
        <x:v>N/A</x:v>
      </x:c>
      <x:c r="N158" t="str">
        <x:f>IF(AND('WELL INPUTS'!$B$4="Wet",'WELL INPUTS'!$B$6&gt;0),IF(J158="Yes","ALLOY FAMILY","CORROSION CONTROL"),"N/A")</x:f>
        <x:v>CORROSION CONTROL</x:v>
      </x:c>
      <x:c r="O158" t="str">
        <x:f>IF('WELL INPUTS'!$B$12="Yes",IF(G158="Yes","CLAIMED","NOT LISTED"),"N/A")</x:f>
        <x:v>N/A</x:v>
      </x:c>
      <x:c r="P158" t="str">
        <x:f>IF(OR('WELL INPUTS'!$B$13="Unrestricted",CODE(H158)&lt;=CODE('WELL INPUTS'!$B$13)),"WITHIN TIER","OVER CAP")</x:f>
        <x:v>WITHIN TIER</x:v>
      </x:c>
      <x:c r="Q158" t="n">
        <x:f>MAX(0,MIN(100,43+IF(L158="OK",14,-20)+IF(M158="CATALOG SOUR",24,IF(M158="NOT LISTED",-18,0))+IF(N158="ALLOY FAMILY",14,IF(N158="CORROSION CONTROL",-13,0))+IF(O158="CLAIMED",17,IF(O158="NOT LISTED",-14,0))+IF(K158="Yes",-15,0)+IF('WELL INPUTS'!$B$10="Yes",-17,0)))</x:f>
        <x:v>44</x:v>
      </x:c>
      <x:c r="R158" s="83" t="str">
        <x:f>IF(L158="BELOW","EXCLUDE — STRENGTH",IF(P158="OVER CAP","EXCLUDE — COST",IF(K158="Yes",IF('WELL INPUTS'!$B$14="No","EXCLUDE — REFERENCE","REFERENCE ONLY"),IF(OR(L158="UNKNOWN",M158="NOT LISTED",N158="CORROSION CONTROL",O158="NOT LISTED",'WELL INPUTS'!$B$10="Yes",'WELL INPUTS'!$B$4="Unknown"),"REVIEW","CANDIDATE — VERIFY"))))</x:f>
        <x:v>REVIEW</x:v>
      </x:c>
      <x:c r="S158" t="str">
        <x:f>IF(L158="BELOW","Increase minimum grade strength",IF(P158="OVER CAP","Relax cost tier or exclude",IF(K158="Yes","Identify qualified manufacturer grade",IF(M158="NOT LISTED","Confirm sour-service claim and ISO 15156",IF(O158="NOT LISTED","Obtain manufacturer collapse curve",IF(N158="CORROSION CONTROL","Model CO2 corrosion; review inhibition","Confirm corrosion, cracking, loads and connection"))))))</x:f>
        <x:v>Model CO2 corrosion; review inhibition</x:v>
      </x:c>
      <x:c r="T158" t="str">
        <x:v>https://solutions.vallourec.com/product/sour-service/</x:v>
      </x:c>
    </x:row>
    <x:row r="159" ht="23" customHeight="1">
      <x:c r="A159" t="str">
        <x:v>OCTG-0158</x:v>
      </x:c>
      <x:c r="B159" t="str">
        <x:v>Vallourec</x:v>
      </x:c>
      <x:c r="C159" t="str">
        <x:v>VM 110 SS</x:v>
      </x:c>
      <x:c r="D159" t="str">
        <x:v>Carbon / low alloy</x:v>
      </x:c>
      <x:c r="E159" t="str">
        <x:v>Sour service / SSC resistance; region varies by grade</x:v>
      </x:c>
      <x:c r="F159" s="82" t="n">
        <x:v>110</x:v>
      </x:c>
      <x:c r="G159" t="str">
        <x:v>No</x:v>
      </x:c>
      <x:c r="H159" t="str">
        <x:v>A</x:v>
      </x:c>
      <x:c r="I159" t="str">
        <x:v>Yes</x:v>
      </x:c>
      <x:c r="J159" t="str">
        <x:v>No</x:v>
      </x:c>
      <x:c r="K159" t="str">
        <x:v>No</x:v>
      </x:c>
      <x:c r="L159" t="str">
        <x:f>IF(F159="","UNKNOWN",IF(F159&lt;'WELL INPUTS'!$B$11,"BELOW","OK"))</x:f>
        <x:v>OK</x:v>
      </x:c>
      <x:c r="M159" t="str">
        <x:f>IF(AND('WELL INPUTS'!$B$4="Wet",'WELL INPUTS'!$B$5&gt;0),IF(I159="Yes","CATALOG SOUR","NOT LISTED"),"N/A")</x:f>
        <x:v>N/A</x:v>
      </x:c>
      <x:c r="N159" t="str">
        <x:f>IF(AND('WELL INPUTS'!$B$4="Wet",'WELL INPUTS'!$B$6&gt;0),IF(J159="Yes","ALLOY FAMILY","CORROSION CONTROL"),"N/A")</x:f>
        <x:v>CORROSION CONTROL</x:v>
      </x:c>
      <x:c r="O159" t="str">
        <x:f>IF('WELL INPUTS'!$B$12="Yes",IF(G159="Yes","CLAIMED","NOT LISTED"),"N/A")</x:f>
        <x:v>N/A</x:v>
      </x:c>
      <x:c r="P159" t="str">
        <x:f>IF(OR('WELL INPUTS'!$B$13="Unrestricted",CODE(H159)&lt;=CODE('WELL INPUTS'!$B$13)),"WITHIN TIER","OVER CAP")</x:f>
        <x:v>WITHIN TIER</x:v>
      </x:c>
      <x:c r="Q159" t="n">
        <x:f>MAX(0,MIN(100,43+IF(L159="OK",14,-20)+IF(M159="CATALOG SOUR",24,IF(M159="NOT LISTED",-18,0))+IF(N159="ALLOY FAMILY",14,IF(N159="CORROSION CONTROL",-13,0))+IF(O159="CLAIMED",17,IF(O159="NOT LISTED",-14,0))+IF(K159="Yes",-15,0)+IF('WELL INPUTS'!$B$10="Yes",-17,0)))</x:f>
        <x:v>44</x:v>
      </x:c>
      <x:c r="R159" s="83" t="str">
        <x:f>IF(L159="BELOW","EXCLUDE — STRENGTH",IF(P159="OVER CAP","EXCLUDE — COST",IF(K159="Yes",IF('WELL INPUTS'!$B$14="No","EXCLUDE — REFERENCE","REFERENCE ONLY"),IF(OR(L159="UNKNOWN",M159="NOT LISTED",N159="CORROSION CONTROL",O159="NOT LISTED",'WELL INPUTS'!$B$10="Yes",'WELL INPUTS'!$B$4="Unknown"),"REVIEW","CANDIDATE — VERIFY"))))</x:f>
        <x:v>REVIEW</x:v>
      </x:c>
      <x:c r="S159" t="str">
        <x:f>IF(L159="BELOW","Increase minimum grade strength",IF(P159="OVER CAP","Relax cost tier or exclude",IF(K159="Yes","Identify qualified manufacturer grade",IF(M159="NOT LISTED","Confirm sour-service claim and ISO 15156",IF(O159="NOT LISTED","Obtain manufacturer collapse curve",IF(N159="CORROSION CONTROL","Model CO2 corrosion; review inhibition","Confirm corrosion, cracking, loads and connection"))))))</x:f>
        <x:v>Model CO2 corrosion; review inhibition</x:v>
      </x:c>
      <x:c r="T159" t="str">
        <x:v>https://solutions.vallourec.com/product/sour-service/</x:v>
      </x:c>
    </x:row>
    <x:row r="160" ht="23" customHeight="1">
      <x:c r="A160" t="str">
        <x:v>OCTG-0159</x:v>
      </x:c>
      <x:c r="B160" t="str">
        <x:v>Vallourec</x:v>
      </x:c>
      <x:c r="C160" t="str">
        <x:v>VM 110 SS-D</x:v>
      </x:c>
      <x:c r="D160" t="str">
        <x:v>Carbon / low alloy</x:v>
      </x:c>
      <x:c r="E160" t="str">
        <x:v>Sour service / SSC resistance; region varies by grade</x:v>
      </x:c>
      <x:c r="F160" s="82" t="n">
        <x:v>110</x:v>
      </x:c>
      <x:c r="G160" t="str">
        <x:v>No</x:v>
      </x:c>
      <x:c r="H160" t="str">
        <x:v>A</x:v>
      </x:c>
      <x:c r="I160" t="str">
        <x:v>Yes</x:v>
      </x:c>
      <x:c r="J160" t="str">
        <x:v>No</x:v>
      </x:c>
      <x:c r="K160" t="str">
        <x:v>No</x:v>
      </x:c>
      <x:c r="L160" t="str">
        <x:f>IF(F160="","UNKNOWN",IF(F160&lt;'WELL INPUTS'!$B$11,"BELOW","OK"))</x:f>
        <x:v>OK</x:v>
      </x:c>
      <x:c r="M160" t="str">
        <x:f>IF(AND('WELL INPUTS'!$B$4="Wet",'WELL INPUTS'!$B$5&gt;0),IF(I160="Yes","CATALOG SOUR","NOT LISTED"),"N/A")</x:f>
        <x:v>N/A</x:v>
      </x:c>
      <x:c r="N160" t="str">
        <x:f>IF(AND('WELL INPUTS'!$B$4="Wet",'WELL INPUTS'!$B$6&gt;0),IF(J160="Yes","ALLOY FAMILY","CORROSION CONTROL"),"N/A")</x:f>
        <x:v>CORROSION CONTROL</x:v>
      </x:c>
      <x:c r="O160" t="str">
        <x:f>IF('WELL INPUTS'!$B$12="Yes",IF(G160="Yes","CLAIMED","NOT LISTED"),"N/A")</x:f>
        <x:v>N/A</x:v>
      </x:c>
      <x:c r="P160" t="str">
        <x:f>IF(OR('WELL INPUTS'!$B$13="Unrestricted",CODE(H160)&lt;=CODE('WELL INPUTS'!$B$13)),"WITHIN TIER","OVER CAP")</x:f>
        <x:v>WITHIN TIER</x:v>
      </x:c>
      <x:c r="Q160" t="n">
        <x:f>MAX(0,MIN(100,43+IF(L160="OK",14,-20)+IF(M160="CATALOG SOUR",24,IF(M160="NOT LISTED",-18,0))+IF(N160="ALLOY FAMILY",14,IF(N160="CORROSION CONTROL",-13,0))+IF(O160="CLAIMED",17,IF(O160="NOT LISTED",-14,0))+IF(K160="Yes",-15,0)+IF('WELL INPUTS'!$B$10="Yes",-17,0)))</x:f>
        <x:v>44</x:v>
      </x:c>
      <x:c r="R160" s="83" t="str">
        <x:f>IF(L160="BELOW","EXCLUDE — STRENGTH",IF(P160="OVER CAP","EXCLUDE — COST",IF(K160="Yes",IF('WELL INPUTS'!$B$14="No","EXCLUDE — REFERENCE","REFERENCE ONLY"),IF(OR(L160="UNKNOWN",M160="NOT LISTED",N160="CORROSION CONTROL",O160="NOT LISTED",'WELL INPUTS'!$B$10="Yes",'WELL INPUTS'!$B$4="Unknown"),"REVIEW","CANDIDATE — VERIFY"))))</x:f>
        <x:v>REVIEW</x:v>
      </x:c>
      <x:c r="S160" t="str">
        <x:f>IF(L160="BELOW","Increase minimum grade strength",IF(P160="OVER CAP","Relax cost tier or exclude",IF(K160="Yes","Identify qualified manufacturer grade",IF(M160="NOT LISTED","Confirm sour-service claim and ISO 15156",IF(O160="NOT LISTED","Obtain manufacturer collapse curve",IF(N160="CORROSION CONTROL","Model CO2 corrosion; review inhibition","Confirm corrosion, cracking, loads and connection"))))))</x:f>
        <x:v>Model CO2 corrosion; review inhibition</x:v>
      </x:c>
      <x:c r="T160" t="str">
        <x:v>https://solutions.vallourec.com/product/sour-service/</x:v>
      </x:c>
    </x:row>
    <x:row r="161" ht="23" customHeight="1">
      <x:c r="A161" t="str">
        <x:v>OCTG-0160</x:v>
      </x:c>
      <x:c r="B161" t="str">
        <x:v>Vallourec</x:v>
      </x:c>
      <x:c r="C161" t="str">
        <x:v>VM 125 CY</x:v>
      </x:c>
      <x:c r="D161" t="str">
        <x:v>Carbon / low alloy</x:v>
      </x:c>
      <x:c r="E161" t="str">
        <x:v>High strength / controlled yield, deep wells</x:v>
      </x:c>
      <x:c r="F161" s="82" t="n">
        <x:v>125</x:v>
      </x:c>
      <x:c r="G161" t="str">
        <x:v>No</x:v>
      </x:c>
      <x:c r="H161" t="str">
        <x:v>A</x:v>
      </x:c>
      <x:c r="I161" t="str">
        <x:v>No</x:v>
      </x:c>
      <x:c r="J161" t="str">
        <x:v>No</x:v>
      </x:c>
      <x:c r="K161" t="str">
        <x:v>No</x:v>
      </x:c>
      <x:c r="L161" t="str">
        <x:f>IF(F161="","UNKNOWN",IF(F161&lt;'WELL INPUTS'!$B$11,"BELOW","OK"))</x:f>
        <x:v>OK</x:v>
      </x:c>
      <x:c r="M161" t="str">
        <x:f>IF(AND('WELL INPUTS'!$B$4="Wet",'WELL INPUTS'!$B$5&gt;0),IF(I161="Yes","CATALOG SOUR","NOT LISTED"),"N/A")</x:f>
        <x:v>N/A</x:v>
      </x:c>
      <x:c r="N161" t="str">
        <x:f>IF(AND('WELL INPUTS'!$B$4="Wet",'WELL INPUTS'!$B$6&gt;0),IF(J161="Yes","ALLOY FAMILY","CORROSION CONTROL"),"N/A")</x:f>
        <x:v>CORROSION CONTROL</x:v>
      </x:c>
      <x:c r="O161" t="str">
        <x:f>IF('WELL INPUTS'!$B$12="Yes",IF(G161="Yes","CLAIMED","NOT LISTED"),"N/A")</x:f>
        <x:v>N/A</x:v>
      </x:c>
      <x:c r="P161" t="str">
        <x:f>IF(OR('WELL INPUTS'!$B$13="Unrestricted",CODE(H161)&lt;=CODE('WELL INPUTS'!$B$13)),"WITHIN TIER","OVER CAP")</x:f>
        <x:v>WITHIN TIER</x:v>
      </x:c>
      <x:c r="Q161" t="n">
        <x:f>MAX(0,MIN(100,43+IF(L161="OK",14,-20)+IF(M161="CATALOG SOUR",24,IF(M161="NOT LISTED",-18,0))+IF(N161="ALLOY FAMILY",14,IF(N161="CORROSION CONTROL",-13,0))+IF(O161="CLAIMED",17,IF(O161="NOT LISTED",-14,0))+IF(K161="Yes",-15,0)+IF('WELL INPUTS'!$B$10="Yes",-17,0)))</x:f>
        <x:v>44</x:v>
      </x:c>
      <x:c r="R161" s="83" t="str">
        <x:f>IF(L161="BELOW","EXCLUDE — STRENGTH",IF(P161="OVER CAP","EXCLUDE — COST",IF(K161="Yes",IF('WELL INPUTS'!$B$14="No","EXCLUDE — REFERENCE","REFERENCE ONLY"),IF(OR(L161="UNKNOWN",M161="NOT LISTED",N161="CORROSION CONTROL",O161="NOT LISTED",'WELL INPUTS'!$B$10="Yes",'WELL INPUTS'!$B$4="Unknown"),"REVIEW","CANDIDATE — VERIFY"))))</x:f>
        <x:v>REVIEW</x:v>
      </x:c>
      <x:c r="S161" t="str">
        <x:f>IF(L161="BELOW","Increase minimum grade strength",IF(P161="OVER CAP","Relax cost tier or exclude",IF(K161="Yes","Identify qualified manufacturer grade",IF(M161="NOT LISTED","Confirm sour-service claim and ISO 15156",IF(O161="NOT LISTED","Obtain manufacturer collapse curve",IF(N161="CORROSION CONTROL","Model CO2 corrosion; review inhibition","Confirm corrosion, cracking, loads and connection"))))))</x:f>
        <x:v>Model CO2 corrosion; review inhibition</x:v>
      </x:c>
      <x:c r="T161" t="str">
        <x:v>https://solutions.vallourec.com/product/high-strength/</x:v>
      </x:c>
    </x:row>
    <x:row r="162" ht="23" customHeight="1">
      <x:c r="A162" t="str">
        <x:v>OCTG-0161</x:v>
      </x:c>
      <x:c r="B162" t="str">
        <x:v>Vallourec</x:v>
      </x:c>
      <x:c r="C162" t="str">
        <x:v>VM 125 CYHC</x:v>
      </x:c>
      <x:c r="D162" t="str">
        <x:v>Carbon / low alloy</x:v>
      </x:c>
      <x:c r="E162" t="str">
        <x:v>High collapse; sour qualified where HCSS/HCMS/HCESS</x:v>
      </x:c>
      <x:c r="F162" s="82" t="n">
        <x:v>125</x:v>
      </x:c>
      <x:c r="G162" t="str">
        <x:v>Yes</x:v>
      </x:c>
      <x:c r="H162" t="str">
        <x:v>A</x:v>
      </x:c>
      <x:c r="I162" t="str">
        <x:v>Yes</x:v>
      </x:c>
      <x:c r="J162" t="str">
        <x:v>No</x:v>
      </x:c>
      <x:c r="K162" t="str">
        <x:v>No</x:v>
      </x:c>
      <x:c r="L162" t="str">
        <x:f>IF(F162="","UNKNOWN",IF(F162&lt;'WELL INPUTS'!$B$11,"BELOW","OK"))</x:f>
        <x:v>OK</x:v>
      </x:c>
      <x:c r="M162" t="str">
        <x:f>IF(AND('WELL INPUTS'!$B$4="Wet",'WELL INPUTS'!$B$5&gt;0),IF(I162="Yes","CATALOG SOUR","NOT LISTED"),"N/A")</x:f>
        <x:v>N/A</x:v>
      </x:c>
      <x:c r="N162" t="str">
        <x:f>IF(AND('WELL INPUTS'!$B$4="Wet",'WELL INPUTS'!$B$6&gt;0),IF(J162="Yes","ALLOY FAMILY","CORROSION CONTROL"),"N/A")</x:f>
        <x:v>CORROSION CONTROL</x:v>
      </x:c>
      <x:c r="O162" t="str">
        <x:f>IF('WELL INPUTS'!$B$12="Yes",IF(G162="Yes","CLAIMED","NOT LISTED"),"N/A")</x:f>
        <x:v>N/A</x:v>
      </x:c>
      <x:c r="P162" t="str">
        <x:f>IF(OR('WELL INPUTS'!$B$13="Unrestricted",CODE(H162)&lt;=CODE('WELL INPUTS'!$B$13)),"WITHIN TIER","OVER CAP")</x:f>
        <x:v>WITHIN TIER</x:v>
      </x:c>
      <x:c r="Q162" t="n">
        <x:f>MAX(0,MIN(100,43+IF(L162="OK",14,-20)+IF(M162="CATALOG SOUR",24,IF(M162="NOT LISTED",-18,0))+IF(N162="ALLOY FAMILY",14,IF(N162="CORROSION CONTROL",-13,0))+IF(O162="CLAIMED",17,IF(O162="NOT LISTED",-14,0))+IF(K162="Yes",-15,0)+IF('WELL INPUTS'!$B$10="Yes",-17,0)))</x:f>
        <x:v>44</x:v>
      </x:c>
      <x:c r="R162" s="83" t="str">
        <x:f>IF(L162="BELOW","EXCLUDE — STRENGTH",IF(P162="OVER CAP","EXCLUDE — COST",IF(K162="Yes",IF('WELL INPUTS'!$B$14="No","EXCLUDE — REFERENCE","REFERENCE ONLY"),IF(OR(L162="UNKNOWN",M162="NOT LISTED",N162="CORROSION CONTROL",O162="NOT LISTED",'WELL INPUTS'!$B$10="Yes",'WELL INPUTS'!$B$4="Unknown"),"REVIEW","CANDIDATE — VERIFY"))))</x:f>
        <x:v>REVIEW</x:v>
      </x:c>
      <x:c r="S162" t="str">
        <x:f>IF(L162="BELOW","Increase minimum grade strength",IF(P162="OVER CAP","Relax cost tier or exclude",IF(K162="Yes","Identify qualified manufacturer grade",IF(M162="NOT LISTED","Confirm sour-service claim and ISO 15156",IF(O162="NOT LISTED","Obtain manufacturer collapse curve",IF(N162="CORROSION CONTROL","Model CO2 corrosion; review inhibition","Confirm corrosion, cracking, loads and connection"))))))</x:f>
        <x:v>Model CO2 corrosion; review inhibition</x:v>
      </x:c>
      <x:c r="T162" t="str">
        <x:v>https://solutions.vallourec.com/product/high-collapse/</x:v>
      </x:c>
    </x:row>
    <x:row r="163" ht="23" customHeight="1">
      <x:c r="A163" t="str">
        <x:v>OCTG-0162</x:v>
      </x:c>
      <x:c r="B163" t="str">
        <x:v>Vallourec</x:v>
      </x:c>
      <x:c r="C163" t="str">
        <x:v>VM 125 ESS</x:v>
      </x:c>
      <x:c r="D163" t="str">
        <x:v>Carbon / low alloy</x:v>
      </x:c>
      <x:c r="E163" t="str">
        <x:v>Sour service / SSC resistance; region varies by grade</x:v>
      </x:c>
      <x:c r="F163" s="82" t="n">
        <x:v>125</x:v>
      </x:c>
      <x:c r="G163" t="str">
        <x:v>No</x:v>
      </x:c>
      <x:c r="H163" t="str">
        <x:v>A</x:v>
      </x:c>
      <x:c r="I163" t="str">
        <x:v>Yes</x:v>
      </x:c>
      <x:c r="J163" t="str">
        <x:v>No</x:v>
      </x:c>
      <x:c r="K163" t="str">
        <x:v>No</x:v>
      </x:c>
      <x:c r="L163" t="str">
        <x:f>IF(F163="","UNKNOWN",IF(F163&lt;'WELL INPUTS'!$B$11,"BELOW","OK"))</x:f>
        <x:v>OK</x:v>
      </x:c>
      <x:c r="M163" t="str">
        <x:f>IF(AND('WELL INPUTS'!$B$4="Wet",'WELL INPUTS'!$B$5&gt;0),IF(I163="Yes","CATALOG SOUR","NOT LISTED"),"N/A")</x:f>
        <x:v>N/A</x:v>
      </x:c>
      <x:c r="N163" t="str">
        <x:f>IF(AND('WELL INPUTS'!$B$4="Wet",'WELL INPUTS'!$B$6&gt;0),IF(J163="Yes","ALLOY FAMILY","CORROSION CONTROL"),"N/A")</x:f>
        <x:v>CORROSION CONTROL</x:v>
      </x:c>
      <x:c r="O163" t="str">
        <x:f>IF('WELL INPUTS'!$B$12="Yes",IF(G163="Yes","CLAIMED","NOT LISTED"),"N/A")</x:f>
        <x:v>N/A</x:v>
      </x:c>
      <x:c r="P163" t="str">
        <x:f>IF(OR('WELL INPUTS'!$B$13="Unrestricted",CODE(H163)&lt;=CODE('WELL INPUTS'!$B$13)),"WITHIN TIER","OVER CAP")</x:f>
        <x:v>WITHIN TIER</x:v>
      </x:c>
      <x:c r="Q163" t="n">
        <x:f>MAX(0,MIN(100,43+IF(L163="OK",14,-20)+IF(M163="CATALOG SOUR",24,IF(M163="NOT LISTED",-18,0))+IF(N163="ALLOY FAMILY",14,IF(N163="CORROSION CONTROL",-13,0))+IF(O163="CLAIMED",17,IF(O163="NOT LISTED",-14,0))+IF(K163="Yes",-15,0)+IF('WELL INPUTS'!$B$10="Yes",-17,0)))</x:f>
        <x:v>44</x:v>
      </x:c>
      <x:c r="R163" s="83" t="str">
        <x:f>IF(L163="BELOW","EXCLUDE — STRENGTH",IF(P163="OVER CAP","EXCLUDE — COST",IF(K163="Yes",IF('WELL INPUTS'!$B$14="No","EXCLUDE — REFERENCE","REFERENCE ONLY"),IF(OR(L163="UNKNOWN",M163="NOT LISTED",N163="CORROSION CONTROL",O163="NOT LISTED",'WELL INPUTS'!$B$10="Yes",'WELL INPUTS'!$B$4="Unknown"),"REVIEW","CANDIDATE — VERIFY"))))</x:f>
        <x:v>REVIEW</x:v>
      </x:c>
      <x:c r="S163" t="str">
        <x:f>IF(L163="BELOW","Increase minimum grade strength",IF(P163="OVER CAP","Relax cost tier or exclude",IF(K163="Yes","Identify qualified manufacturer grade",IF(M163="NOT LISTED","Confirm sour-service claim and ISO 15156",IF(O163="NOT LISTED","Obtain manufacturer collapse curve",IF(N163="CORROSION CONTROL","Model CO2 corrosion; review inhibition","Confirm corrosion, cracking, loads and connection"))))))</x:f>
        <x:v>Model CO2 corrosion; review inhibition</x:v>
      </x:c>
      <x:c r="T163" t="str">
        <x:v>https://solutions.vallourec.com/product/sour-service/</x:v>
      </x:c>
    </x:row>
    <x:row r="164" ht="23" customHeight="1">
      <x:c r="A164" t="str">
        <x:v>OCTG-0163</x:v>
      </x:c>
      <x:c r="B164" t="str">
        <x:v>Vallourec</x:v>
      </x:c>
      <x:c r="C164" t="str">
        <x:v>VM 125 HC</x:v>
      </x:c>
      <x:c r="D164" t="str">
        <x:v>Carbon / low alloy</x:v>
      </x:c>
      <x:c r="E164" t="str">
        <x:v>High collapse; sour qualified where HCSS/HCMS/HCESS</x:v>
      </x:c>
      <x:c r="F164" s="82" t="n">
        <x:v>125</x:v>
      </x:c>
      <x:c r="G164" t="str">
        <x:v>Yes</x:v>
      </x:c>
      <x:c r="H164" t="str">
        <x:v>A</x:v>
      </x:c>
      <x:c r="I164" t="str">
        <x:v>Yes</x:v>
      </x:c>
      <x:c r="J164" t="str">
        <x:v>No</x:v>
      </x:c>
      <x:c r="K164" t="str">
        <x:v>No</x:v>
      </x:c>
      <x:c r="L164" t="str">
        <x:f>IF(F164="","UNKNOWN",IF(F164&lt;'WELL INPUTS'!$B$11,"BELOW","OK"))</x:f>
        <x:v>OK</x:v>
      </x:c>
      <x:c r="M164" t="str">
        <x:f>IF(AND('WELL INPUTS'!$B$4="Wet",'WELL INPUTS'!$B$5&gt;0),IF(I164="Yes","CATALOG SOUR","NOT LISTED"),"N/A")</x:f>
        <x:v>N/A</x:v>
      </x:c>
      <x:c r="N164" t="str">
        <x:f>IF(AND('WELL INPUTS'!$B$4="Wet",'WELL INPUTS'!$B$6&gt;0),IF(J164="Yes","ALLOY FAMILY","CORROSION CONTROL"),"N/A")</x:f>
        <x:v>CORROSION CONTROL</x:v>
      </x:c>
      <x:c r="O164" t="str">
        <x:f>IF('WELL INPUTS'!$B$12="Yes",IF(G164="Yes","CLAIMED","NOT LISTED"),"N/A")</x:f>
        <x:v>N/A</x:v>
      </x:c>
      <x:c r="P164" t="str">
        <x:f>IF(OR('WELL INPUTS'!$B$13="Unrestricted",CODE(H164)&lt;=CODE('WELL INPUTS'!$B$13)),"WITHIN TIER","OVER CAP")</x:f>
        <x:v>WITHIN TIER</x:v>
      </x:c>
      <x:c r="Q164" t="n">
        <x:f>MAX(0,MIN(100,43+IF(L164="OK",14,-20)+IF(M164="CATALOG SOUR",24,IF(M164="NOT LISTED",-18,0))+IF(N164="ALLOY FAMILY",14,IF(N164="CORROSION CONTROL",-13,0))+IF(O164="CLAIMED",17,IF(O164="NOT LISTED",-14,0))+IF(K164="Yes",-15,0)+IF('WELL INPUTS'!$B$10="Yes",-17,0)))</x:f>
        <x:v>44</x:v>
      </x:c>
      <x:c r="R164" s="83" t="str">
        <x:f>IF(L164="BELOW","EXCLUDE — STRENGTH",IF(P164="OVER CAP","EXCLUDE — COST",IF(K164="Yes",IF('WELL INPUTS'!$B$14="No","EXCLUDE — REFERENCE","REFERENCE ONLY"),IF(OR(L164="UNKNOWN",M164="NOT LISTED",N164="CORROSION CONTROL",O164="NOT LISTED",'WELL INPUTS'!$B$10="Yes",'WELL INPUTS'!$B$4="Unknown"),"REVIEW","CANDIDATE — VERIFY"))))</x:f>
        <x:v>REVIEW</x:v>
      </x:c>
      <x:c r="S164" t="str">
        <x:f>IF(L164="BELOW","Increase minimum grade strength",IF(P164="OVER CAP","Relax cost tier or exclude",IF(K164="Yes","Identify qualified manufacturer grade",IF(M164="NOT LISTED","Confirm sour-service claim and ISO 15156",IF(O164="NOT LISTED","Obtain manufacturer collapse curve",IF(N164="CORROSION CONTROL","Model CO2 corrosion; review inhibition","Confirm corrosion, cracking, loads and connection"))))))</x:f>
        <x:v>Model CO2 corrosion; review inhibition</x:v>
      </x:c>
      <x:c r="T164" t="str">
        <x:v>https://solutions.vallourec.com/product/high-collapse/</x:v>
      </x:c>
    </x:row>
    <x:row r="165" ht="23" customHeight="1">
      <x:c r="A165" t="str">
        <x:v>OCTG-0164</x:v>
      </x:c>
      <x:c r="B165" t="str">
        <x:v>Vallourec</x:v>
      </x:c>
      <x:c r="C165" t="str">
        <x:v>VM 125 HCESS</x:v>
      </x:c>
      <x:c r="D165" t="str">
        <x:v>Carbon / low alloy</x:v>
      </x:c>
      <x:c r="E165" t="str">
        <x:v>High collapse; sour qualified where HCSS/HCMS/HCESS</x:v>
      </x:c>
      <x:c r="F165" s="82" t="n">
        <x:v>125</x:v>
      </x:c>
      <x:c r="G165" t="str">
        <x:v>Yes</x:v>
      </x:c>
      <x:c r="H165" t="str">
        <x:v>A</x:v>
      </x:c>
      <x:c r="I165" t="str">
        <x:v>Yes</x:v>
      </x:c>
      <x:c r="J165" t="str">
        <x:v>No</x:v>
      </x:c>
      <x:c r="K165" t="str">
        <x:v>No</x:v>
      </x:c>
      <x:c r="L165" t="str">
        <x:f>IF(F165="","UNKNOWN",IF(F165&lt;'WELL INPUTS'!$B$11,"BELOW","OK"))</x:f>
        <x:v>OK</x:v>
      </x:c>
      <x:c r="M165" t="str">
        <x:f>IF(AND('WELL INPUTS'!$B$4="Wet",'WELL INPUTS'!$B$5&gt;0),IF(I165="Yes","CATALOG SOUR","NOT LISTED"),"N/A")</x:f>
        <x:v>N/A</x:v>
      </x:c>
      <x:c r="N165" t="str">
        <x:f>IF(AND('WELL INPUTS'!$B$4="Wet",'WELL INPUTS'!$B$6&gt;0),IF(J165="Yes","ALLOY FAMILY","CORROSION CONTROL"),"N/A")</x:f>
        <x:v>CORROSION CONTROL</x:v>
      </x:c>
      <x:c r="O165" t="str">
        <x:f>IF('WELL INPUTS'!$B$12="Yes",IF(G165="Yes","CLAIMED","NOT LISTED"),"N/A")</x:f>
        <x:v>N/A</x:v>
      </x:c>
      <x:c r="P165" t="str">
        <x:f>IF(OR('WELL INPUTS'!$B$13="Unrestricted",CODE(H165)&lt;=CODE('WELL INPUTS'!$B$13)),"WITHIN TIER","OVER CAP")</x:f>
        <x:v>WITHIN TIER</x:v>
      </x:c>
      <x:c r="Q165" t="n">
        <x:f>MAX(0,MIN(100,43+IF(L165="OK",14,-20)+IF(M165="CATALOG SOUR",24,IF(M165="NOT LISTED",-18,0))+IF(N165="ALLOY FAMILY",14,IF(N165="CORROSION CONTROL",-13,0))+IF(O165="CLAIMED",17,IF(O165="NOT LISTED",-14,0))+IF(K165="Yes",-15,0)+IF('WELL INPUTS'!$B$10="Yes",-17,0)))</x:f>
        <x:v>44</x:v>
      </x:c>
      <x:c r="R165" s="83" t="str">
        <x:f>IF(L165="BELOW","EXCLUDE — STRENGTH",IF(P165="OVER CAP","EXCLUDE — COST",IF(K165="Yes",IF('WELL INPUTS'!$B$14="No","EXCLUDE — REFERENCE","REFERENCE ONLY"),IF(OR(L165="UNKNOWN",M165="NOT LISTED",N165="CORROSION CONTROL",O165="NOT LISTED",'WELL INPUTS'!$B$10="Yes",'WELL INPUTS'!$B$4="Unknown"),"REVIEW","CANDIDATE — VERIFY"))))</x:f>
        <x:v>REVIEW</x:v>
      </x:c>
      <x:c r="S165" t="str">
        <x:f>IF(L165="BELOW","Increase minimum grade strength",IF(P165="OVER CAP","Relax cost tier or exclude",IF(K165="Yes","Identify qualified manufacturer grade",IF(M165="NOT LISTED","Confirm sour-service claim and ISO 15156",IF(O165="NOT LISTED","Obtain manufacturer collapse curve",IF(N165="CORROSION CONTROL","Model CO2 corrosion; review inhibition","Confirm corrosion, cracking, loads and connection"))))))</x:f>
        <x:v>Model CO2 corrosion; review inhibition</x:v>
      </x:c>
      <x:c r="T165" t="str">
        <x:v>https://solutions.vallourec.com/product/high-collapse/</x:v>
      </x:c>
    </x:row>
    <x:row r="166" ht="23" customHeight="1">
      <x:c r="A166" t="str">
        <x:v>OCTG-0165</x:v>
      </x:c>
      <x:c r="B166" t="str">
        <x:v>Vallourec</x:v>
      </x:c>
      <x:c r="C166" t="str">
        <x:v>VM 125 HCSS</x:v>
      </x:c>
      <x:c r="D166" t="str">
        <x:v>Carbon / low alloy</x:v>
      </x:c>
      <x:c r="E166" t="str">
        <x:v>High collapse; sour qualified where HCSS/HCMS/HCESS</x:v>
      </x:c>
      <x:c r="F166" s="82" t="n">
        <x:v>125</x:v>
      </x:c>
      <x:c r="G166" t="str">
        <x:v>Yes</x:v>
      </x:c>
      <x:c r="H166" t="str">
        <x:v>A</x:v>
      </x:c>
      <x:c r="I166" t="str">
        <x:v>Yes</x:v>
      </x:c>
      <x:c r="J166" t="str">
        <x:v>No</x:v>
      </x:c>
      <x:c r="K166" t="str">
        <x:v>No</x:v>
      </x:c>
      <x:c r="L166" t="str">
        <x:f>IF(F166="","UNKNOWN",IF(F166&lt;'WELL INPUTS'!$B$11,"BELOW","OK"))</x:f>
        <x:v>OK</x:v>
      </x:c>
      <x:c r="M166" t="str">
        <x:f>IF(AND('WELL INPUTS'!$B$4="Wet",'WELL INPUTS'!$B$5&gt;0),IF(I166="Yes","CATALOG SOUR","NOT LISTED"),"N/A")</x:f>
        <x:v>N/A</x:v>
      </x:c>
      <x:c r="N166" t="str">
        <x:f>IF(AND('WELL INPUTS'!$B$4="Wet",'WELL INPUTS'!$B$6&gt;0),IF(J166="Yes","ALLOY FAMILY","CORROSION CONTROL"),"N/A")</x:f>
        <x:v>CORROSION CONTROL</x:v>
      </x:c>
      <x:c r="O166" t="str">
        <x:f>IF('WELL INPUTS'!$B$12="Yes",IF(G166="Yes","CLAIMED","NOT LISTED"),"N/A")</x:f>
        <x:v>N/A</x:v>
      </x:c>
      <x:c r="P166" t="str">
        <x:f>IF(OR('WELL INPUTS'!$B$13="Unrestricted",CODE(H166)&lt;=CODE('WELL INPUTS'!$B$13)),"WITHIN TIER","OVER CAP")</x:f>
        <x:v>WITHIN TIER</x:v>
      </x:c>
      <x:c r="Q166" t="n">
        <x:f>MAX(0,MIN(100,43+IF(L166="OK",14,-20)+IF(M166="CATALOG SOUR",24,IF(M166="NOT LISTED",-18,0))+IF(N166="ALLOY FAMILY",14,IF(N166="CORROSION CONTROL",-13,0))+IF(O166="CLAIMED",17,IF(O166="NOT LISTED",-14,0))+IF(K166="Yes",-15,0)+IF('WELL INPUTS'!$B$10="Yes",-17,0)))</x:f>
        <x:v>44</x:v>
      </x:c>
      <x:c r="R166" s="83" t="str">
        <x:f>IF(L166="BELOW","EXCLUDE — STRENGTH",IF(P166="OVER CAP","EXCLUDE — COST",IF(K166="Yes",IF('WELL INPUTS'!$B$14="No","EXCLUDE — REFERENCE","REFERENCE ONLY"),IF(OR(L166="UNKNOWN",M166="NOT LISTED",N166="CORROSION CONTROL",O166="NOT LISTED",'WELL INPUTS'!$B$10="Yes",'WELL INPUTS'!$B$4="Unknown"),"REVIEW","CANDIDATE — VERIFY"))))</x:f>
        <x:v>REVIEW</x:v>
      </x:c>
      <x:c r="S166" t="str">
        <x:f>IF(L166="BELOW","Increase minimum grade strength",IF(P166="OVER CAP","Relax cost tier or exclude",IF(K166="Yes","Identify qualified manufacturer grade",IF(M166="NOT LISTED","Confirm sour-service claim and ISO 15156",IF(O166="NOT LISTED","Obtain manufacturer collapse curve",IF(N166="CORROSION CONTROL","Model CO2 corrosion; review inhibition","Confirm corrosion, cracking, loads and connection"))))))</x:f>
        <x:v>Model CO2 corrosion; review inhibition</x:v>
      </x:c>
      <x:c r="T166" t="str">
        <x:v>https://solutions.vallourec.com/product/high-collapse/</x:v>
      </x:c>
    </x:row>
    <x:row r="167" ht="23" customHeight="1">
      <x:c r="A167" t="str">
        <x:v>OCTG-0166</x:v>
      </x:c>
      <x:c r="B167" t="str">
        <x:v>Vallourec</x:v>
      </x:c>
      <x:c r="C167" t="str">
        <x:v>VM 125 SS</x:v>
      </x:c>
      <x:c r="D167" t="str">
        <x:v>Carbon / low alloy</x:v>
      </x:c>
      <x:c r="E167" t="str">
        <x:v>Sour service / SSC resistance; region varies by grade</x:v>
      </x:c>
      <x:c r="F167" s="82" t="n">
        <x:v>125</x:v>
      </x:c>
      <x:c r="G167" t="str">
        <x:v>No</x:v>
      </x:c>
      <x:c r="H167" t="str">
        <x:v>A</x:v>
      </x:c>
      <x:c r="I167" t="str">
        <x:v>Yes</x:v>
      </x:c>
      <x:c r="J167" t="str">
        <x:v>No</x:v>
      </x:c>
      <x:c r="K167" t="str">
        <x:v>No</x:v>
      </x:c>
      <x:c r="L167" t="str">
        <x:f>IF(F167="","UNKNOWN",IF(F167&lt;'WELL INPUTS'!$B$11,"BELOW","OK"))</x:f>
        <x:v>OK</x:v>
      </x:c>
      <x:c r="M167" t="str">
        <x:f>IF(AND('WELL INPUTS'!$B$4="Wet",'WELL INPUTS'!$B$5&gt;0),IF(I167="Yes","CATALOG SOUR","NOT LISTED"),"N/A")</x:f>
        <x:v>N/A</x:v>
      </x:c>
      <x:c r="N167" t="str">
        <x:f>IF(AND('WELL INPUTS'!$B$4="Wet",'WELL INPUTS'!$B$6&gt;0),IF(J167="Yes","ALLOY FAMILY","CORROSION CONTROL"),"N/A")</x:f>
        <x:v>CORROSION CONTROL</x:v>
      </x:c>
      <x:c r="O167" t="str">
        <x:f>IF('WELL INPUTS'!$B$12="Yes",IF(G167="Yes","CLAIMED","NOT LISTED"),"N/A")</x:f>
        <x:v>N/A</x:v>
      </x:c>
      <x:c r="P167" t="str">
        <x:f>IF(OR('WELL INPUTS'!$B$13="Unrestricted",CODE(H167)&lt;=CODE('WELL INPUTS'!$B$13)),"WITHIN TIER","OVER CAP")</x:f>
        <x:v>WITHIN TIER</x:v>
      </x:c>
      <x:c r="Q167" t="n">
        <x:f>MAX(0,MIN(100,43+IF(L167="OK",14,-20)+IF(M167="CATALOG SOUR",24,IF(M167="NOT LISTED",-18,0))+IF(N167="ALLOY FAMILY",14,IF(N167="CORROSION CONTROL",-13,0))+IF(O167="CLAIMED",17,IF(O167="NOT LISTED",-14,0))+IF(K167="Yes",-15,0)+IF('WELL INPUTS'!$B$10="Yes",-17,0)))</x:f>
        <x:v>44</x:v>
      </x:c>
      <x:c r="R167" s="83" t="str">
        <x:f>IF(L167="BELOW","EXCLUDE — STRENGTH",IF(P167="OVER CAP","EXCLUDE — COST",IF(K167="Yes",IF('WELL INPUTS'!$B$14="No","EXCLUDE — REFERENCE","REFERENCE ONLY"),IF(OR(L167="UNKNOWN",M167="NOT LISTED",N167="CORROSION CONTROL",O167="NOT LISTED",'WELL INPUTS'!$B$10="Yes",'WELL INPUTS'!$B$4="Unknown"),"REVIEW","CANDIDATE — VERIFY"))))</x:f>
        <x:v>REVIEW</x:v>
      </x:c>
      <x:c r="S167" t="str">
        <x:f>IF(L167="BELOW","Increase minimum grade strength",IF(P167="OVER CAP","Relax cost tier or exclude",IF(K167="Yes","Identify qualified manufacturer grade",IF(M167="NOT LISTED","Confirm sour-service claim and ISO 15156",IF(O167="NOT LISTED","Obtain manufacturer collapse curve",IF(N167="CORROSION CONTROL","Model CO2 corrosion; review inhibition","Confirm corrosion, cracking, loads and connection"))))))</x:f>
        <x:v>Model CO2 corrosion; review inhibition</x:v>
      </x:c>
      <x:c r="T167" t="str">
        <x:v>https://solutions.vallourec.com/product/sour-service/</x:v>
      </x:c>
    </x:row>
    <x:row r="168" ht="23" customHeight="1">
      <x:c r="A168" t="str">
        <x:v>OCTG-0167</x:v>
      </x:c>
      <x:c r="B168" t="str">
        <x:v>Vallourec</x:v>
      </x:c>
      <x:c r="C168" t="str">
        <x:v>VM 125 SS-D</x:v>
      </x:c>
      <x:c r="D168" t="str">
        <x:v>Carbon / low alloy</x:v>
      </x:c>
      <x:c r="E168" t="str">
        <x:v>Sour service / SSC resistance; region varies by grade</x:v>
      </x:c>
      <x:c r="F168" s="82" t="n">
        <x:v>125</x:v>
      </x:c>
      <x:c r="G168" t="str">
        <x:v>No</x:v>
      </x:c>
      <x:c r="H168" t="str">
        <x:v>A</x:v>
      </x:c>
      <x:c r="I168" t="str">
        <x:v>Yes</x:v>
      </x:c>
      <x:c r="J168" t="str">
        <x:v>No</x:v>
      </x:c>
      <x:c r="K168" t="str">
        <x:v>No</x:v>
      </x:c>
      <x:c r="L168" t="str">
        <x:f>IF(F168="","UNKNOWN",IF(F168&lt;'WELL INPUTS'!$B$11,"BELOW","OK"))</x:f>
        <x:v>OK</x:v>
      </x:c>
      <x:c r="M168" t="str">
        <x:f>IF(AND('WELL INPUTS'!$B$4="Wet",'WELL INPUTS'!$B$5&gt;0),IF(I168="Yes","CATALOG SOUR","NOT LISTED"),"N/A")</x:f>
        <x:v>N/A</x:v>
      </x:c>
      <x:c r="N168" t="str">
        <x:f>IF(AND('WELL INPUTS'!$B$4="Wet",'WELL INPUTS'!$B$6&gt;0),IF(J168="Yes","ALLOY FAMILY","CORROSION CONTROL"),"N/A")</x:f>
        <x:v>CORROSION CONTROL</x:v>
      </x:c>
      <x:c r="O168" t="str">
        <x:f>IF('WELL INPUTS'!$B$12="Yes",IF(G168="Yes","CLAIMED","NOT LISTED"),"N/A")</x:f>
        <x:v>N/A</x:v>
      </x:c>
      <x:c r="P168" t="str">
        <x:f>IF(OR('WELL INPUTS'!$B$13="Unrestricted",CODE(H168)&lt;=CODE('WELL INPUTS'!$B$13)),"WITHIN TIER","OVER CAP")</x:f>
        <x:v>WITHIN TIER</x:v>
      </x:c>
      <x:c r="Q168" t="n">
        <x:f>MAX(0,MIN(100,43+IF(L168="OK",14,-20)+IF(M168="CATALOG SOUR",24,IF(M168="NOT LISTED",-18,0))+IF(N168="ALLOY FAMILY",14,IF(N168="CORROSION CONTROL",-13,0))+IF(O168="CLAIMED",17,IF(O168="NOT LISTED",-14,0))+IF(K168="Yes",-15,0)+IF('WELL INPUTS'!$B$10="Yes",-17,0)))</x:f>
        <x:v>44</x:v>
      </x:c>
      <x:c r="R168" s="83" t="str">
        <x:f>IF(L168="BELOW","EXCLUDE — STRENGTH",IF(P168="OVER CAP","EXCLUDE — COST",IF(K168="Yes",IF('WELL INPUTS'!$B$14="No","EXCLUDE — REFERENCE","REFERENCE ONLY"),IF(OR(L168="UNKNOWN",M168="NOT LISTED",N168="CORROSION CONTROL",O168="NOT LISTED",'WELL INPUTS'!$B$10="Yes",'WELL INPUTS'!$B$4="Unknown"),"REVIEW","CANDIDATE — VERIFY"))))</x:f>
        <x:v>REVIEW</x:v>
      </x:c>
      <x:c r="S168" t="str">
        <x:f>IF(L168="BELOW","Increase minimum grade strength",IF(P168="OVER CAP","Relax cost tier or exclude",IF(K168="Yes","Identify qualified manufacturer grade",IF(M168="NOT LISTED","Confirm sour-service claim and ISO 15156",IF(O168="NOT LISTED","Obtain manufacturer collapse curve",IF(N168="CORROSION CONTROL","Model CO2 corrosion; review inhibition","Confirm corrosion, cracking, loads and connection"))))))</x:f>
        <x:v>Model CO2 corrosion; review inhibition</x:v>
      </x:c>
      <x:c r="T168" t="str">
        <x:v>https://solutions.vallourec.com/product/sour-service/</x:v>
      </x:c>
    </x:row>
    <x:row r="169" ht="23" customHeight="1">
      <x:c r="A169" t="str">
        <x:v>OCTG-0168</x:v>
      </x:c>
      <x:c r="B169" t="str">
        <x:v>Vallourec</x:v>
      </x:c>
      <x:c r="C169" t="str">
        <x:v>VM 130 CY</x:v>
      </x:c>
      <x:c r="D169" t="str">
        <x:v>Carbon / low alloy</x:v>
      </x:c>
      <x:c r="E169" t="str">
        <x:v>High strength / controlled yield, deep wells</x:v>
      </x:c>
      <x:c r="F169" s="82" t="n">
        <x:v>130</x:v>
      </x:c>
      <x:c r="G169" t="str">
        <x:v>No</x:v>
      </x:c>
      <x:c r="H169" t="str">
        <x:v>A</x:v>
      </x:c>
      <x:c r="I169" t="str">
        <x:v>No</x:v>
      </x:c>
      <x:c r="J169" t="str">
        <x:v>No</x:v>
      </x:c>
      <x:c r="K169" t="str">
        <x:v>No</x:v>
      </x:c>
      <x:c r="L169" t="str">
        <x:f>IF(F169="","UNKNOWN",IF(F169&lt;'WELL INPUTS'!$B$11,"BELOW","OK"))</x:f>
        <x:v>OK</x:v>
      </x:c>
      <x:c r="M169" t="str">
        <x:f>IF(AND('WELL INPUTS'!$B$4="Wet",'WELL INPUTS'!$B$5&gt;0),IF(I169="Yes","CATALOG SOUR","NOT LISTED"),"N/A")</x:f>
        <x:v>N/A</x:v>
      </x:c>
      <x:c r="N169" t="str">
        <x:f>IF(AND('WELL INPUTS'!$B$4="Wet",'WELL INPUTS'!$B$6&gt;0),IF(J169="Yes","ALLOY FAMILY","CORROSION CONTROL"),"N/A")</x:f>
        <x:v>CORROSION CONTROL</x:v>
      </x:c>
      <x:c r="O169" t="str">
        <x:f>IF('WELL INPUTS'!$B$12="Yes",IF(G169="Yes","CLAIMED","NOT LISTED"),"N/A")</x:f>
        <x:v>N/A</x:v>
      </x:c>
      <x:c r="P169" t="str">
        <x:f>IF(OR('WELL INPUTS'!$B$13="Unrestricted",CODE(H169)&lt;=CODE('WELL INPUTS'!$B$13)),"WITHIN TIER","OVER CAP")</x:f>
        <x:v>WITHIN TIER</x:v>
      </x:c>
      <x:c r="Q169" t="n">
        <x:f>MAX(0,MIN(100,43+IF(L169="OK",14,-20)+IF(M169="CATALOG SOUR",24,IF(M169="NOT LISTED",-18,0))+IF(N169="ALLOY FAMILY",14,IF(N169="CORROSION CONTROL",-13,0))+IF(O169="CLAIMED",17,IF(O169="NOT LISTED",-14,0))+IF(K169="Yes",-15,0)+IF('WELL INPUTS'!$B$10="Yes",-17,0)))</x:f>
        <x:v>44</x:v>
      </x:c>
      <x:c r="R169" s="83" t="str">
        <x:f>IF(L169="BELOW","EXCLUDE — STRENGTH",IF(P169="OVER CAP","EXCLUDE — COST",IF(K169="Yes",IF('WELL INPUTS'!$B$14="No","EXCLUDE — REFERENCE","REFERENCE ONLY"),IF(OR(L169="UNKNOWN",M169="NOT LISTED",N169="CORROSION CONTROL",O169="NOT LISTED",'WELL INPUTS'!$B$10="Yes",'WELL INPUTS'!$B$4="Unknown"),"REVIEW","CANDIDATE — VERIFY"))))</x:f>
        <x:v>REVIEW</x:v>
      </x:c>
      <x:c r="S169" t="str">
        <x:f>IF(L169="BELOW","Increase minimum grade strength",IF(P169="OVER CAP","Relax cost tier or exclude",IF(K169="Yes","Identify qualified manufacturer grade",IF(M169="NOT LISTED","Confirm sour-service claim and ISO 15156",IF(O169="NOT LISTED","Obtain manufacturer collapse curve",IF(N169="CORROSION CONTROL","Model CO2 corrosion; review inhibition","Confirm corrosion, cracking, loads and connection"))))))</x:f>
        <x:v>Model CO2 corrosion; review inhibition</x:v>
      </x:c>
      <x:c r="T169" t="str">
        <x:v>https://solutions.vallourec.com/product/high-strength/</x:v>
      </x:c>
    </x:row>
    <x:row r="170" ht="23" customHeight="1">
      <x:c r="A170" t="str">
        <x:v>OCTG-0169</x:v>
      </x:c>
      <x:c r="B170" t="str">
        <x:v>Vallourec</x:v>
      </x:c>
      <x:c r="C170" t="str">
        <x:v>VM 130 CYHC</x:v>
      </x:c>
      <x:c r="D170" t="str">
        <x:v>Carbon / low alloy</x:v>
      </x:c>
      <x:c r="E170" t="str">
        <x:v>High collapse; sour qualified where HCSS/HCMS/HCESS</x:v>
      </x:c>
      <x:c r="F170" s="82" t="n">
        <x:v>130</x:v>
      </x:c>
      <x:c r="G170" t="str">
        <x:v>Yes</x:v>
      </x:c>
      <x:c r="H170" t="str">
        <x:v>A</x:v>
      </x:c>
      <x:c r="I170" t="str">
        <x:v>Yes</x:v>
      </x:c>
      <x:c r="J170" t="str">
        <x:v>No</x:v>
      </x:c>
      <x:c r="K170" t="str">
        <x:v>No</x:v>
      </x:c>
      <x:c r="L170" t="str">
        <x:f>IF(F170="","UNKNOWN",IF(F170&lt;'WELL INPUTS'!$B$11,"BELOW","OK"))</x:f>
        <x:v>OK</x:v>
      </x:c>
      <x:c r="M170" t="str">
        <x:f>IF(AND('WELL INPUTS'!$B$4="Wet",'WELL INPUTS'!$B$5&gt;0),IF(I170="Yes","CATALOG SOUR","NOT LISTED"),"N/A")</x:f>
        <x:v>N/A</x:v>
      </x:c>
      <x:c r="N170" t="str">
        <x:f>IF(AND('WELL INPUTS'!$B$4="Wet",'WELL INPUTS'!$B$6&gt;0),IF(J170="Yes","ALLOY FAMILY","CORROSION CONTROL"),"N/A")</x:f>
        <x:v>CORROSION CONTROL</x:v>
      </x:c>
      <x:c r="O170" t="str">
        <x:f>IF('WELL INPUTS'!$B$12="Yes",IF(G170="Yes","CLAIMED","NOT LISTED"),"N/A")</x:f>
        <x:v>N/A</x:v>
      </x:c>
      <x:c r="P170" t="str">
        <x:f>IF(OR('WELL INPUTS'!$B$13="Unrestricted",CODE(H170)&lt;=CODE('WELL INPUTS'!$B$13)),"WITHIN TIER","OVER CAP")</x:f>
        <x:v>WITHIN TIER</x:v>
      </x:c>
      <x:c r="Q170" t="n">
        <x:f>MAX(0,MIN(100,43+IF(L170="OK",14,-20)+IF(M170="CATALOG SOUR",24,IF(M170="NOT LISTED",-18,0))+IF(N170="ALLOY FAMILY",14,IF(N170="CORROSION CONTROL",-13,0))+IF(O170="CLAIMED",17,IF(O170="NOT LISTED",-14,0))+IF(K170="Yes",-15,0)+IF('WELL INPUTS'!$B$10="Yes",-17,0)))</x:f>
        <x:v>44</x:v>
      </x:c>
      <x:c r="R170" s="83" t="str">
        <x:f>IF(L170="BELOW","EXCLUDE — STRENGTH",IF(P170="OVER CAP","EXCLUDE — COST",IF(K170="Yes",IF('WELL INPUTS'!$B$14="No","EXCLUDE — REFERENCE","REFERENCE ONLY"),IF(OR(L170="UNKNOWN",M170="NOT LISTED",N170="CORROSION CONTROL",O170="NOT LISTED",'WELL INPUTS'!$B$10="Yes",'WELL INPUTS'!$B$4="Unknown"),"REVIEW","CANDIDATE — VERIFY"))))</x:f>
        <x:v>REVIEW</x:v>
      </x:c>
      <x:c r="S170" t="str">
        <x:f>IF(L170="BELOW","Increase minimum grade strength",IF(P170="OVER CAP","Relax cost tier or exclude",IF(K170="Yes","Identify qualified manufacturer grade",IF(M170="NOT LISTED","Confirm sour-service claim and ISO 15156",IF(O170="NOT LISTED","Obtain manufacturer collapse curve",IF(N170="CORROSION CONTROL","Model CO2 corrosion; review inhibition","Confirm corrosion, cracking, loads and connection"))))))</x:f>
        <x:v>Model CO2 corrosion; review inhibition</x:v>
      </x:c>
      <x:c r="T170" t="str">
        <x:v>https://solutions.vallourec.com/product/high-collapse/</x:v>
      </x:c>
    </x:row>
    <x:row r="171" ht="23" customHeight="1">
      <x:c r="A171" t="str">
        <x:v>OCTG-0170</x:v>
      </x:c>
      <x:c r="B171" t="str">
        <x:v>Vallourec</x:v>
      </x:c>
      <x:c r="C171" t="str">
        <x:v>VM 130 CYXC</x:v>
      </x:c>
      <x:c r="D171" t="str">
        <x:v>Carbon / low alloy</x:v>
      </x:c>
      <x:c r="E171" t="str">
        <x:v>High strength / controlled yield, deep wells</x:v>
      </x:c>
      <x:c r="F171" s="82" t="n">
        <x:v>130</x:v>
      </x:c>
      <x:c r="G171" t="str">
        <x:v>No</x:v>
      </x:c>
      <x:c r="H171" t="str">
        <x:v>A</x:v>
      </x:c>
      <x:c r="I171" t="str">
        <x:v>No</x:v>
      </x:c>
      <x:c r="J171" t="str">
        <x:v>No</x:v>
      </x:c>
      <x:c r="K171" t="str">
        <x:v>No</x:v>
      </x:c>
      <x:c r="L171" t="str">
        <x:f>IF(F171="","UNKNOWN",IF(F171&lt;'WELL INPUTS'!$B$11,"BELOW","OK"))</x:f>
        <x:v>OK</x:v>
      </x:c>
      <x:c r="M171" t="str">
        <x:f>IF(AND('WELL INPUTS'!$B$4="Wet",'WELL INPUTS'!$B$5&gt;0),IF(I171="Yes","CATALOG SOUR","NOT LISTED"),"N/A")</x:f>
        <x:v>N/A</x:v>
      </x:c>
      <x:c r="N171" t="str">
        <x:f>IF(AND('WELL INPUTS'!$B$4="Wet",'WELL INPUTS'!$B$6&gt;0),IF(J171="Yes","ALLOY FAMILY","CORROSION CONTROL"),"N/A")</x:f>
        <x:v>CORROSION CONTROL</x:v>
      </x:c>
      <x:c r="O171" t="str">
        <x:f>IF('WELL INPUTS'!$B$12="Yes",IF(G171="Yes","CLAIMED","NOT LISTED"),"N/A")</x:f>
        <x:v>N/A</x:v>
      </x:c>
      <x:c r="P171" t="str">
        <x:f>IF(OR('WELL INPUTS'!$B$13="Unrestricted",CODE(H171)&lt;=CODE('WELL INPUTS'!$B$13)),"WITHIN TIER","OVER CAP")</x:f>
        <x:v>WITHIN TIER</x:v>
      </x:c>
      <x:c r="Q171" t="n">
        <x:f>MAX(0,MIN(100,43+IF(L171="OK",14,-20)+IF(M171="CATALOG SOUR",24,IF(M171="NOT LISTED",-18,0))+IF(N171="ALLOY FAMILY",14,IF(N171="CORROSION CONTROL",-13,0))+IF(O171="CLAIMED",17,IF(O171="NOT LISTED",-14,0))+IF(K171="Yes",-15,0)+IF('WELL INPUTS'!$B$10="Yes",-17,0)))</x:f>
        <x:v>44</x:v>
      </x:c>
      <x:c r="R171" s="83" t="str">
        <x:f>IF(L171="BELOW","EXCLUDE — STRENGTH",IF(P171="OVER CAP","EXCLUDE — COST",IF(K171="Yes",IF('WELL INPUTS'!$B$14="No","EXCLUDE — REFERENCE","REFERENCE ONLY"),IF(OR(L171="UNKNOWN",M171="NOT LISTED",N171="CORROSION CONTROL",O171="NOT LISTED",'WELL INPUTS'!$B$10="Yes",'WELL INPUTS'!$B$4="Unknown"),"REVIEW","CANDIDATE — VERIFY"))))</x:f>
        <x:v>REVIEW</x:v>
      </x:c>
      <x:c r="S171" t="str">
        <x:f>IF(L171="BELOW","Increase minimum grade strength",IF(P171="OVER CAP","Relax cost tier or exclude",IF(K171="Yes","Identify qualified manufacturer grade",IF(M171="NOT LISTED","Confirm sour-service claim and ISO 15156",IF(O171="NOT LISTED","Obtain manufacturer collapse curve",IF(N171="CORROSION CONTROL","Model CO2 corrosion; review inhibition","Confirm corrosion, cracking, loads and connection"))))))</x:f>
        <x:v>Model CO2 corrosion; review inhibition</x:v>
      </x:c>
      <x:c r="T171" t="str">
        <x:v>https://solutions.vallourec.com/product/high-strength/</x:v>
      </x:c>
    </x:row>
    <x:row r="172" ht="23" customHeight="1">
      <x:c r="A172" t="str">
        <x:v>OCTG-0171</x:v>
      </x:c>
      <x:c r="B172" t="str">
        <x:v>Vallourec</x:v>
      </x:c>
      <x:c r="C172" t="str">
        <x:v>VM 130 HCMS</x:v>
      </x:c>
      <x:c r="D172" t="str">
        <x:v>Carbon / low alloy</x:v>
      </x:c>
      <x:c r="E172" t="str">
        <x:v>High collapse; sour qualified where HCSS/HCMS/HCESS</x:v>
      </x:c>
      <x:c r="F172" s="82" t="n">
        <x:v>130</x:v>
      </x:c>
      <x:c r="G172" t="str">
        <x:v>Yes</x:v>
      </x:c>
      <x:c r="H172" t="str">
        <x:v>A</x:v>
      </x:c>
      <x:c r="I172" t="str">
        <x:v>Yes</x:v>
      </x:c>
      <x:c r="J172" t="str">
        <x:v>No</x:v>
      </x:c>
      <x:c r="K172" t="str">
        <x:v>No</x:v>
      </x:c>
      <x:c r="L172" t="str">
        <x:f>IF(F172="","UNKNOWN",IF(F172&lt;'WELL INPUTS'!$B$11,"BELOW","OK"))</x:f>
        <x:v>OK</x:v>
      </x:c>
      <x:c r="M172" t="str">
        <x:f>IF(AND('WELL INPUTS'!$B$4="Wet",'WELL INPUTS'!$B$5&gt;0),IF(I172="Yes","CATALOG SOUR","NOT LISTED"),"N/A")</x:f>
        <x:v>N/A</x:v>
      </x:c>
      <x:c r="N172" t="str">
        <x:f>IF(AND('WELL INPUTS'!$B$4="Wet",'WELL INPUTS'!$B$6&gt;0),IF(J172="Yes","ALLOY FAMILY","CORROSION CONTROL"),"N/A")</x:f>
        <x:v>CORROSION CONTROL</x:v>
      </x:c>
      <x:c r="O172" t="str">
        <x:f>IF('WELL INPUTS'!$B$12="Yes",IF(G172="Yes","CLAIMED","NOT LISTED"),"N/A")</x:f>
        <x:v>N/A</x:v>
      </x:c>
      <x:c r="P172" t="str">
        <x:f>IF(OR('WELL INPUTS'!$B$13="Unrestricted",CODE(H172)&lt;=CODE('WELL INPUTS'!$B$13)),"WITHIN TIER","OVER CAP")</x:f>
        <x:v>WITHIN TIER</x:v>
      </x:c>
      <x:c r="Q172" t="n">
        <x:f>MAX(0,MIN(100,43+IF(L172="OK",14,-20)+IF(M172="CATALOG SOUR",24,IF(M172="NOT LISTED",-18,0))+IF(N172="ALLOY FAMILY",14,IF(N172="CORROSION CONTROL",-13,0))+IF(O172="CLAIMED",17,IF(O172="NOT LISTED",-14,0))+IF(K172="Yes",-15,0)+IF('WELL INPUTS'!$B$10="Yes",-17,0)))</x:f>
        <x:v>44</x:v>
      </x:c>
      <x:c r="R172" s="83" t="str">
        <x:f>IF(L172="BELOW","EXCLUDE — STRENGTH",IF(P172="OVER CAP","EXCLUDE — COST",IF(K172="Yes",IF('WELL INPUTS'!$B$14="No","EXCLUDE — REFERENCE","REFERENCE ONLY"),IF(OR(L172="UNKNOWN",M172="NOT LISTED",N172="CORROSION CONTROL",O172="NOT LISTED",'WELL INPUTS'!$B$10="Yes",'WELL INPUTS'!$B$4="Unknown"),"REVIEW","CANDIDATE — VERIFY"))))</x:f>
        <x:v>REVIEW</x:v>
      </x:c>
      <x:c r="S172" t="str">
        <x:f>IF(L172="BELOW","Increase minimum grade strength",IF(P172="OVER CAP","Relax cost tier or exclude",IF(K172="Yes","Identify qualified manufacturer grade",IF(M172="NOT LISTED","Confirm sour-service claim and ISO 15156",IF(O172="NOT LISTED","Obtain manufacturer collapse curve",IF(N172="CORROSION CONTROL","Model CO2 corrosion; review inhibition","Confirm corrosion, cracking, loads and connection"))))))</x:f>
        <x:v>Model CO2 corrosion; review inhibition</x:v>
      </x:c>
      <x:c r="T172" t="str">
        <x:v>https://solutions.vallourec.com/product/high-collapse/</x:v>
      </x:c>
    </x:row>
    <x:row r="173" ht="23" customHeight="1">
      <x:c r="A173" t="str">
        <x:v>OCTG-0172</x:v>
      </x:c>
      <x:c r="B173" t="str">
        <x:v>Vallourec</x:v>
      </x:c>
      <x:c r="C173" t="str">
        <x:v>VM 130 MS</x:v>
      </x:c>
      <x:c r="D173" t="str">
        <x:v>Carbon / low alloy</x:v>
      </x:c>
      <x:c r="E173" t="str">
        <x:v>Sour service / SSC resistance; region varies by grade</x:v>
      </x:c>
      <x:c r="F173" s="82" t="n">
        <x:v>130</x:v>
      </x:c>
      <x:c r="G173" t="str">
        <x:v>No</x:v>
      </x:c>
      <x:c r="H173" t="str">
        <x:v>A</x:v>
      </x:c>
      <x:c r="I173" t="str">
        <x:v>Yes</x:v>
      </x:c>
      <x:c r="J173" t="str">
        <x:v>No</x:v>
      </x:c>
      <x:c r="K173" t="str">
        <x:v>No</x:v>
      </x:c>
      <x:c r="L173" t="str">
        <x:f>IF(F173="","UNKNOWN",IF(F173&lt;'WELL INPUTS'!$B$11,"BELOW","OK"))</x:f>
        <x:v>OK</x:v>
      </x:c>
      <x:c r="M173" t="str">
        <x:f>IF(AND('WELL INPUTS'!$B$4="Wet",'WELL INPUTS'!$B$5&gt;0),IF(I173="Yes","CATALOG SOUR","NOT LISTED"),"N/A")</x:f>
        <x:v>N/A</x:v>
      </x:c>
      <x:c r="N173" t="str">
        <x:f>IF(AND('WELL INPUTS'!$B$4="Wet",'WELL INPUTS'!$B$6&gt;0),IF(J173="Yes","ALLOY FAMILY","CORROSION CONTROL"),"N/A")</x:f>
        <x:v>CORROSION CONTROL</x:v>
      </x:c>
      <x:c r="O173" t="str">
        <x:f>IF('WELL INPUTS'!$B$12="Yes",IF(G173="Yes","CLAIMED","NOT LISTED"),"N/A")</x:f>
        <x:v>N/A</x:v>
      </x:c>
      <x:c r="P173" t="str">
        <x:f>IF(OR('WELL INPUTS'!$B$13="Unrestricted",CODE(H173)&lt;=CODE('WELL INPUTS'!$B$13)),"WITHIN TIER","OVER CAP")</x:f>
        <x:v>WITHIN TIER</x:v>
      </x:c>
      <x:c r="Q173" t="n">
        <x:f>MAX(0,MIN(100,43+IF(L173="OK",14,-20)+IF(M173="CATALOG SOUR",24,IF(M173="NOT LISTED",-18,0))+IF(N173="ALLOY FAMILY",14,IF(N173="CORROSION CONTROL",-13,0))+IF(O173="CLAIMED",17,IF(O173="NOT LISTED",-14,0))+IF(K173="Yes",-15,0)+IF('WELL INPUTS'!$B$10="Yes",-17,0)))</x:f>
        <x:v>44</x:v>
      </x:c>
      <x:c r="R173" s="83" t="str">
        <x:f>IF(L173="BELOW","EXCLUDE — STRENGTH",IF(P173="OVER CAP","EXCLUDE — COST",IF(K173="Yes",IF('WELL INPUTS'!$B$14="No","EXCLUDE — REFERENCE","REFERENCE ONLY"),IF(OR(L173="UNKNOWN",M173="NOT LISTED",N173="CORROSION CONTROL",O173="NOT LISTED",'WELL INPUTS'!$B$10="Yes",'WELL INPUTS'!$B$4="Unknown"),"REVIEW","CANDIDATE — VERIFY"))))</x:f>
        <x:v>REVIEW</x:v>
      </x:c>
      <x:c r="S173" t="str">
        <x:f>IF(L173="BELOW","Increase minimum grade strength",IF(P173="OVER CAP","Relax cost tier or exclude",IF(K173="Yes","Identify qualified manufacturer grade",IF(M173="NOT LISTED","Confirm sour-service claim and ISO 15156",IF(O173="NOT LISTED","Obtain manufacturer collapse curve",IF(N173="CORROSION CONTROL","Model CO2 corrosion; review inhibition","Confirm corrosion, cracking, loads and connection"))))))</x:f>
        <x:v>Model CO2 corrosion; review inhibition</x:v>
      </x:c>
      <x:c r="T173" t="str">
        <x:v>https://solutions.vallourec.com/product/sour-service/</x:v>
      </x:c>
    </x:row>
    <x:row r="174" ht="23" customHeight="1">
      <x:c r="A174" t="str">
        <x:v>OCTG-0173</x:v>
      </x:c>
      <x:c r="B174" t="str">
        <x:v>Vallourec</x:v>
      </x:c>
      <x:c r="C174" t="str">
        <x:v>VM 130 MS-D</x:v>
      </x:c>
      <x:c r="D174" t="str">
        <x:v>Carbon / low alloy</x:v>
      </x:c>
      <x:c r="E174" t="str">
        <x:v>Sour service / SSC resistance; region varies by grade</x:v>
      </x:c>
      <x:c r="F174" s="82" t="n">
        <x:v>130</x:v>
      </x:c>
      <x:c r="G174" t="str">
        <x:v>No</x:v>
      </x:c>
      <x:c r="H174" t="str">
        <x:v>A</x:v>
      </x:c>
      <x:c r="I174" t="str">
        <x:v>Yes</x:v>
      </x:c>
      <x:c r="J174" t="str">
        <x:v>No</x:v>
      </x:c>
      <x:c r="K174" t="str">
        <x:v>No</x:v>
      </x:c>
      <x:c r="L174" t="str">
        <x:f>IF(F174="","UNKNOWN",IF(F174&lt;'WELL INPUTS'!$B$11,"BELOW","OK"))</x:f>
        <x:v>OK</x:v>
      </x:c>
      <x:c r="M174" t="str">
        <x:f>IF(AND('WELL INPUTS'!$B$4="Wet",'WELL INPUTS'!$B$5&gt;0),IF(I174="Yes","CATALOG SOUR","NOT LISTED"),"N/A")</x:f>
        <x:v>N/A</x:v>
      </x:c>
      <x:c r="N174" t="str">
        <x:f>IF(AND('WELL INPUTS'!$B$4="Wet",'WELL INPUTS'!$B$6&gt;0),IF(J174="Yes","ALLOY FAMILY","CORROSION CONTROL"),"N/A")</x:f>
        <x:v>CORROSION CONTROL</x:v>
      </x:c>
      <x:c r="O174" t="str">
        <x:f>IF('WELL INPUTS'!$B$12="Yes",IF(G174="Yes","CLAIMED","NOT LISTED"),"N/A")</x:f>
        <x:v>N/A</x:v>
      </x:c>
      <x:c r="P174" t="str">
        <x:f>IF(OR('WELL INPUTS'!$B$13="Unrestricted",CODE(H174)&lt;=CODE('WELL INPUTS'!$B$13)),"WITHIN TIER","OVER CAP")</x:f>
        <x:v>WITHIN TIER</x:v>
      </x:c>
      <x:c r="Q174" t="n">
        <x:f>MAX(0,MIN(100,43+IF(L174="OK",14,-20)+IF(M174="CATALOG SOUR",24,IF(M174="NOT LISTED",-18,0))+IF(N174="ALLOY FAMILY",14,IF(N174="CORROSION CONTROL",-13,0))+IF(O174="CLAIMED",17,IF(O174="NOT LISTED",-14,0))+IF(K174="Yes",-15,0)+IF('WELL INPUTS'!$B$10="Yes",-17,0)))</x:f>
        <x:v>44</x:v>
      </x:c>
      <x:c r="R174" s="83" t="str">
        <x:f>IF(L174="BELOW","EXCLUDE — STRENGTH",IF(P174="OVER CAP","EXCLUDE — COST",IF(K174="Yes",IF('WELL INPUTS'!$B$14="No","EXCLUDE — REFERENCE","REFERENCE ONLY"),IF(OR(L174="UNKNOWN",M174="NOT LISTED",N174="CORROSION CONTROL",O174="NOT LISTED",'WELL INPUTS'!$B$10="Yes",'WELL INPUTS'!$B$4="Unknown"),"REVIEW","CANDIDATE — VERIFY"))))</x:f>
        <x:v>REVIEW</x:v>
      </x:c>
      <x:c r="S174" t="str">
        <x:f>IF(L174="BELOW","Increase minimum grade strength",IF(P174="OVER CAP","Relax cost tier or exclude",IF(K174="Yes","Identify qualified manufacturer grade",IF(M174="NOT LISTED","Confirm sour-service claim and ISO 15156",IF(O174="NOT LISTED","Obtain manufacturer collapse curve",IF(N174="CORROSION CONTROL","Model CO2 corrosion; review inhibition","Confirm corrosion, cracking, loads and connection"))))))</x:f>
        <x:v>Model CO2 corrosion; review inhibition</x:v>
      </x:c>
      <x:c r="T174" t="str">
        <x:v>https://solutions.vallourec.com/product/sour-service/</x:v>
      </x:c>
    </x:row>
    <x:row r="175" ht="23" customHeight="1">
      <x:c r="A175" t="str">
        <x:v>OCTG-0174</x:v>
      </x:c>
      <x:c r="B175" t="str">
        <x:v>Vallourec</x:v>
      </x:c>
      <x:c r="C175" t="str">
        <x:v>VM 140 CY</x:v>
      </x:c>
      <x:c r="D175" t="str">
        <x:v>Carbon / low alloy</x:v>
      </x:c>
      <x:c r="E175" t="str">
        <x:v>High strength / controlled yield, deep wells</x:v>
      </x:c>
      <x:c r="F175" s="82" t="n">
        <x:v>140</x:v>
      </x:c>
      <x:c r="G175" t="str">
        <x:v>No</x:v>
      </x:c>
      <x:c r="H175" t="str">
        <x:v>A</x:v>
      </x:c>
      <x:c r="I175" t="str">
        <x:v>No</x:v>
      </x:c>
      <x:c r="J175" t="str">
        <x:v>No</x:v>
      </x:c>
      <x:c r="K175" t="str">
        <x:v>No</x:v>
      </x:c>
      <x:c r="L175" t="str">
        <x:f>IF(F175="","UNKNOWN",IF(F175&lt;'WELL INPUTS'!$B$11,"BELOW","OK"))</x:f>
        <x:v>OK</x:v>
      </x:c>
      <x:c r="M175" t="str">
        <x:f>IF(AND('WELL INPUTS'!$B$4="Wet",'WELL INPUTS'!$B$5&gt;0),IF(I175="Yes","CATALOG SOUR","NOT LISTED"),"N/A")</x:f>
        <x:v>N/A</x:v>
      </x:c>
      <x:c r="N175" t="str">
        <x:f>IF(AND('WELL INPUTS'!$B$4="Wet",'WELL INPUTS'!$B$6&gt;0),IF(J175="Yes","ALLOY FAMILY","CORROSION CONTROL"),"N/A")</x:f>
        <x:v>CORROSION CONTROL</x:v>
      </x:c>
      <x:c r="O175" t="str">
        <x:f>IF('WELL INPUTS'!$B$12="Yes",IF(G175="Yes","CLAIMED","NOT LISTED"),"N/A")</x:f>
        <x:v>N/A</x:v>
      </x:c>
      <x:c r="P175" t="str">
        <x:f>IF(OR('WELL INPUTS'!$B$13="Unrestricted",CODE(H175)&lt;=CODE('WELL INPUTS'!$B$13)),"WITHIN TIER","OVER CAP")</x:f>
        <x:v>WITHIN TIER</x:v>
      </x:c>
      <x:c r="Q175" t="n">
        <x:f>MAX(0,MIN(100,43+IF(L175="OK",14,-20)+IF(M175="CATALOG SOUR",24,IF(M175="NOT LISTED",-18,0))+IF(N175="ALLOY FAMILY",14,IF(N175="CORROSION CONTROL",-13,0))+IF(O175="CLAIMED",17,IF(O175="NOT LISTED",-14,0))+IF(K175="Yes",-15,0)+IF('WELL INPUTS'!$B$10="Yes",-17,0)))</x:f>
        <x:v>44</x:v>
      </x:c>
      <x:c r="R175" s="83" t="str">
        <x:f>IF(L175="BELOW","EXCLUDE — STRENGTH",IF(P175="OVER CAP","EXCLUDE — COST",IF(K175="Yes",IF('WELL INPUTS'!$B$14="No","EXCLUDE — REFERENCE","REFERENCE ONLY"),IF(OR(L175="UNKNOWN",M175="NOT LISTED",N175="CORROSION CONTROL",O175="NOT LISTED",'WELL INPUTS'!$B$10="Yes",'WELL INPUTS'!$B$4="Unknown"),"REVIEW","CANDIDATE — VERIFY"))))</x:f>
        <x:v>REVIEW</x:v>
      </x:c>
      <x:c r="S175" t="str">
        <x:f>IF(L175="BELOW","Increase minimum grade strength",IF(P175="OVER CAP","Relax cost tier or exclude",IF(K175="Yes","Identify qualified manufacturer grade",IF(M175="NOT LISTED","Confirm sour-service claim and ISO 15156",IF(O175="NOT LISTED","Obtain manufacturer collapse curve",IF(N175="CORROSION CONTROL","Model CO2 corrosion; review inhibition","Confirm corrosion, cracking, loads and connection"))))))</x:f>
        <x:v>Model CO2 corrosion; review inhibition</x:v>
      </x:c>
      <x:c r="T175" t="str">
        <x:v>https://solutions.vallourec.com/product/high-strength/</x:v>
      </x:c>
    </x:row>
    <x:row r="176" ht="23" customHeight="1">
      <x:c r="A176" t="str">
        <x:v>OCTG-0175</x:v>
      </x:c>
      <x:c r="B176" t="str">
        <x:v>Vallourec</x:v>
      </x:c>
      <x:c r="C176" t="str">
        <x:v>VM 140 CYHC</x:v>
      </x:c>
      <x:c r="D176" t="str">
        <x:v>Carbon / low alloy</x:v>
      </x:c>
      <x:c r="E176" t="str">
        <x:v>High collapse; sour qualified where HCSS/HCMS/HCESS</x:v>
      </x:c>
      <x:c r="F176" s="82" t="n">
        <x:v>140</x:v>
      </x:c>
      <x:c r="G176" t="str">
        <x:v>Yes</x:v>
      </x:c>
      <x:c r="H176" t="str">
        <x:v>A</x:v>
      </x:c>
      <x:c r="I176" t="str">
        <x:v>Yes</x:v>
      </x:c>
      <x:c r="J176" t="str">
        <x:v>No</x:v>
      </x:c>
      <x:c r="K176" t="str">
        <x:v>No</x:v>
      </x:c>
      <x:c r="L176" t="str">
        <x:f>IF(F176="","UNKNOWN",IF(F176&lt;'WELL INPUTS'!$B$11,"BELOW","OK"))</x:f>
        <x:v>OK</x:v>
      </x:c>
      <x:c r="M176" t="str">
        <x:f>IF(AND('WELL INPUTS'!$B$4="Wet",'WELL INPUTS'!$B$5&gt;0),IF(I176="Yes","CATALOG SOUR","NOT LISTED"),"N/A")</x:f>
        <x:v>N/A</x:v>
      </x:c>
      <x:c r="N176" t="str">
        <x:f>IF(AND('WELL INPUTS'!$B$4="Wet",'WELL INPUTS'!$B$6&gt;0),IF(J176="Yes","ALLOY FAMILY","CORROSION CONTROL"),"N/A")</x:f>
        <x:v>CORROSION CONTROL</x:v>
      </x:c>
      <x:c r="O176" t="str">
        <x:f>IF('WELL INPUTS'!$B$12="Yes",IF(G176="Yes","CLAIMED","NOT LISTED"),"N/A")</x:f>
        <x:v>N/A</x:v>
      </x:c>
      <x:c r="P176" t="str">
        <x:f>IF(OR('WELL INPUTS'!$B$13="Unrestricted",CODE(H176)&lt;=CODE('WELL INPUTS'!$B$13)),"WITHIN TIER","OVER CAP")</x:f>
        <x:v>WITHIN TIER</x:v>
      </x:c>
      <x:c r="Q176" t="n">
        <x:f>MAX(0,MIN(100,43+IF(L176="OK",14,-20)+IF(M176="CATALOG SOUR",24,IF(M176="NOT LISTED",-18,0))+IF(N176="ALLOY FAMILY",14,IF(N176="CORROSION CONTROL",-13,0))+IF(O176="CLAIMED",17,IF(O176="NOT LISTED",-14,0))+IF(K176="Yes",-15,0)+IF('WELL INPUTS'!$B$10="Yes",-17,0)))</x:f>
        <x:v>44</x:v>
      </x:c>
      <x:c r="R176" s="83" t="str">
        <x:f>IF(L176="BELOW","EXCLUDE — STRENGTH",IF(P176="OVER CAP","EXCLUDE — COST",IF(K176="Yes",IF('WELL INPUTS'!$B$14="No","EXCLUDE — REFERENCE","REFERENCE ONLY"),IF(OR(L176="UNKNOWN",M176="NOT LISTED",N176="CORROSION CONTROL",O176="NOT LISTED",'WELL INPUTS'!$B$10="Yes",'WELL INPUTS'!$B$4="Unknown"),"REVIEW","CANDIDATE — VERIFY"))))</x:f>
        <x:v>REVIEW</x:v>
      </x:c>
      <x:c r="S176" t="str">
        <x:f>IF(L176="BELOW","Increase minimum grade strength",IF(P176="OVER CAP","Relax cost tier or exclude",IF(K176="Yes","Identify qualified manufacturer grade",IF(M176="NOT LISTED","Confirm sour-service claim and ISO 15156",IF(O176="NOT LISTED","Obtain manufacturer collapse curve",IF(N176="CORROSION CONTROL","Model CO2 corrosion; review inhibition","Confirm corrosion, cracking, loads and connection"))))))</x:f>
        <x:v>Model CO2 corrosion; review inhibition</x:v>
      </x:c>
      <x:c r="T176" t="str">
        <x:v>https://solutions.vallourec.com/product/high-collapse/</x:v>
      </x:c>
    </x:row>
    <x:row r="177" ht="23" customHeight="1">
      <x:c r="A177" t="str">
        <x:v>OCTG-0176</x:v>
      </x:c>
      <x:c r="B177" t="str">
        <x:v>Vallourec</x:v>
      </x:c>
      <x:c r="C177" t="str">
        <x:v>VM 140 CYXC</x:v>
      </x:c>
      <x:c r="D177" t="str">
        <x:v>Carbon / low alloy</x:v>
      </x:c>
      <x:c r="E177" t="str">
        <x:v>High strength / controlled yield, deep wells</x:v>
      </x:c>
      <x:c r="F177" s="82" t="n">
        <x:v>140</x:v>
      </x:c>
      <x:c r="G177" t="str">
        <x:v>No</x:v>
      </x:c>
      <x:c r="H177" t="str">
        <x:v>A</x:v>
      </x:c>
      <x:c r="I177" t="str">
        <x:v>No</x:v>
      </x:c>
      <x:c r="J177" t="str">
        <x:v>No</x:v>
      </x:c>
      <x:c r="K177" t="str">
        <x:v>No</x:v>
      </x:c>
      <x:c r="L177" t="str">
        <x:f>IF(F177="","UNKNOWN",IF(F177&lt;'WELL INPUTS'!$B$11,"BELOW","OK"))</x:f>
        <x:v>OK</x:v>
      </x:c>
      <x:c r="M177" t="str">
        <x:f>IF(AND('WELL INPUTS'!$B$4="Wet",'WELL INPUTS'!$B$5&gt;0),IF(I177="Yes","CATALOG SOUR","NOT LISTED"),"N/A")</x:f>
        <x:v>N/A</x:v>
      </x:c>
      <x:c r="N177" t="str">
        <x:f>IF(AND('WELL INPUTS'!$B$4="Wet",'WELL INPUTS'!$B$6&gt;0),IF(J177="Yes","ALLOY FAMILY","CORROSION CONTROL"),"N/A")</x:f>
        <x:v>CORROSION CONTROL</x:v>
      </x:c>
      <x:c r="O177" t="str">
        <x:f>IF('WELL INPUTS'!$B$12="Yes",IF(G177="Yes","CLAIMED","NOT LISTED"),"N/A")</x:f>
        <x:v>N/A</x:v>
      </x:c>
      <x:c r="P177" t="str">
        <x:f>IF(OR('WELL INPUTS'!$B$13="Unrestricted",CODE(H177)&lt;=CODE('WELL INPUTS'!$B$13)),"WITHIN TIER","OVER CAP")</x:f>
        <x:v>WITHIN TIER</x:v>
      </x:c>
      <x:c r="Q177" t="n">
        <x:f>MAX(0,MIN(100,43+IF(L177="OK",14,-20)+IF(M177="CATALOG SOUR",24,IF(M177="NOT LISTED",-18,0))+IF(N177="ALLOY FAMILY",14,IF(N177="CORROSION CONTROL",-13,0))+IF(O177="CLAIMED",17,IF(O177="NOT LISTED",-14,0))+IF(K177="Yes",-15,0)+IF('WELL INPUTS'!$B$10="Yes",-17,0)))</x:f>
        <x:v>44</x:v>
      </x:c>
      <x:c r="R177" s="83" t="str">
        <x:f>IF(L177="BELOW","EXCLUDE — STRENGTH",IF(P177="OVER CAP","EXCLUDE — COST",IF(K177="Yes",IF('WELL INPUTS'!$B$14="No","EXCLUDE — REFERENCE","REFERENCE ONLY"),IF(OR(L177="UNKNOWN",M177="NOT LISTED",N177="CORROSION CONTROL",O177="NOT LISTED",'WELL INPUTS'!$B$10="Yes",'WELL INPUTS'!$B$4="Unknown"),"REVIEW","CANDIDATE — VERIFY"))))</x:f>
        <x:v>REVIEW</x:v>
      </x:c>
      <x:c r="S177" t="str">
        <x:f>IF(L177="BELOW","Increase minimum grade strength",IF(P177="OVER CAP","Relax cost tier or exclude",IF(K177="Yes","Identify qualified manufacturer grade",IF(M177="NOT LISTED","Confirm sour-service claim and ISO 15156",IF(O177="NOT LISTED","Obtain manufacturer collapse curve",IF(N177="CORROSION CONTROL","Model CO2 corrosion; review inhibition","Confirm corrosion, cracking, loads and connection"))))))</x:f>
        <x:v>Model CO2 corrosion; review inhibition</x:v>
      </x:c>
      <x:c r="T177" t="str">
        <x:v>https://solutions.vallourec.com/product/high-strength/</x:v>
      </x:c>
    </x:row>
    <x:row r="178" ht="23" customHeight="1">
      <x:c r="A178" t="str">
        <x:v>OCTG-0177</x:v>
      </x:c>
      <x:c r="B178" t="str">
        <x:v>Vallourec</x:v>
      </x:c>
      <x:c r="C178" t="str">
        <x:v>VM 140 HC</x:v>
      </x:c>
      <x:c r="D178" t="str">
        <x:v>Carbon / low alloy</x:v>
      </x:c>
      <x:c r="E178" t="str">
        <x:v>High collapse; sour qualified where HCSS/HCMS/HCESS</x:v>
      </x:c>
      <x:c r="F178" s="82" t="n">
        <x:v>140</x:v>
      </x:c>
      <x:c r="G178" t="str">
        <x:v>Yes</x:v>
      </x:c>
      <x:c r="H178" t="str">
        <x:v>A</x:v>
      </x:c>
      <x:c r="I178" t="str">
        <x:v>Yes</x:v>
      </x:c>
      <x:c r="J178" t="str">
        <x:v>No</x:v>
      </x:c>
      <x:c r="K178" t="str">
        <x:v>No</x:v>
      </x:c>
      <x:c r="L178" t="str">
        <x:f>IF(F178="","UNKNOWN",IF(F178&lt;'WELL INPUTS'!$B$11,"BELOW","OK"))</x:f>
        <x:v>OK</x:v>
      </x:c>
      <x:c r="M178" t="str">
        <x:f>IF(AND('WELL INPUTS'!$B$4="Wet",'WELL INPUTS'!$B$5&gt;0),IF(I178="Yes","CATALOG SOUR","NOT LISTED"),"N/A")</x:f>
        <x:v>N/A</x:v>
      </x:c>
      <x:c r="N178" t="str">
        <x:f>IF(AND('WELL INPUTS'!$B$4="Wet",'WELL INPUTS'!$B$6&gt;0),IF(J178="Yes","ALLOY FAMILY","CORROSION CONTROL"),"N/A")</x:f>
        <x:v>CORROSION CONTROL</x:v>
      </x:c>
      <x:c r="O178" t="str">
        <x:f>IF('WELL INPUTS'!$B$12="Yes",IF(G178="Yes","CLAIMED","NOT LISTED"),"N/A")</x:f>
        <x:v>N/A</x:v>
      </x:c>
      <x:c r="P178" t="str">
        <x:f>IF(OR('WELL INPUTS'!$B$13="Unrestricted",CODE(H178)&lt;=CODE('WELL INPUTS'!$B$13)),"WITHIN TIER","OVER CAP")</x:f>
        <x:v>WITHIN TIER</x:v>
      </x:c>
      <x:c r="Q178" t="n">
        <x:f>MAX(0,MIN(100,43+IF(L178="OK",14,-20)+IF(M178="CATALOG SOUR",24,IF(M178="NOT LISTED",-18,0))+IF(N178="ALLOY FAMILY",14,IF(N178="CORROSION CONTROL",-13,0))+IF(O178="CLAIMED",17,IF(O178="NOT LISTED",-14,0))+IF(K178="Yes",-15,0)+IF('WELL INPUTS'!$B$10="Yes",-17,0)))</x:f>
        <x:v>44</x:v>
      </x:c>
      <x:c r="R178" s="83" t="str">
        <x:f>IF(L178="BELOW","EXCLUDE — STRENGTH",IF(P178="OVER CAP","EXCLUDE — COST",IF(K178="Yes",IF('WELL INPUTS'!$B$14="No","EXCLUDE — REFERENCE","REFERENCE ONLY"),IF(OR(L178="UNKNOWN",M178="NOT LISTED",N178="CORROSION CONTROL",O178="NOT LISTED",'WELL INPUTS'!$B$10="Yes",'WELL INPUTS'!$B$4="Unknown"),"REVIEW","CANDIDATE — VERIFY"))))</x:f>
        <x:v>REVIEW</x:v>
      </x:c>
      <x:c r="S178" t="str">
        <x:f>IF(L178="BELOW","Increase minimum grade strength",IF(P178="OVER CAP","Relax cost tier or exclude",IF(K178="Yes","Identify qualified manufacturer grade",IF(M178="NOT LISTED","Confirm sour-service claim and ISO 15156",IF(O178="NOT LISTED","Obtain manufacturer collapse curve",IF(N178="CORROSION CONTROL","Model CO2 corrosion; review inhibition","Confirm corrosion, cracking, loads and connection"))))))</x:f>
        <x:v>Model CO2 corrosion; review inhibition</x:v>
      </x:c>
      <x:c r="T178" t="str">
        <x:v>https://solutions.vallourec.com/product/high-collapse/</x:v>
      </x:c>
    </x:row>
    <x:row r="179" ht="23" customHeight="1">
      <x:c r="A179" t="str">
        <x:v>OCTG-0178</x:v>
      </x:c>
      <x:c r="B179" t="str">
        <x:v>Vallourec</x:v>
      </x:c>
      <x:c r="C179" t="str">
        <x:v>VM 150 CY</x:v>
      </x:c>
      <x:c r="D179" t="str">
        <x:v>Carbon / low alloy</x:v>
      </x:c>
      <x:c r="E179" t="str">
        <x:v>High strength / controlled yield, deep wells</x:v>
      </x:c>
      <x:c r="F179" s="82" t="n">
        <x:v>150</x:v>
      </x:c>
      <x:c r="G179" t="str">
        <x:v>No</x:v>
      </x:c>
      <x:c r="H179" t="str">
        <x:v>A</x:v>
      </x:c>
      <x:c r="I179" t="str">
        <x:v>No</x:v>
      </x:c>
      <x:c r="J179" t="str">
        <x:v>No</x:v>
      </x:c>
      <x:c r="K179" t="str">
        <x:v>No</x:v>
      </x:c>
      <x:c r="L179" t="str">
        <x:f>IF(F179="","UNKNOWN",IF(F179&lt;'WELL INPUTS'!$B$11,"BELOW","OK"))</x:f>
        <x:v>OK</x:v>
      </x:c>
      <x:c r="M179" t="str">
        <x:f>IF(AND('WELL INPUTS'!$B$4="Wet",'WELL INPUTS'!$B$5&gt;0),IF(I179="Yes","CATALOG SOUR","NOT LISTED"),"N/A")</x:f>
        <x:v>N/A</x:v>
      </x:c>
      <x:c r="N179" t="str">
        <x:f>IF(AND('WELL INPUTS'!$B$4="Wet",'WELL INPUTS'!$B$6&gt;0),IF(J179="Yes","ALLOY FAMILY","CORROSION CONTROL"),"N/A")</x:f>
        <x:v>CORROSION CONTROL</x:v>
      </x:c>
      <x:c r="O179" t="str">
        <x:f>IF('WELL INPUTS'!$B$12="Yes",IF(G179="Yes","CLAIMED","NOT LISTED"),"N/A")</x:f>
        <x:v>N/A</x:v>
      </x:c>
      <x:c r="P179" t="str">
        <x:f>IF(OR('WELL INPUTS'!$B$13="Unrestricted",CODE(H179)&lt;=CODE('WELL INPUTS'!$B$13)),"WITHIN TIER","OVER CAP")</x:f>
        <x:v>WITHIN TIER</x:v>
      </x:c>
      <x:c r="Q179" t="n">
        <x:f>MAX(0,MIN(100,43+IF(L179="OK",14,-20)+IF(M179="CATALOG SOUR",24,IF(M179="NOT LISTED",-18,0))+IF(N179="ALLOY FAMILY",14,IF(N179="CORROSION CONTROL",-13,0))+IF(O179="CLAIMED",17,IF(O179="NOT LISTED",-14,0))+IF(K179="Yes",-15,0)+IF('WELL INPUTS'!$B$10="Yes",-17,0)))</x:f>
        <x:v>44</x:v>
      </x:c>
      <x:c r="R179" s="83" t="str">
        <x:f>IF(L179="BELOW","EXCLUDE — STRENGTH",IF(P179="OVER CAP","EXCLUDE — COST",IF(K179="Yes",IF('WELL INPUTS'!$B$14="No","EXCLUDE — REFERENCE","REFERENCE ONLY"),IF(OR(L179="UNKNOWN",M179="NOT LISTED",N179="CORROSION CONTROL",O179="NOT LISTED",'WELL INPUTS'!$B$10="Yes",'WELL INPUTS'!$B$4="Unknown"),"REVIEW","CANDIDATE — VERIFY"))))</x:f>
        <x:v>REVIEW</x:v>
      </x:c>
      <x:c r="S179" t="str">
        <x:f>IF(L179="BELOW","Increase minimum grade strength",IF(P179="OVER CAP","Relax cost tier or exclude",IF(K179="Yes","Identify qualified manufacturer grade",IF(M179="NOT LISTED","Confirm sour-service claim and ISO 15156",IF(O179="NOT LISTED","Obtain manufacturer collapse curve",IF(N179="CORROSION CONTROL","Model CO2 corrosion; review inhibition","Confirm corrosion, cracking, loads and connection"))))))</x:f>
        <x:v>Model CO2 corrosion; review inhibition</x:v>
      </x:c>
      <x:c r="T179" t="str">
        <x:v>https://solutions.vallourec.com/product/high-strength/</x:v>
      </x:c>
    </x:row>
    <x:row r="180" ht="23" customHeight="1">
      <x:c r="A180" t="str">
        <x:v>OCTG-0179</x:v>
      </x:c>
      <x:c r="B180" t="str">
        <x:v>Vallourec</x:v>
      </x:c>
      <x:c r="C180" t="str">
        <x:v>VM 150 CYHC</x:v>
      </x:c>
      <x:c r="D180" t="str">
        <x:v>Carbon / low alloy</x:v>
      </x:c>
      <x:c r="E180" t="str">
        <x:v>High collapse; sour qualified where HCSS/HCMS/HCESS</x:v>
      </x:c>
      <x:c r="F180" s="82" t="n">
        <x:v>150</x:v>
      </x:c>
      <x:c r="G180" t="str">
        <x:v>Yes</x:v>
      </x:c>
      <x:c r="H180" t="str">
        <x:v>A</x:v>
      </x:c>
      <x:c r="I180" t="str">
        <x:v>Yes</x:v>
      </x:c>
      <x:c r="J180" t="str">
        <x:v>No</x:v>
      </x:c>
      <x:c r="K180" t="str">
        <x:v>No</x:v>
      </x:c>
      <x:c r="L180" t="str">
        <x:f>IF(F180="","UNKNOWN",IF(F180&lt;'WELL INPUTS'!$B$11,"BELOW","OK"))</x:f>
        <x:v>OK</x:v>
      </x:c>
      <x:c r="M180" t="str">
        <x:f>IF(AND('WELL INPUTS'!$B$4="Wet",'WELL INPUTS'!$B$5&gt;0),IF(I180="Yes","CATALOG SOUR","NOT LISTED"),"N/A")</x:f>
        <x:v>N/A</x:v>
      </x:c>
      <x:c r="N180" t="str">
        <x:f>IF(AND('WELL INPUTS'!$B$4="Wet",'WELL INPUTS'!$B$6&gt;0),IF(J180="Yes","ALLOY FAMILY","CORROSION CONTROL"),"N/A")</x:f>
        <x:v>CORROSION CONTROL</x:v>
      </x:c>
      <x:c r="O180" t="str">
        <x:f>IF('WELL INPUTS'!$B$12="Yes",IF(G180="Yes","CLAIMED","NOT LISTED"),"N/A")</x:f>
        <x:v>N/A</x:v>
      </x:c>
      <x:c r="P180" t="str">
        <x:f>IF(OR('WELL INPUTS'!$B$13="Unrestricted",CODE(H180)&lt;=CODE('WELL INPUTS'!$B$13)),"WITHIN TIER","OVER CAP")</x:f>
        <x:v>WITHIN TIER</x:v>
      </x:c>
      <x:c r="Q180" t="n">
        <x:f>MAX(0,MIN(100,43+IF(L180="OK",14,-20)+IF(M180="CATALOG SOUR",24,IF(M180="NOT LISTED",-18,0))+IF(N180="ALLOY FAMILY",14,IF(N180="CORROSION CONTROL",-13,0))+IF(O180="CLAIMED",17,IF(O180="NOT LISTED",-14,0))+IF(K180="Yes",-15,0)+IF('WELL INPUTS'!$B$10="Yes",-17,0)))</x:f>
        <x:v>44</x:v>
      </x:c>
      <x:c r="R180" s="83" t="str">
        <x:f>IF(L180="BELOW","EXCLUDE — STRENGTH",IF(P180="OVER CAP","EXCLUDE — COST",IF(K180="Yes",IF('WELL INPUTS'!$B$14="No","EXCLUDE — REFERENCE","REFERENCE ONLY"),IF(OR(L180="UNKNOWN",M180="NOT LISTED",N180="CORROSION CONTROL",O180="NOT LISTED",'WELL INPUTS'!$B$10="Yes",'WELL INPUTS'!$B$4="Unknown"),"REVIEW","CANDIDATE — VERIFY"))))</x:f>
        <x:v>REVIEW</x:v>
      </x:c>
      <x:c r="S180" t="str">
        <x:f>IF(L180="BELOW","Increase minimum grade strength",IF(P180="OVER CAP","Relax cost tier or exclude",IF(K180="Yes","Identify qualified manufacturer grade",IF(M180="NOT LISTED","Confirm sour-service claim and ISO 15156",IF(O180="NOT LISTED","Obtain manufacturer collapse curve",IF(N180="CORROSION CONTROL","Model CO2 corrosion; review inhibition","Confirm corrosion, cracking, loads and connection"))))))</x:f>
        <x:v>Model CO2 corrosion; review inhibition</x:v>
      </x:c>
      <x:c r="T180" t="str">
        <x:v>https://solutions.vallourec.com/product/high-collapse/</x:v>
      </x:c>
    </x:row>
    <x:row r="181" ht="23" customHeight="1">
      <x:c r="A181" t="str">
        <x:v>OCTG-0180</x:v>
      </x:c>
      <x:c r="B181" t="str">
        <x:v>Vallourec</x:v>
      </x:c>
      <x:c r="C181" t="str">
        <x:v>VM 150 CYXC</x:v>
      </x:c>
      <x:c r="D181" t="str">
        <x:v>Carbon / low alloy</x:v>
      </x:c>
      <x:c r="E181" t="str">
        <x:v>High strength / controlled yield, deep wells</x:v>
      </x:c>
      <x:c r="F181" s="82" t="n">
        <x:v>150</x:v>
      </x:c>
      <x:c r="G181" t="str">
        <x:v>No</x:v>
      </x:c>
      <x:c r="H181" t="str">
        <x:v>A</x:v>
      </x:c>
      <x:c r="I181" t="str">
        <x:v>No</x:v>
      </x:c>
      <x:c r="J181" t="str">
        <x:v>No</x:v>
      </x:c>
      <x:c r="K181" t="str">
        <x:v>No</x:v>
      </x:c>
      <x:c r="L181" t="str">
        <x:f>IF(F181="","UNKNOWN",IF(F181&lt;'WELL INPUTS'!$B$11,"BELOW","OK"))</x:f>
        <x:v>OK</x:v>
      </x:c>
      <x:c r="M181" t="str">
        <x:f>IF(AND('WELL INPUTS'!$B$4="Wet",'WELL INPUTS'!$B$5&gt;0),IF(I181="Yes","CATALOG SOUR","NOT LISTED"),"N/A")</x:f>
        <x:v>N/A</x:v>
      </x:c>
      <x:c r="N181" t="str">
        <x:f>IF(AND('WELL INPUTS'!$B$4="Wet",'WELL INPUTS'!$B$6&gt;0),IF(J181="Yes","ALLOY FAMILY","CORROSION CONTROL"),"N/A")</x:f>
        <x:v>CORROSION CONTROL</x:v>
      </x:c>
      <x:c r="O181" t="str">
        <x:f>IF('WELL INPUTS'!$B$12="Yes",IF(G181="Yes","CLAIMED","NOT LISTED"),"N/A")</x:f>
        <x:v>N/A</x:v>
      </x:c>
      <x:c r="P181" t="str">
        <x:f>IF(OR('WELL INPUTS'!$B$13="Unrestricted",CODE(H181)&lt;=CODE('WELL INPUTS'!$B$13)),"WITHIN TIER","OVER CAP")</x:f>
        <x:v>WITHIN TIER</x:v>
      </x:c>
      <x:c r="Q181" t="n">
        <x:f>MAX(0,MIN(100,43+IF(L181="OK",14,-20)+IF(M181="CATALOG SOUR",24,IF(M181="NOT LISTED",-18,0))+IF(N181="ALLOY FAMILY",14,IF(N181="CORROSION CONTROL",-13,0))+IF(O181="CLAIMED",17,IF(O181="NOT LISTED",-14,0))+IF(K181="Yes",-15,0)+IF('WELL INPUTS'!$B$10="Yes",-17,0)))</x:f>
        <x:v>44</x:v>
      </x:c>
      <x:c r="R181" s="83" t="str">
        <x:f>IF(L181="BELOW","EXCLUDE — STRENGTH",IF(P181="OVER CAP","EXCLUDE — COST",IF(K181="Yes",IF('WELL INPUTS'!$B$14="No","EXCLUDE — REFERENCE","REFERENCE ONLY"),IF(OR(L181="UNKNOWN",M181="NOT LISTED",N181="CORROSION CONTROL",O181="NOT LISTED",'WELL INPUTS'!$B$10="Yes",'WELL INPUTS'!$B$4="Unknown"),"REVIEW","CANDIDATE — VERIFY"))))</x:f>
        <x:v>REVIEW</x:v>
      </x:c>
      <x:c r="S181" t="str">
        <x:f>IF(L181="BELOW","Increase minimum grade strength",IF(P181="OVER CAP","Relax cost tier or exclude",IF(K181="Yes","Identify qualified manufacturer grade",IF(M181="NOT LISTED","Confirm sour-service claim and ISO 15156",IF(O181="NOT LISTED","Obtain manufacturer collapse curve",IF(N181="CORROSION CONTROL","Model CO2 corrosion; review inhibition","Confirm corrosion, cracking, loads and connection"))))))</x:f>
        <x:v>Model CO2 corrosion; review inhibition</x:v>
      </x:c>
      <x:c r="T181" t="str">
        <x:v>https://solutions.vallourec.com/product/high-strength/</x:v>
      </x:c>
    </x:row>
    <x:row r="182" ht="23" customHeight="1">
      <x:c r="A182" t="str">
        <x:v>OCTG-0181</x:v>
      </x:c>
      <x:c r="B182" t="str">
        <x:v>Vallourec</x:v>
      </x:c>
      <x:c r="C182" t="str">
        <x:v>VM 80 HC</x:v>
      </x:c>
      <x:c r="D182" t="str">
        <x:v>Carbon / low alloy</x:v>
      </x:c>
      <x:c r="E182" t="str">
        <x:v>High collapse; sour qualified where HCSS/HCMS/HCESS</x:v>
      </x:c>
      <x:c r="F182" s="82" t="n">
        <x:v>80</x:v>
      </x:c>
      <x:c r="G182" t="str">
        <x:v>Yes</x:v>
      </x:c>
      <x:c r="H182" t="str">
        <x:v>A</x:v>
      </x:c>
      <x:c r="I182" t="str">
        <x:v>Yes</x:v>
      </x:c>
      <x:c r="J182" t="str">
        <x:v>No</x:v>
      </x:c>
      <x:c r="K182" t="str">
        <x:v>No</x:v>
      </x:c>
      <x:c r="L182" t="str">
        <x:f>IF(F182="","UNKNOWN",IF(F182&lt;'WELL INPUTS'!$B$11,"BELOW","OK"))</x:f>
        <x:v>OK</x:v>
      </x:c>
      <x:c r="M182" t="str">
        <x:f>IF(AND('WELL INPUTS'!$B$4="Wet",'WELL INPUTS'!$B$5&gt;0),IF(I182="Yes","CATALOG SOUR","NOT LISTED"),"N/A")</x:f>
        <x:v>N/A</x:v>
      </x:c>
      <x:c r="N182" t="str">
        <x:f>IF(AND('WELL INPUTS'!$B$4="Wet",'WELL INPUTS'!$B$6&gt;0),IF(J182="Yes","ALLOY FAMILY","CORROSION CONTROL"),"N/A")</x:f>
        <x:v>CORROSION CONTROL</x:v>
      </x:c>
      <x:c r="O182" t="str">
        <x:f>IF('WELL INPUTS'!$B$12="Yes",IF(G182="Yes","CLAIMED","NOT LISTED"),"N/A")</x:f>
        <x:v>N/A</x:v>
      </x:c>
      <x:c r="P182" t="str">
        <x:f>IF(OR('WELL INPUTS'!$B$13="Unrestricted",CODE(H182)&lt;=CODE('WELL INPUTS'!$B$13)),"WITHIN TIER","OVER CAP")</x:f>
        <x:v>WITHIN TIER</x:v>
      </x:c>
      <x:c r="Q182" t="n">
        <x:f>MAX(0,MIN(100,43+IF(L182="OK",14,-20)+IF(M182="CATALOG SOUR",24,IF(M182="NOT LISTED",-18,0))+IF(N182="ALLOY FAMILY",14,IF(N182="CORROSION CONTROL",-13,0))+IF(O182="CLAIMED",17,IF(O182="NOT LISTED",-14,0))+IF(K182="Yes",-15,0)+IF('WELL INPUTS'!$B$10="Yes",-17,0)))</x:f>
        <x:v>44</x:v>
      </x:c>
      <x:c r="R182" s="83" t="str">
        <x:f>IF(L182="BELOW","EXCLUDE — STRENGTH",IF(P182="OVER CAP","EXCLUDE — COST",IF(K182="Yes",IF('WELL INPUTS'!$B$14="No","EXCLUDE — REFERENCE","REFERENCE ONLY"),IF(OR(L182="UNKNOWN",M182="NOT LISTED",N182="CORROSION CONTROL",O182="NOT LISTED",'WELL INPUTS'!$B$10="Yes",'WELL INPUTS'!$B$4="Unknown"),"REVIEW","CANDIDATE — VERIFY"))))</x:f>
        <x:v>REVIEW</x:v>
      </x:c>
      <x:c r="S182" t="str">
        <x:f>IF(L182="BELOW","Increase minimum grade strength",IF(P182="OVER CAP","Relax cost tier or exclude",IF(K182="Yes","Identify qualified manufacturer grade",IF(M182="NOT LISTED","Confirm sour-service claim and ISO 15156",IF(O182="NOT LISTED","Obtain manufacturer collapse curve",IF(N182="CORROSION CONTROL","Model CO2 corrosion; review inhibition","Confirm corrosion, cracking, loads and connection"))))))</x:f>
        <x:v>Model CO2 corrosion; review inhibition</x:v>
      </x:c>
      <x:c r="T182" t="str">
        <x:v>https://solutions.vallourec.com/product/high-collapse/</x:v>
      </x:c>
    </x:row>
    <x:row r="183" ht="23" customHeight="1">
      <x:c r="A183" t="str">
        <x:v>OCTG-0182</x:v>
      </x:c>
      <x:c r="B183" t="str">
        <x:v>Vallourec</x:v>
      </x:c>
      <x:c r="C183" t="str">
        <x:v>VM 80 HCS</x:v>
      </x:c>
      <x:c r="D183" t="str">
        <x:v>Carbon / low alloy</x:v>
      </x:c>
      <x:c r="E183" t="str">
        <x:v>High collapse; sour qualified where HCSS/HCMS/HCESS</x:v>
      </x:c>
      <x:c r="F183" s="82" t="n">
        <x:v>80</x:v>
      </x:c>
      <x:c r="G183" t="str">
        <x:v>Yes</x:v>
      </x:c>
      <x:c r="H183" t="str">
        <x:v>A</x:v>
      </x:c>
      <x:c r="I183" t="str">
        <x:v>Yes</x:v>
      </x:c>
      <x:c r="J183" t="str">
        <x:v>No</x:v>
      </x:c>
      <x:c r="K183" t="str">
        <x:v>No</x:v>
      </x:c>
      <x:c r="L183" t="str">
        <x:f>IF(F183="","UNKNOWN",IF(F183&lt;'WELL INPUTS'!$B$11,"BELOW","OK"))</x:f>
        <x:v>OK</x:v>
      </x:c>
      <x:c r="M183" t="str">
        <x:f>IF(AND('WELL INPUTS'!$B$4="Wet",'WELL INPUTS'!$B$5&gt;0),IF(I183="Yes","CATALOG SOUR","NOT LISTED"),"N/A")</x:f>
        <x:v>N/A</x:v>
      </x:c>
      <x:c r="N183" t="str">
        <x:f>IF(AND('WELL INPUTS'!$B$4="Wet",'WELL INPUTS'!$B$6&gt;0),IF(J183="Yes","ALLOY FAMILY","CORROSION CONTROL"),"N/A")</x:f>
        <x:v>CORROSION CONTROL</x:v>
      </x:c>
      <x:c r="O183" t="str">
        <x:f>IF('WELL INPUTS'!$B$12="Yes",IF(G183="Yes","CLAIMED","NOT LISTED"),"N/A")</x:f>
        <x:v>N/A</x:v>
      </x:c>
      <x:c r="P183" t="str">
        <x:f>IF(OR('WELL INPUTS'!$B$13="Unrestricted",CODE(H183)&lt;=CODE('WELL INPUTS'!$B$13)),"WITHIN TIER","OVER CAP")</x:f>
        <x:v>WITHIN TIER</x:v>
      </x:c>
      <x:c r="Q183" t="n">
        <x:f>MAX(0,MIN(100,43+IF(L183="OK",14,-20)+IF(M183="CATALOG SOUR",24,IF(M183="NOT LISTED",-18,0))+IF(N183="ALLOY FAMILY",14,IF(N183="CORROSION CONTROL",-13,0))+IF(O183="CLAIMED",17,IF(O183="NOT LISTED",-14,0))+IF(K183="Yes",-15,0)+IF('WELL INPUTS'!$B$10="Yes",-17,0)))</x:f>
        <x:v>44</x:v>
      </x:c>
      <x:c r="R183" s="83" t="str">
        <x:f>IF(L183="BELOW","EXCLUDE — STRENGTH",IF(P183="OVER CAP","EXCLUDE — COST",IF(K183="Yes",IF('WELL INPUTS'!$B$14="No","EXCLUDE — REFERENCE","REFERENCE ONLY"),IF(OR(L183="UNKNOWN",M183="NOT LISTED",N183="CORROSION CONTROL",O183="NOT LISTED",'WELL INPUTS'!$B$10="Yes",'WELL INPUTS'!$B$4="Unknown"),"REVIEW","CANDIDATE — VERIFY"))))</x:f>
        <x:v>REVIEW</x:v>
      </x:c>
      <x:c r="S183" t="str">
        <x:f>IF(L183="BELOW","Increase minimum grade strength",IF(P183="OVER CAP","Relax cost tier or exclude",IF(K183="Yes","Identify qualified manufacturer grade",IF(M183="NOT LISTED","Confirm sour-service claim and ISO 15156",IF(O183="NOT LISTED","Obtain manufacturer collapse curve",IF(N183="CORROSION CONTROL","Model CO2 corrosion; review inhibition","Confirm corrosion, cracking, loads and connection"))))))</x:f>
        <x:v>Model CO2 corrosion; review inhibition</x:v>
      </x:c>
      <x:c r="T183" t="str">
        <x:v>https://solutions.vallourec.com/product/high-collapse/</x:v>
      </x:c>
    </x:row>
    <x:row r="184" ht="23" customHeight="1">
      <x:c r="A184" t="str">
        <x:v>OCTG-0183</x:v>
      </x:c>
      <x:c r="B184" t="str">
        <x:v>Vallourec</x:v>
      </x:c>
      <x:c r="C184" t="str">
        <x:v>VM 80 HCSS</x:v>
      </x:c>
      <x:c r="D184" t="str">
        <x:v>Carbon / low alloy</x:v>
      </x:c>
      <x:c r="E184" t="str">
        <x:v>High collapse; sour qualified where HCSS/HCMS/HCESS</x:v>
      </x:c>
      <x:c r="F184" s="82" t="n">
        <x:v>80</x:v>
      </x:c>
      <x:c r="G184" t="str">
        <x:v>Yes</x:v>
      </x:c>
      <x:c r="H184" t="str">
        <x:v>A</x:v>
      </x:c>
      <x:c r="I184" t="str">
        <x:v>Yes</x:v>
      </x:c>
      <x:c r="J184" t="str">
        <x:v>No</x:v>
      </x:c>
      <x:c r="K184" t="str">
        <x:v>No</x:v>
      </x:c>
      <x:c r="L184" t="str">
        <x:f>IF(F184="","UNKNOWN",IF(F184&lt;'WELL INPUTS'!$B$11,"BELOW","OK"))</x:f>
        <x:v>OK</x:v>
      </x:c>
      <x:c r="M184" t="str">
        <x:f>IF(AND('WELL INPUTS'!$B$4="Wet",'WELL INPUTS'!$B$5&gt;0),IF(I184="Yes","CATALOG SOUR","NOT LISTED"),"N/A")</x:f>
        <x:v>N/A</x:v>
      </x:c>
      <x:c r="N184" t="str">
        <x:f>IF(AND('WELL INPUTS'!$B$4="Wet",'WELL INPUTS'!$B$6&gt;0),IF(J184="Yes","ALLOY FAMILY","CORROSION CONTROL"),"N/A")</x:f>
        <x:v>CORROSION CONTROL</x:v>
      </x:c>
      <x:c r="O184" t="str">
        <x:f>IF('WELL INPUTS'!$B$12="Yes",IF(G184="Yes","CLAIMED","NOT LISTED"),"N/A")</x:f>
        <x:v>N/A</x:v>
      </x:c>
      <x:c r="P184" t="str">
        <x:f>IF(OR('WELL INPUTS'!$B$13="Unrestricted",CODE(H184)&lt;=CODE('WELL INPUTS'!$B$13)),"WITHIN TIER","OVER CAP")</x:f>
        <x:v>WITHIN TIER</x:v>
      </x:c>
      <x:c r="Q184" t="n">
        <x:f>MAX(0,MIN(100,43+IF(L184="OK",14,-20)+IF(M184="CATALOG SOUR",24,IF(M184="NOT LISTED",-18,0))+IF(N184="ALLOY FAMILY",14,IF(N184="CORROSION CONTROL",-13,0))+IF(O184="CLAIMED",17,IF(O184="NOT LISTED",-14,0))+IF(K184="Yes",-15,0)+IF('WELL INPUTS'!$B$10="Yes",-17,0)))</x:f>
        <x:v>44</x:v>
      </x:c>
      <x:c r="R184" s="83" t="str">
        <x:f>IF(L184="BELOW","EXCLUDE — STRENGTH",IF(P184="OVER CAP","EXCLUDE — COST",IF(K184="Yes",IF('WELL INPUTS'!$B$14="No","EXCLUDE — REFERENCE","REFERENCE ONLY"),IF(OR(L184="UNKNOWN",M184="NOT LISTED",N184="CORROSION CONTROL",O184="NOT LISTED",'WELL INPUTS'!$B$10="Yes",'WELL INPUTS'!$B$4="Unknown"),"REVIEW","CANDIDATE — VERIFY"))))</x:f>
        <x:v>REVIEW</x:v>
      </x:c>
      <x:c r="S184" t="str">
        <x:f>IF(L184="BELOW","Increase minimum grade strength",IF(P184="OVER CAP","Relax cost tier or exclude",IF(K184="Yes","Identify qualified manufacturer grade",IF(M184="NOT LISTED","Confirm sour-service claim and ISO 15156",IF(O184="NOT LISTED","Obtain manufacturer collapse curve",IF(N184="CORROSION CONTROL","Model CO2 corrosion; review inhibition","Confirm corrosion, cracking, loads and connection"))))))</x:f>
        <x:v>Model CO2 corrosion; review inhibition</x:v>
      </x:c>
      <x:c r="T184" t="str">
        <x:v>https://solutions.vallourec.com/product/high-collapse/</x:v>
      </x:c>
    </x:row>
    <x:row r="185" ht="23" customHeight="1">
      <x:c r="A185" t="str">
        <x:v>OCTG-0184</x:v>
      </x:c>
      <x:c r="B185" t="str">
        <x:v>Vallourec</x:v>
      </x:c>
      <x:c r="C185" t="str">
        <x:v>VM 80 IRP</x:v>
      </x:c>
      <x:c r="D185" t="str">
        <x:v>Carbon / low alloy</x:v>
      </x:c>
      <x:c r="E185" t="str">
        <x:v>Sour service / SSC resistance; region varies by grade</x:v>
      </x:c>
      <x:c r="F185" s="82" t="n">
        <x:v>80</x:v>
      </x:c>
      <x:c r="G185" t="str">
        <x:v>No</x:v>
      </x:c>
      <x:c r="H185" t="str">
        <x:v>A</x:v>
      </x:c>
      <x:c r="I185" t="str">
        <x:v>Yes</x:v>
      </x:c>
      <x:c r="J185" t="str">
        <x:v>No</x:v>
      </x:c>
      <x:c r="K185" t="str">
        <x:v>No</x:v>
      </x:c>
      <x:c r="L185" t="str">
        <x:f>IF(F185="","UNKNOWN",IF(F185&lt;'WELL INPUTS'!$B$11,"BELOW","OK"))</x:f>
        <x:v>OK</x:v>
      </x:c>
      <x:c r="M185" t="str">
        <x:f>IF(AND('WELL INPUTS'!$B$4="Wet",'WELL INPUTS'!$B$5&gt;0),IF(I185="Yes","CATALOG SOUR","NOT LISTED"),"N/A")</x:f>
        <x:v>N/A</x:v>
      </x:c>
      <x:c r="N185" t="str">
        <x:f>IF(AND('WELL INPUTS'!$B$4="Wet",'WELL INPUTS'!$B$6&gt;0),IF(J185="Yes","ALLOY FAMILY","CORROSION CONTROL"),"N/A")</x:f>
        <x:v>CORROSION CONTROL</x:v>
      </x:c>
      <x:c r="O185" t="str">
        <x:f>IF('WELL INPUTS'!$B$12="Yes",IF(G185="Yes","CLAIMED","NOT LISTED"),"N/A")</x:f>
        <x:v>N/A</x:v>
      </x:c>
      <x:c r="P185" t="str">
        <x:f>IF(OR('WELL INPUTS'!$B$13="Unrestricted",CODE(H185)&lt;=CODE('WELL INPUTS'!$B$13)),"WITHIN TIER","OVER CAP")</x:f>
        <x:v>WITHIN TIER</x:v>
      </x:c>
      <x:c r="Q185" t="n">
        <x:f>MAX(0,MIN(100,43+IF(L185="OK",14,-20)+IF(M185="CATALOG SOUR",24,IF(M185="NOT LISTED",-18,0))+IF(N185="ALLOY FAMILY",14,IF(N185="CORROSION CONTROL",-13,0))+IF(O185="CLAIMED",17,IF(O185="NOT LISTED",-14,0))+IF(K185="Yes",-15,0)+IF('WELL INPUTS'!$B$10="Yes",-17,0)))</x:f>
        <x:v>44</x:v>
      </x:c>
      <x:c r="R185" s="83" t="str">
        <x:f>IF(L185="BELOW","EXCLUDE — STRENGTH",IF(P185="OVER CAP","EXCLUDE — COST",IF(K185="Yes",IF('WELL INPUTS'!$B$14="No","EXCLUDE — REFERENCE","REFERENCE ONLY"),IF(OR(L185="UNKNOWN",M185="NOT LISTED",N185="CORROSION CONTROL",O185="NOT LISTED",'WELL INPUTS'!$B$10="Yes",'WELL INPUTS'!$B$4="Unknown"),"REVIEW","CANDIDATE — VERIFY"))))</x:f>
        <x:v>REVIEW</x:v>
      </x:c>
      <x:c r="S185" t="str">
        <x:f>IF(L185="BELOW","Increase minimum grade strength",IF(P185="OVER CAP","Relax cost tier or exclude",IF(K185="Yes","Identify qualified manufacturer grade",IF(M185="NOT LISTED","Confirm sour-service claim and ISO 15156",IF(O185="NOT LISTED","Obtain manufacturer collapse curve",IF(N185="CORROSION CONTROL","Model CO2 corrosion; review inhibition","Confirm corrosion, cracking, loads and connection"))))))</x:f>
        <x:v>Model CO2 corrosion; review inhibition</x:v>
      </x:c>
      <x:c r="T185" t="str">
        <x:v>https://solutions.vallourec.com/product/sour-service/</x:v>
      </x:c>
    </x:row>
    <x:row r="186" ht="23" customHeight="1">
      <x:c r="A186" t="str">
        <x:v>OCTG-0185</x:v>
      </x:c>
      <x:c r="B186" t="str">
        <x:v>Vallourec</x:v>
      </x:c>
      <x:c r="C186" t="str">
        <x:v>VM 80 S</x:v>
      </x:c>
      <x:c r="D186" t="str">
        <x:v>Carbon / low alloy</x:v>
      </x:c>
      <x:c r="E186" t="str">
        <x:v>Sour service / SSC resistance; region varies by grade</x:v>
      </x:c>
      <x:c r="F186" s="82" t="n">
        <x:v>80</x:v>
      </x:c>
      <x:c r="G186" t="str">
        <x:v>No</x:v>
      </x:c>
      <x:c r="H186" t="str">
        <x:v>A</x:v>
      </x:c>
      <x:c r="I186" t="str">
        <x:v>Yes</x:v>
      </x:c>
      <x:c r="J186" t="str">
        <x:v>No</x:v>
      </x:c>
      <x:c r="K186" t="str">
        <x:v>No</x:v>
      </x:c>
      <x:c r="L186" t="str">
        <x:f>IF(F186="","UNKNOWN",IF(F186&lt;'WELL INPUTS'!$B$11,"BELOW","OK"))</x:f>
        <x:v>OK</x:v>
      </x:c>
      <x:c r="M186" t="str">
        <x:f>IF(AND('WELL INPUTS'!$B$4="Wet",'WELL INPUTS'!$B$5&gt;0),IF(I186="Yes","CATALOG SOUR","NOT LISTED"),"N/A")</x:f>
        <x:v>N/A</x:v>
      </x:c>
      <x:c r="N186" t="str">
        <x:f>IF(AND('WELL INPUTS'!$B$4="Wet",'WELL INPUTS'!$B$6&gt;0),IF(J186="Yes","ALLOY FAMILY","CORROSION CONTROL"),"N/A")</x:f>
        <x:v>CORROSION CONTROL</x:v>
      </x:c>
      <x:c r="O186" t="str">
        <x:f>IF('WELL INPUTS'!$B$12="Yes",IF(G186="Yes","CLAIMED","NOT LISTED"),"N/A")</x:f>
        <x:v>N/A</x:v>
      </x:c>
      <x:c r="P186" t="str">
        <x:f>IF(OR('WELL INPUTS'!$B$13="Unrestricted",CODE(H186)&lt;=CODE('WELL INPUTS'!$B$13)),"WITHIN TIER","OVER CAP")</x:f>
        <x:v>WITHIN TIER</x:v>
      </x:c>
      <x:c r="Q186" t="n">
        <x:f>MAX(0,MIN(100,43+IF(L186="OK",14,-20)+IF(M186="CATALOG SOUR",24,IF(M186="NOT LISTED",-18,0))+IF(N186="ALLOY FAMILY",14,IF(N186="CORROSION CONTROL",-13,0))+IF(O186="CLAIMED",17,IF(O186="NOT LISTED",-14,0))+IF(K186="Yes",-15,0)+IF('WELL INPUTS'!$B$10="Yes",-17,0)))</x:f>
        <x:v>44</x:v>
      </x:c>
      <x:c r="R186" s="83" t="str">
        <x:f>IF(L186="BELOW","EXCLUDE — STRENGTH",IF(P186="OVER CAP","EXCLUDE — COST",IF(K186="Yes",IF('WELL INPUTS'!$B$14="No","EXCLUDE — REFERENCE","REFERENCE ONLY"),IF(OR(L186="UNKNOWN",M186="NOT LISTED",N186="CORROSION CONTROL",O186="NOT LISTED",'WELL INPUTS'!$B$10="Yes",'WELL INPUTS'!$B$4="Unknown"),"REVIEW","CANDIDATE — VERIFY"))))</x:f>
        <x:v>REVIEW</x:v>
      </x:c>
      <x:c r="S186" t="str">
        <x:f>IF(L186="BELOW","Increase minimum grade strength",IF(P186="OVER CAP","Relax cost tier or exclude",IF(K186="Yes","Identify qualified manufacturer grade",IF(M186="NOT LISTED","Confirm sour-service claim and ISO 15156",IF(O186="NOT LISTED","Obtain manufacturer collapse curve",IF(N186="CORROSION CONTROL","Model CO2 corrosion; review inhibition","Confirm corrosion, cracking, loads and connection"))))))</x:f>
        <x:v>Model CO2 corrosion; review inhibition</x:v>
      </x:c>
      <x:c r="T186" t="str">
        <x:v>https://solutions.vallourec.com/product/sour-service/</x:v>
      </x:c>
    </x:row>
    <x:row r="187" ht="23" customHeight="1">
      <x:c r="A187" t="str">
        <x:v>OCTG-0186</x:v>
      </x:c>
      <x:c r="B187" t="str">
        <x:v>Vallourec</x:v>
      </x:c>
      <x:c r="C187" t="str">
        <x:v>VM 80 SS</x:v>
      </x:c>
      <x:c r="D187" t="str">
        <x:v>Carbon / low alloy</x:v>
      </x:c>
      <x:c r="E187" t="str">
        <x:v>Sour service / SSC resistance; region varies by grade</x:v>
      </x:c>
      <x:c r="F187" s="82" t="n">
        <x:v>80</x:v>
      </x:c>
      <x:c r="G187" t="str">
        <x:v>No</x:v>
      </x:c>
      <x:c r="H187" t="str">
        <x:v>A</x:v>
      </x:c>
      <x:c r="I187" t="str">
        <x:v>Yes</x:v>
      </x:c>
      <x:c r="J187" t="str">
        <x:v>No</x:v>
      </x:c>
      <x:c r="K187" t="str">
        <x:v>No</x:v>
      </x:c>
      <x:c r="L187" t="str">
        <x:f>IF(F187="","UNKNOWN",IF(F187&lt;'WELL INPUTS'!$B$11,"BELOW","OK"))</x:f>
        <x:v>OK</x:v>
      </x:c>
      <x:c r="M187" t="str">
        <x:f>IF(AND('WELL INPUTS'!$B$4="Wet",'WELL INPUTS'!$B$5&gt;0),IF(I187="Yes","CATALOG SOUR","NOT LISTED"),"N/A")</x:f>
        <x:v>N/A</x:v>
      </x:c>
      <x:c r="N187" t="str">
        <x:f>IF(AND('WELL INPUTS'!$B$4="Wet",'WELL INPUTS'!$B$6&gt;0),IF(J187="Yes","ALLOY FAMILY","CORROSION CONTROL"),"N/A")</x:f>
        <x:v>CORROSION CONTROL</x:v>
      </x:c>
      <x:c r="O187" t="str">
        <x:f>IF('WELL INPUTS'!$B$12="Yes",IF(G187="Yes","CLAIMED","NOT LISTED"),"N/A")</x:f>
        <x:v>N/A</x:v>
      </x:c>
      <x:c r="P187" t="str">
        <x:f>IF(OR('WELL INPUTS'!$B$13="Unrestricted",CODE(H187)&lt;=CODE('WELL INPUTS'!$B$13)),"WITHIN TIER","OVER CAP")</x:f>
        <x:v>WITHIN TIER</x:v>
      </x:c>
      <x:c r="Q187" t="n">
        <x:f>MAX(0,MIN(100,43+IF(L187="OK",14,-20)+IF(M187="CATALOG SOUR",24,IF(M187="NOT LISTED",-18,0))+IF(N187="ALLOY FAMILY",14,IF(N187="CORROSION CONTROL",-13,0))+IF(O187="CLAIMED",17,IF(O187="NOT LISTED",-14,0))+IF(K187="Yes",-15,0)+IF('WELL INPUTS'!$B$10="Yes",-17,0)))</x:f>
        <x:v>44</x:v>
      </x:c>
      <x:c r="R187" s="83" t="str">
        <x:f>IF(L187="BELOW","EXCLUDE — STRENGTH",IF(P187="OVER CAP","EXCLUDE — COST",IF(K187="Yes",IF('WELL INPUTS'!$B$14="No","EXCLUDE — REFERENCE","REFERENCE ONLY"),IF(OR(L187="UNKNOWN",M187="NOT LISTED",N187="CORROSION CONTROL",O187="NOT LISTED",'WELL INPUTS'!$B$10="Yes",'WELL INPUTS'!$B$4="Unknown"),"REVIEW","CANDIDATE — VERIFY"))))</x:f>
        <x:v>REVIEW</x:v>
      </x:c>
      <x:c r="S187" t="str">
        <x:f>IF(L187="BELOW","Increase minimum grade strength",IF(P187="OVER CAP","Relax cost tier or exclude",IF(K187="Yes","Identify qualified manufacturer grade",IF(M187="NOT LISTED","Confirm sour-service claim and ISO 15156",IF(O187="NOT LISTED","Obtain manufacturer collapse curve",IF(N187="CORROSION CONTROL","Model CO2 corrosion; review inhibition","Confirm corrosion, cracking, loads and connection"))))))</x:f>
        <x:v>Model CO2 corrosion; review inhibition</x:v>
      </x:c>
      <x:c r="T187" t="str">
        <x:v>https://solutions.vallourec.com/product/sour-service/</x:v>
      </x:c>
    </x:row>
    <x:row r="188" ht="23" customHeight="1">
      <x:c r="A188" t="str">
        <x:v>OCTG-0187</x:v>
      </x:c>
      <x:c r="B188" t="str">
        <x:v>Vallourec</x:v>
      </x:c>
      <x:c r="C188" t="str">
        <x:v>VM 90 HCS</x:v>
      </x:c>
      <x:c r="D188" t="str">
        <x:v>Carbon / low alloy</x:v>
      </x:c>
      <x:c r="E188" t="str">
        <x:v>High collapse; sour qualified where HCSS/HCMS/HCESS</x:v>
      </x:c>
      <x:c r="F188" s="82" t="n">
        <x:v>90</x:v>
      </x:c>
      <x:c r="G188" t="str">
        <x:v>Yes</x:v>
      </x:c>
      <x:c r="H188" t="str">
        <x:v>A</x:v>
      </x:c>
      <x:c r="I188" t="str">
        <x:v>Yes</x:v>
      </x:c>
      <x:c r="J188" t="str">
        <x:v>No</x:v>
      </x:c>
      <x:c r="K188" t="str">
        <x:v>No</x:v>
      </x:c>
      <x:c r="L188" t="str">
        <x:f>IF(F188="","UNKNOWN",IF(F188&lt;'WELL INPUTS'!$B$11,"BELOW","OK"))</x:f>
        <x:v>OK</x:v>
      </x:c>
      <x:c r="M188" t="str">
        <x:f>IF(AND('WELL INPUTS'!$B$4="Wet",'WELL INPUTS'!$B$5&gt;0),IF(I188="Yes","CATALOG SOUR","NOT LISTED"),"N/A")</x:f>
        <x:v>N/A</x:v>
      </x:c>
      <x:c r="N188" t="str">
        <x:f>IF(AND('WELL INPUTS'!$B$4="Wet",'WELL INPUTS'!$B$6&gt;0),IF(J188="Yes","ALLOY FAMILY","CORROSION CONTROL"),"N/A")</x:f>
        <x:v>CORROSION CONTROL</x:v>
      </x:c>
      <x:c r="O188" t="str">
        <x:f>IF('WELL INPUTS'!$B$12="Yes",IF(G188="Yes","CLAIMED","NOT LISTED"),"N/A")</x:f>
        <x:v>N/A</x:v>
      </x:c>
      <x:c r="P188" t="str">
        <x:f>IF(OR('WELL INPUTS'!$B$13="Unrestricted",CODE(H188)&lt;=CODE('WELL INPUTS'!$B$13)),"WITHIN TIER","OVER CAP")</x:f>
        <x:v>WITHIN TIER</x:v>
      </x:c>
      <x:c r="Q188" t="n">
        <x:f>MAX(0,MIN(100,43+IF(L188="OK",14,-20)+IF(M188="CATALOG SOUR",24,IF(M188="NOT LISTED",-18,0))+IF(N188="ALLOY FAMILY",14,IF(N188="CORROSION CONTROL",-13,0))+IF(O188="CLAIMED",17,IF(O188="NOT LISTED",-14,0))+IF(K188="Yes",-15,0)+IF('WELL INPUTS'!$B$10="Yes",-17,0)))</x:f>
        <x:v>44</x:v>
      </x:c>
      <x:c r="R188" s="83" t="str">
        <x:f>IF(L188="BELOW","EXCLUDE — STRENGTH",IF(P188="OVER CAP","EXCLUDE — COST",IF(K188="Yes",IF('WELL INPUTS'!$B$14="No","EXCLUDE — REFERENCE","REFERENCE ONLY"),IF(OR(L188="UNKNOWN",M188="NOT LISTED",N188="CORROSION CONTROL",O188="NOT LISTED",'WELL INPUTS'!$B$10="Yes",'WELL INPUTS'!$B$4="Unknown"),"REVIEW","CANDIDATE — VERIFY"))))</x:f>
        <x:v>REVIEW</x:v>
      </x:c>
      <x:c r="S188" t="str">
        <x:f>IF(L188="BELOW","Increase minimum grade strength",IF(P188="OVER CAP","Relax cost tier or exclude",IF(K188="Yes","Identify qualified manufacturer grade",IF(M188="NOT LISTED","Confirm sour-service claim and ISO 15156",IF(O188="NOT LISTED","Obtain manufacturer collapse curve",IF(N188="CORROSION CONTROL","Model CO2 corrosion; review inhibition","Confirm corrosion, cracking, loads and connection"))))))</x:f>
        <x:v>Model CO2 corrosion; review inhibition</x:v>
      </x:c>
      <x:c r="T188" t="str">
        <x:v>https://solutions.vallourec.com/product/high-collapse/</x:v>
      </x:c>
    </x:row>
    <x:row r="189" ht="23" customHeight="1">
      <x:c r="A189" t="str">
        <x:v>OCTG-0188</x:v>
      </x:c>
      <x:c r="B189" t="str">
        <x:v>Vallourec</x:v>
      </x:c>
      <x:c r="C189" t="str">
        <x:v>VM 90 HCSS</x:v>
      </x:c>
      <x:c r="D189" t="str">
        <x:v>Carbon / low alloy</x:v>
      </x:c>
      <x:c r="E189" t="str">
        <x:v>High collapse; sour qualified where HCSS/HCMS/HCESS</x:v>
      </x:c>
      <x:c r="F189" s="82" t="n">
        <x:v>90</x:v>
      </x:c>
      <x:c r="G189" t="str">
        <x:v>Yes</x:v>
      </x:c>
      <x:c r="H189" t="str">
        <x:v>A</x:v>
      </x:c>
      <x:c r="I189" t="str">
        <x:v>Yes</x:v>
      </x:c>
      <x:c r="J189" t="str">
        <x:v>No</x:v>
      </x:c>
      <x:c r="K189" t="str">
        <x:v>No</x:v>
      </x:c>
      <x:c r="L189" t="str">
        <x:f>IF(F189="","UNKNOWN",IF(F189&lt;'WELL INPUTS'!$B$11,"BELOW","OK"))</x:f>
        <x:v>OK</x:v>
      </x:c>
      <x:c r="M189" t="str">
        <x:f>IF(AND('WELL INPUTS'!$B$4="Wet",'WELL INPUTS'!$B$5&gt;0),IF(I189="Yes","CATALOG SOUR","NOT LISTED"),"N/A")</x:f>
        <x:v>N/A</x:v>
      </x:c>
      <x:c r="N189" t="str">
        <x:f>IF(AND('WELL INPUTS'!$B$4="Wet",'WELL INPUTS'!$B$6&gt;0),IF(J189="Yes","ALLOY FAMILY","CORROSION CONTROL"),"N/A")</x:f>
        <x:v>CORROSION CONTROL</x:v>
      </x:c>
      <x:c r="O189" t="str">
        <x:f>IF('WELL INPUTS'!$B$12="Yes",IF(G189="Yes","CLAIMED","NOT LISTED"),"N/A")</x:f>
        <x:v>N/A</x:v>
      </x:c>
      <x:c r="P189" t="str">
        <x:f>IF(OR('WELL INPUTS'!$B$13="Unrestricted",CODE(H189)&lt;=CODE('WELL INPUTS'!$B$13)),"WITHIN TIER","OVER CAP")</x:f>
        <x:v>WITHIN TIER</x:v>
      </x:c>
      <x:c r="Q189" t="n">
        <x:f>MAX(0,MIN(100,43+IF(L189="OK",14,-20)+IF(M189="CATALOG SOUR",24,IF(M189="NOT LISTED",-18,0))+IF(N189="ALLOY FAMILY",14,IF(N189="CORROSION CONTROL",-13,0))+IF(O189="CLAIMED",17,IF(O189="NOT LISTED",-14,0))+IF(K189="Yes",-15,0)+IF('WELL INPUTS'!$B$10="Yes",-17,0)))</x:f>
        <x:v>44</x:v>
      </x:c>
      <x:c r="R189" s="83" t="str">
        <x:f>IF(L189="BELOW","EXCLUDE — STRENGTH",IF(P189="OVER CAP","EXCLUDE — COST",IF(K189="Yes",IF('WELL INPUTS'!$B$14="No","EXCLUDE — REFERENCE","REFERENCE ONLY"),IF(OR(L189="UNKNOWN",M189="NOT LISTED",N189="CORROSION CONTROL",O189="NOT LISTED",'WELL INPUTS'!$B$10="Yes",'WELL INPUTS'!$B$4="Unknown"),"REVIEW","CANDIDATE — VERIFY"))))</x:f>
        <x:v>REVIEW</x:v>
      </x:c>
      <x:c r="S189" t="str">
        <x:f>IF(L189="BELOW","Increase minimum grade strength",IF(P189="OVER CAP","Relax cost tier or exclude",IF(K189="Yes","Identify qualified manufacturer grade",IF(M189="NOT LISTED","Confirm sour-service claim and ISO 15156",IF(O189="NOT LISTED","Obtain manufacturer collapse curve",IF(N189="CORROSION CONTROL","Model CO2 corrosion; review inhibition","Confirm corrosion, cracking, loads and connection"))))))</x:f>
        <x:v>Model CO2 corrosion; review inhibition</x:v>
      </x:c>
      <x:c r="T189" t="str">
        <x:v>https://solutions.vallourec.com/product/high-collapse/</x:v>
      </x:c>
    </x:row>
    <x:row r="190" ht="23" customHeight="1">
      <x:c r="A190" t="str">
        <x:v>OCTG-0189</x:v>
      </x:c>
      <x:c r="B190" t="str">
        <x:v>Vallourec</x:v>
      </x:c>
      <x:c r="C190" t="str">
        <x:v>VM 90 IRP</x:v>
      </x:c>
      <x:c r="D190" t="str">
        <x:v>Carbon / low alloy</x:v>
      </x:c>
      <x:c r="E190" t="str">
        <x:v>Sour service / SSC resistance; region varies by grade</x:v>
      </x:c>
      <x:c r="F190" s="82" t="n">
        <x:v>90</x:v>
      </x:c>
      <x:c r="G190" t="str">
        <x:v>No</x:v>
      </x:c>
      <x:c r="H190" t="str">
        <x:v>A</x:v>
      </x:c>
      <x:c r="I190" t="str">
        <x:v>Yes</x:v>
      </x:c>
      <x:c r="J190" t="str">
        <x:v>No</x:v>
      </x:c>
      <x:c r="K190" t="str">
        <x:v>No</x:v>
      </x:c>
      <x:c r="L190" t="str">
        <x:f>IF(F190="","UNKNOWN",IF(F190&lt;'WELL INPUTS'!$B$11,"BELOW","OK"))</x:f>
        <x:v>OK</x:v>
      </x:c>
      <x:c r="M190" t="str">
        <x:f>IF(AND('WELL INPUTS'!$B$4="Wet",'WELL INPUTS'!$B$5&gt;0),IF(I190="Yes","CATALOG SOUR","NOT LISTED"),"N/A")</x:f>
        <x:v>N/A</x:v>
      </x:c>
      <x:c r="N190" t="str">
        <x:f>IF(AND('WELL INPUTS'!$B$4="Wet",'WELL INPUTS'!$B$6&gt;0),IF(J190="Yes","ALLOY FAMILY","CORROSION CONTROL"),"N/A")</x:f>
        <x:v>CORROSION CONTROL</x:v>
      </x:c>
      <x:c r="O190" t="str">
        <x:f>IF('WELL INPUTS'!$B$12="Yes",IF(G190="Yes","CLAIMED","NOT LISTED"),"N/A")</x:f>
        <x:v>N/A</x:v>
      </x:c>
      <x:c r="P190" t="str">
        <x:f>IF(OR('WELL INPUTS'!$B$13="Unrestricted",CODE(H190)&lt;=CODE('WELL INPUTS'!$B$13)),"WITHIN TIER","OVER CAP")</x:f>
        <x:v>WITHIN TIER</x:v>
      </x:c>
      <x:c r="Q190" t="n">
        <x:f>MAX(0,MIN(100,43+IF(L190="OK",14,-20)+IF(M190="CATALOG SOUR",24,IF(M190="NOT LISTED",-18,0))+IF(N190="ALLOY FAMILY",14,IF(N190="CORROSION CONTROL",-13,0))+IF(O190="CLAIMED",17,IF(O190="NOT LISTED",-14,0))+IF(K190="Yes",-15,0)+IF('WELL INPUTS'!$B$10="Yes",-17,0)))</x:f>
        <x:v>44</x:v>
      </x:c>
      <x:c r="R190" s="83" t="str">
        <x:f>IF(L190="BELOW","EXCLUDE — STRENGTH",IF(P190="OVER CAP","EXCLUDE — COST",IF(K190="Yes",IF('WELL INPUTS'!$B$14="No","EXCLUDE — REFERENCE","REFERENCE ONLY"),IF(OR(L190="UNKNOWN",M190="NOT LISTED",N190="CORROSION CONTROL",O190="NOT LISTED",'WELL INPUTS'!$B$10="Yes",'WELL INPUTS'!$B$4="Unknown"),"REVIEW","CANDIDATE — VERIFY"))))</x:f>
        <x:v>REVIEW</x:v>
      </x:c>
      <x:c r="S190" t="str">
        <x:f>IF(L190="BELOW","Increase minimum grade strength",IF(P190="OVER CAP","Relax cost tier or exclude",IF(K190="Yes","Identify qualified manufacturer grade",IF(M190="NOT LISTED","Confirm sour-service claim and ISO 15156",IF(O190="NOT LISTED","Obtain manufacturer collapse curve",IF(N190="CORROSION CONTROL","Model CO2 corrosion; review inhibition","Confirm corrosion, cracking, loads and connection"))))))</x:f>
        <x:v>Model CO2 corrosion; review inhibition</x:v>
      </x:c>
      <x:c r="T190" t="str">
        <x:v>https://solutions.vallourec.com/product/sour-service/</x:v>
      </x:c>
    </x:row>
    <x:row r="191" ht="23" customHeight="1">
      <x:c r="A191" t="str">
        <x:v>OCTG-0190</x:v>
      </x:c>
      <x:c r="B191" t="str">
        <x:v>Vallourec</x:v>
      </x:c>
      <x:c r="C191" t="str">
        <x:v>VM 90 S</x:v>
      </x:c>
      <x:c r="D191" t="str">
        <x:v>Carbon / low alloy</x:v>
      </x:c>
      <x:c r="E191" t="str">
        <x:v>Sour service / SSC resistance; region varies by grade</x:v>
      </x:c>
      <x:c r="F191" s="82" t="n">
        <x:v>90</x:v>
      </x:c>
      <x:c r="G191" t="str">
        <x:v>No</x:v>
      </x:c>
      <x:c r="H191" t="str">
        <x:v>A</x:v>
      </x:c>
      <x:c r="I191" t="str">
        <x:v>Yes</x:v>
      </x:c>
      <x:c r="J191" t="str">
        <x:v>No</x:v>
      </x:c>
      <x:c r="K191" t="str">
        <x:v>No</x:v>
      </x:c>
      <x:c r="L191" t="str">
        <x:f>IF(F191="","UNKNOWN",IF(F191&lt;'WELL INPUTS'!$B$11,"BELOW","OK"))</x:f>
        <x:v>OK</x:v>
      </x:c>
      <x:c r="M191" t="str">
        <x:f>IF(AND('WELL INPUTS'!$B$4="Wet",'WELL INPUTS'!$B$5&gt;0),IF(I191="Yes","CATALOG SOUR","NOT LISTED"),"N/A")</x:f>
        <x:v>N/A</x:v>
      </x:c>
      <x:c r="N191" t="str">
        <x:f>IF(AND('WELL INPUTS'!$B$4="Wet",'WELL INPUTS'!$B$6&gt;0),IF(J191="Yes","ALLOY FAMILY","CORROSION CONTROL"),"N/A")</x:f>
        <x:v>CORROSION CONTROL</x:v>
      </x:c>
      <x:c r="O191" t="str">
        <x:f>IF('WELL INPUTS'!$B$12="Yes",IF(G191="Yes","CLAIMED","NOT LISTED"),"N/A")</x:f>
        <x:v>N/A</x:v>
      </x:c>
      <x:c r="P191" t="str">
        <x:f>IF(OR('WELL INPUTS'!$B$13="Unrestricted",CODE(H191)&lt;=CODE('WELL INPUTS'!$B$13)),"WITHIN TIER","OVER CAP")</x:f>
        <x:v>WITHIN TIER</x:v>
      </x:c>
      <x:c r="Q191" t="n">
        <x:f>MAX(0,MIN(100,43+IF(L191="OK",14,-20)+IF(M191="CATALOG SOUR",24,IF(M191="NOT LISTED",-18,0))+IF(N191="ALLOY FAMILY",14,IF(N191="CORROSION CONTROL",-13,0))+IF(O191="CLAIMED",17,IF(O191="NOT LISTED",-14,0))+IF(K191="Yes",-15,0)+IF('WELL INPUTS'!$B$10="Yes",-17,0)))</x:f>
        <x:v>44</x:v>
      </x:c>
      <x:c r="R191" s="83" t="str">
        <x:f>IF(L191="BELOW","EXCLUDE — STRENGTH",IF(P191="OVER CAP","EXCLUDE — COST",IF(K191="Yes",IF('WELL INPUTS'!$B$14="No","EXCLUDE — REFERENCE","REFERENCE ONLY"),IF(OR(L191="UNKNOWN",M191="NOT LISTED",N191="CORROSION CONTROL",O191="NOT LISTED",'WELL INPUTS'!$B$10="Yes",'WELL INPUTS'!$B$4="Unknown"),"REVIEW","CANDIDATE — VERIFY"))))</x:f>
        <x:v>REVIEW</x:v>
      </x:c>
      <x:c r="S191" t="str">
        <x:f>IF(L191="BELOW","Increase minimum grade strength",IF(P191="OVER CAP","Relax cost tier or exclude",IF(K191="Yes","Identify qualified manufacturer grade",IF(M191="NOT LISTED","Confirm sour-service claim and ISO 15156",IF(O191="NOT LISTED","Obtain manufacturer collapse curve",IF(N191="CORROSION CONTROL","Model CO2 corrosion; review inhibition","Confirm corrosion, cracking, loads and connection"))))))</x:f>
        <x:v>Model CO2 corrosion; review inhibition</x:v>
      </x:c>
      <x:c r="T191" t="str">
        <x:v>https://solutions.vallourec.com/product/sour-service/</x:v>
      </x:c>
    </x:row>
    <x:row r="192" ht="23" customHeight="1">
      <x:c r="A192" t="str">
        <x:v>OCTG-0191</x:v>
      </x:c>
      <x:c r="B192" t="str">
        <x:v>Vallourec</x:v>
      </x:c>
      <x:c r="C192" t="str">
        <x:v>VM 90 SS</x:v>
      </x:c>
      <x:c r="D192" t="str">
        <x:v>Carbon / low alloy</x:v>
      </x:c>
      <x:c r="E192" t="str">
        <x:v>Sour service / SSC resistance; region varies by grade</x:v>
      </x:c>
      <x:c r="F192" s="82" t="n">
        <x:v>90</x:v>
      </x:c>
      <x:c r="G192" t="str">
        <x:v>No</x:v>
      </x:c>
      <x:c r="H192" t="str">
        <x:v>A</x:v>
      </x:c>
      <x:c r="I192" t="str">
        <x:v>Yes</x:v>
      </x:c>
      <x:c r="J192" t="str">
        <x:v>No</x:v>
      </x:c>
      <x:c r="K192" t="str">
        <x:v>No</x:v>
      </x:c>
      <x:c r="L192" t="str">
        <x:f>IF(F192="","UNKNOWN",IF(F192&lt;'WELL INPUTS'!$B$11,"BELOW","OK"))</x:f>
        <x:v>OK</x:v>
      </x:c>
      <x:c r="M192" t="str">
        <x:f>IF(AND('WELL INPUTS'!$B$4="Wet",'WELL INPUTS'!$B$5&gt;0),IF(I192="Yes","CATALOG SOUR","NOT LISTED"),"N/A")</x:f>
        <x:v>N/A</x:v>
      </x:c>
      <x:c r="N192" t="str">
        <x:f>IF(AND('WELL INPUTS'!$B$4="Wet",'WELL INPUTS'!$B$6&gt;0),IF(J192="Yes","ALLOY FAMILY","CORROSION CONTROL"),"N/A")</x:f>
        <x:v>CORROSION CONTROL</x:v>
      </x:c>
      <x:c r="O192" t="str">
        <x:f>IF('WELL INPUTS'!$B$12="Yes",IF(G192="Yes","CLAIMED","NOT LISTED"),"N/A")</x:f>
        <x:v>N/A</x:v>
      </x:c>
      <x:c r="P192" t="str">
        <x:f>IF(OR('WELL INPUTS'!$B$13="Unrestricted",CODE(H192)&lt;=CODE('WELL INPUTS'!$B$13)),"WITHIN TIER","OVER CAP")</x:f>
        <x:v>WITHIN TIER</x:v>
      </x:c>
      <x:c r="Q192" t="n">
        <x:f>MAX(0,MIN(100,43+IF(L192="OK",14,-20)+IF(M192="CATALOG SOUR",24,IF(M192="NOT LISTED",-18,0))+IF(N192="ALLOY FAMILY",14,IF(N192="CORROSION CONTROL",-13,0))+IF(O192="CLAIMED",17,IF(O192="NOT LISTED",-14,0))+IF(K192="Yes",-15,0)+IF('WELL INPUTS'!$B$10="Yes",-17,0)))</x:f>
        <x:v>44</x:v>
      </x:c>
      <x:c r="R192" s="83" t="str">
        <x:f>IF(L192="BELOW","EXCLUDE — STRENGTH",IF(P192="OVER CAP","EXCLUDE — COST",IF(K192="Yes",IF('WELL INPUTS'!$B$14="No","EXCLUDE — REFERENCE","REFERENCE ONLY"),IF(OR(L192="UNKNOWN",M192="NOT LISTED",N192="CORROSION CONTROL",O192="NOT LISTED",'WELL INPUTS'!$B$10="Yes",'WELL INPUTS'!$B$4="Unknown"),"REVIEW","CANDIDATE — VERIFY"))))</x:f>
        <x:v>REVIEW</x:v>
      </x:c>
      <x:c r="S192" t="str">
        <x:f>IF(L192="BELOW","Increase minimum grade strength",IF(P192="OVER CAP","Relax cost tier or exclude",IF(K192="Yes","Identify qualified manufacturer grade",IF(M192="NOT LISTED","Confirm sour-service claim and ISO 15156",IF(O192="NOT LISTED","Obtain manufacturer collapse curve",IF(N192="CORROSION CONTROL","Model CO2 corrosion; review inhibition","Confirm corrosion, cracking, loads and connection"))))))</x:f>
        <x:v>Model CO2 corrosion; review inhibition</x:v>
      </x:c>
      <x:c r="T192" t="str">
        <x:v>https://solutions.vallourec.com/product/sour-service/</x:v>
      </x:c>
    </x:row>
    <x:row r="193" ht="23" customHeight="1">
      <x:c r="A193" t="str">
        <x:v>OCTG-0192</x:v>
      </x:c>
      <x:c r="B193" t="str">
        <x:v>Vallourec</x:v>
      </x:c>
      <x:c r="C193" t="str">
        <x:v>VM 95 HC</x:v>
      </x:c>
      <x:c r="D193" t="str">
        <x:v>Carbon / low alloy</x:v>
      </x:c>
      <x:c r="E193" t="str">
        <x:v>High collapse; sour qualified where HCSS/HCMS/HCESS</x:v>
      </x:c>
      <x:c r="F193" s="82" t="n">
        <x:v>95</x:v>
      </x:c>
      <x:c r="G193" t="str">
        <x:v>Yes</x:v>
      </x:c>
      <x:c r="H193" t="str">
        <x:v>A</x:v>
      </x:c>
      <x:c r="I193" t="str">
        <x:v>Yes</x:v>
      </x:c>
      <x:c r="J193" t="str">
        <x:v>No</x:v>
      </x:c>
      <x:c r="K193" t="str">
        <x:v>No</x:v>
      </x:c>
      <x:c r="L193" t="str">
        <x:f>IF(F193="","UNKNOWN",IF(F193&lt;'WELL INPUTS'!$B$11,"BELOW","OK"))</x:f>
        <x:v>OK</x:v>
      </x:c>
      <x:c r="M193" t="str">
        <x:f>IF(AND('WELL INPUTS'!$B$4="Wet",'WELL INPUTS'!$B$5&gt;0),IF(I193="Yes","CATALOG SOUR","NOT LISTED"),"N/A")</x:f>
        <x:v>N/A</x:v>
      </x:c>
      <x:c r="N193" t="str">
        <x:f>IF(AND('WELL INPUTS'!$B$4="Wet",'WELL INPUTS'!$B$6&gt;0),IF(J193="Yes","ALLOY FAMILY","CORROSION CONTROL"),"N/A")</x:f>
        <x:v>CORROSION CONTROL</x:v>
      </x:c>
      <x:c r="O193" t="str">
        <x:f>IF('WELL INPUTS'!$B$12="Yes",IF(G193="Yes","CLAIMED","NOT LISTED"),"N/A")</x:f>
        <x:v>N/A</x:v>
      </x:c>
      <x:c r="P193" t="str">
        <x:f>IF(OR('WELL INPUTS'!$B$13="Unrestricted",CODE(H193)&lt;=CODE('WELL INPUTS'!$B$13)),"WITHIN TIER","OVER CAP")</x:f>
        <x:v>WITHIN TIER</x:v>
      </x:c>
      <x:c r="Q193" t="n">
        <x:f>MAX(0,MIN(100,43+IF(L193="OK",14,-20)+IF(M193="CATALOG SOUR",24,IF(M193="NOT LISTED",-18,0))+IF(N193="ALLOY FAMILY",14,IF(N193="CORROSION CONTROL",-13,0))+IF(O193="CLAIMED",17,IF(O193="NOT LISTED",-14,0))+IF(K193="Yes",-15,0)+IF('WELL INPUTS'!$B$10="Yes",-17,0)))</x:f>
        <x:v>44</x:v>
      </x:c>
      <x:c r="R193" s="83" t="str">
        <x:f>IF(L193="BELOW","EXCLUDE — STRENGTH",IF(P193="OVER CAP","EXCLUDE — COST",IF(K193="Yes",IF('WELL INPUTS'!$B$14="No","EXCLUDE — REFERENCE","REFERENCE ONLY"),IF(OR(L193="UNKNOWN",M193="NOT LISTED",N193="CORROSION CONTROL",O193="NOT LISTED",'WELL INPUTS'!$B$10="Yes",'WELL INPUTS'!$B$4="Unknown"),"REVIEW","CANDIDATE — VERIFY"))))</x:f>
        <x:v>REVIEW</x:v>
      </x:c>
      <x:c r="S193" t="str">
        <x:f>IF(L193="BELOW","Increase minimum grade strength",IF(P193="OVER CAP","Relax cost tier or exclude",IF(K193="Yes","Identify qualified manufacturer grade",IF(M193="NOT LISTED","Confirm sour-service claim and ISO 15156",IF(O193="NOT LISTED","Obtain manufacturer collapse curve",IF(N193="CORROSION CONTROL","Model CO2 corrosion; review inhibition","Confirm corrosion, cracking, loads and connection"))))))</x:f>
        <x:v>Model CO2 corrosion; review inhibition</x:v>
      </x:c>
      <x:c r="T193" t="str">
        <x:v>https://solutions.vallourec.com/product/high-collapse/</x:v>
      </x:c>
    </x:row>
    <x:row r="194" ht="23" customHeight="1">
      <x:c r="A194" t="str">
        <x:v>OCTG-0193</x:v>
      </x:c>
      <x:c r="B194" t="str">
        <x:v>Vallourec</x:v>
      </x:c>
      <x:c r="C194" t="str">
        <x:v>VM 95 HCS</x:v>
      </x:c>
      <x:c r="D194" t="str">
        <x:v>Carbon / low alloy</x:v>
      </x:c>
      <x:c r="E194" t="str">
        <x:v>High collapse; sour qualified where HCSS/HCMS/HCESS</x:v>
      </x:c>
      <x:c r="F194" s="82" t="n">
        <x:v>95</x:v>
      </x:c>
      <x:c r="G194" t="str">
        <x:v>Yes</x:v>
      </x:c>
      <x:c r="H194" t="str">
        <x:v>A</x:v>
      </x:c>
      <x:c r="I194" t="str">
        <x:v>Yes</x:v>
      </x:c>
      <x:c r="J194" t="str">
        <x:v>No</x:v>
      </x:c>
      <x:c r="K194" t="str">
        <x:v>No</x:v>
      </x:c>
      <x:c r="L194" t="str">
        <x:f>IF(F194="","UNKNOWN",IF(F194&lt;'WELL INPUTS'!$B$11,"BELOW","OK"))</x:f>
        <x:v>OK</x:v>
      </x:c>
      <x:c r="M194" t="str">
        <x:f>IF(AND('WELL INPUTS'!$B$4="Wet",'WELL INPUTS'!$B$5&gt;0),IF(I194="Yes","CATALOG SOUR","NOT LISTED"),"N/A")</x:f>
        <x:v>N/A</x:v>
      </x:c>
      <x:c r="N194" t="str">
        <x:f>IF(AND('WELL INPUTS'!$B$4="Wet",'WELL INPUTS'!$B$6&gt;0),IF(J194="Yes","ALLOY FAMILY","CORROSION CONTROL"),"N/A")</x:f>
        <x:v>CORROSION CONTROL</x:v>
      </x:c>
      <x:c r="O194" t="str">
        <x:f>IF('WELL INPUTS'!$B$12="Yes",IF(G194="Yes","CLAIMED","NOT LISTED"),"N/A")</x:f>
        <x:v>N/A</x:v>
      </x:c>
      <x:c r="P194" t="str">
        <x:f>IF(OR('WELL INPUTS'!$B$13="Unrestricted",CODE(H194)&lt;=CODE('WELL INPUTS'!$B$13)),"WITHIN TIER","OVER CAP")</x:f>
        <x:v>WITHIN TIER</x:v>
      </x:c>
      <x:c r="Q194" t="n">
        <x:f>MAX(0,MIN(100,43+IF(L194="OK",14,-20)+IF(M194="CATALOG SOUR",24,IF(M194="NOT LISTED",-18,0))+IF(N194="ALLOY FAMILY",14,IF(N194="CORROSION CONTROL",-13,0))+IF(O194="CLAIMED",17,IF(O194="NOT LISTED",-14,0))+IF(K194="Yes",-15,0)+IF('WELL INPUTS'!$B$10="Yes",-17,0)))</x:f>
        <x:v>44</x:v>
      </x:c>
      <x:c r="R194" s="83" t="str">
        <x:f>IF(L194="BELOW","EXCLUDE — STRENGTH",IF(P194="OVER CAP","EXCLUDE — COST",IF(K194="Yes",IF('WELL INPUTS'!$B$14="No","EXCLUDE — REFERENCE","REFERENCE ONLY"),IF(OR(L194="UNKNOWN",M194="NOT LISTED",N194="CORROSION CONTROL",O194="NOT LISTED",'WELL INPUTS'!$B$10="Yes",'WELL INPUTS'!$B$4="Unknown"),"REVIEW","CANDIDATE — VERIFY"))))</x:f>
        <x:v>REVIEW</x:v>
      </x:c>
      <x:c r="S194" t="str">
        <x:f>IF(L194="BELOW","Increase minimum grade strength",IF(P194="OVER CAP","Relax cost tier or exclude",IF(K194="Yes","Identify qualified manufacturer grade",IF(M194="NOT LISTED","Confirm sour-service claim and ISO 15156",IF(O194="NOT LISTED","Obtain manufacturer collapse curve",IF(N194="CORROSION CONTROL","Model CO2 corrosion; review inhibition","Confirm corrosion, cracking, loads and connection"))))))</x:f>
        <x:v>Model CO2 corrosion; review inhibition</x:v>
      </x:c>
      <x:c r="T194" t="str">
        <x:v>https://solutions.vallourec.com/product/high-collapse/</x:v>
      </x:c>
    </x:row>
    <x:row r="195" ht="23" customHeight="1">
      <x:c r="A195" t="str">
        <x:v>OCTG-0194</x:v>
      </x:c>
      <x:c r="B195" t="str">
        <x:v>Vallourec</x:v>
      </x:c>
      <x:c r="C195" t="str">
        <x:v>VM 95 HCSS</x:v>
      </x:c>
      <x:c r="D195" t="str">
        <x:v>Carbon / low alloy</x:v>
      </x:c>
      <x:c r="E195" t="str">
        <x:v>High collapse; sour qualified where HCSS/HCMS/HCESS</x:v>
      </x:c>
      <x:c r="F195" s="82" t="n">
        <x:v>95</x:v>
      </x:c>
      <x:c r="G195" t="str">
        <x:v>Yes</x:v>
      </x:c>
      <x:c r="H195" t="str">
        <x:v>A</x:v>
      </x:c>
      <x:c r="I195" t="str">
        <x:v>Yes</x:v>
      </x:c>
      <x:c r="J195" t="str">
        <x:v>No</x:v>
      </x:c>
      <x:c r="K195" t="str">
        <x:v>No</x:v>
      </x:c>
      <x:c r="L195" t="str">
        <x:f>IF(F195="","UNKNOWN",IF(F195&lt;'WELL INPUTS'!$B$11,"BELOW","OK"))</x:f>
        <x:v>OK</x:v>
      </x:c>
      <x:c r="M195" t="str">
        <x:f>IF(AND('WELL INPUTS'!$B$4="Wet",'WELL INPUTS'!$B$5&gt;0),IF(I195="Yes","CATALOG SOUR","NOT LISTED"),"N/A")</x:f>
        <x:v>N/A</x:v>
      </x:c>
      <x:c r="N195" t="str">
        <x:f>IF(AND('WELL INPUTS'!$B$4="Wet",'WELL INPUTS'!$B$6&gt;0),IF(J195="Yes","ALLOY FAMILY","CORROSION CONTROL"),"N/A")</x:f>
        <x:v>CORROSION CONTROL</x:v>
      </x:c>
      <x:c r="O195" t="str">
        <x:f>IF('WELL INPUTS'!$B$12="Yes",IF(G195="Yes","CLAIMED","NOT LISTED"),"N/A")</x:f>
        <x:v>N/A</x:v>
      </x:c>
      <x:c r="P195" t="str">
        <x:f>IF(OR('WELL INPUTS'!$B$13="Unrestricted",CODE(H195)&lt;=CODE('WELL INPUTS'!$B$13)),"WITHIN TIER","OVER CAP")</x:f>
        <x:v>WITHIN TIER</x:v>
      </x:c>
      <x:c r="Q195" t="n">
        <x:f>MAX(0,MIN(100,43+IF(L195="OK",14,-20)+IF(M195="CATALOG SOUR",24,IF(M195="NOT LISTED",-18,0))+IF(N195="ALLOY FAMILY",14,IF(N195="CORROSION CONTROL",-13,0))+IF(O195="CLAIMED",17,IF(O195="NOT LISTED",-14,0))+IF(K195="Yes",-15,0)+IF('WELL INPUTS'!$B$10="Yes",-17,0)))</x:f>
        <x:v>44</x:v>
      </x:c>
      <x:c r="R195" s="83" t="str">
        <x:f>IF(L195="BELOW","EXCLUDE — STRENGTH",IF(P195="OVER CAP","EXCLUDE — COST",IF(K195="Yes",IF('WELL INPUTS'!$B$14="No","EXCLUDE — REFERENCE","REFERENCE ONLY"),IF(OR(L195="UNKNOWN",M195="NOT LISTED",N195="CORROSION CONTROL",O195="NOT LISTED",'WELL INPUTS'!$B$10="Yes",'WELL INPUTS'!$B$4="Unknown"),"REVIEW","CANDIDATE — VERIFY"))))</x:f>
        <x:v>REVIEW</x:v>
      </x:c>
      <x:c r="S195" t="str">
        <x:f>IF(L195="BELOW","Increase minimum grade strength",IF(P195="OVER CAP","Relax cost tier or exclude",IF(K195="Yes","Identify qualified manufacturer grade",IF(M195="NOT LISTED","Confirm sour-service claim and ISO 15156",IF(O195="NOT LISTED","Obtain manufacturer collapse curve",IF(N195="CORROSION CONTROL","Model CO2 corrosion; review inhibition","Confirm corrosion, cracking, loads and connection"))))))</x:f>
        <x:v>Model CO2 corrosion; review inhibition</x:v>
      </x:c>
      <x:c r="T195" t="str">
        <x:v>https://solutions.vallourec.com/product/high-collapse/</x:v>
      </x:c>
    </x:row>
    <x:row r="196" ht="23" customHeight="1">
      <x:c r="A196" t="str">
        <x:v>OCTG-0195</x:v>
      </x:c>
      <x:c r="B196" t="str">
        <x:v>Vallourec</x:v>
      </x:c>
      <x:c r="C196" t="str">
        <x:v>VM 95 IRP</x:v>
      </x:c>
      <x:c r="D196" t="str">
        <x:v>Carbon / low alloy</x:v>
      </x:c>
      <x:c r="E196" t="str">
        <x:v>Sour service / SSC resistance; region varies by grade</x:v>
      </x:c>
      <x:c r="F196" s="82" t="n">
        <x:v>95</x:v>
      </x:c>
      <x:c r="G196" t="str">
        <x:v>No</x:v>
      </x:c>
      <x:c r="H196" t="str">
        <x:v>A</x:v>
      </x:c>
      <x:c r="I196" t="str">
        <x:v>Yes</x:v>
      </x:c>
      <x:c r="J196" t="str">
        <x:v>No</x:v>
      </x:c>
      <x:c r="K196" t="str">
        <x:v>No</x:v>
      </x:c>
      <x:c r="L196" t="str">
        <x:f>IF(F196="","UNKNOWN",IF(F196&lt;'WELL INPUTS'!$B$11,"BELOW","OK"))</x:f>
        <x:v>OK</x:v>
      </x:c>
      <x:c r="M196" t="str">
        <x:f>IF(AND('WELL INPUTS'!$B$4="Wet",'WELL INPUTS'!$B$5&gt;0),IF(I196="Yes","CATALOG SOUR","NOT LISTED"),"N/A")</x:f>
        <x:v>N/A</x:v>
      </x:c>
      <x:c r="N196" t="str">
        <x:f>IF(AND('WELL INPUTS'!$B$4="Wet",'WELL INPUTS'!$B$6&gt;0),IF(J196="Yes","ALLOY FAMILY","CORROSION CONTROL"),"N/A")</x:f>
        <x:v>CORROSION CONTROL</x:v>
      </x:c>
      <x:c r="O196" t="str">
        <x:f>IF('WELL INPUTS'!$B$12="Yes",IF(G196="Yes","CLAIMED","NOT LISTED"),"N/A")</x:f>
        <x:v>N/A</x:v>
      </x:c>
      <x:c r="P196" t="str">
        <x:f>IF(OR('WELL INPUTS'!$B$13="Unrestricted",CODE(H196)&lt;=CODE('WELL INPUTS'!$B$13)),"WITHIN TIER","OVER CAP")</x:f>
        <x:v>WITHIN TIER</x:v>
      </x:c>
      <x:c r="Q196" t="n">
        <x:f>MAX(0,MIN(100,43+IF(L196="OK",14,-20)+IF(M196="CATALOG SOUR",24,IF(M196="NOT LISTED",-18,0))+IF(N196="ALLOY FAMILY",14,IF(N196="CORROSION CONTROL",-13,0))+IF(O196="CLAIMED",17,IF(O196="NOT LISTED",-14,0))+IF(K196="Yes",-15,0)+IF('WELL INPUTS'!$B$10="Yes",-17,0)))</x:f>
        <x:v>44</x:v>
      </x:c>
      <x:c r="R196" s="83" t="str">
        <x:f>IF(L196="BELOW","EXCLUDE — STRENGTH",IF(P196="OVER CAP","EXCLUDE — COST",IF(K196="Yes",IF('WELL INPUTS'!$B$14="No","EXCLUDE — REFERENCE","REFERENCE ONLY"),IF(OR(L196="UNKNOWN",M196="NOT LISTED",N196="CORROSION CONTROL",O196="NOT LISTED",'WELL INPUTS'!$B$10="Yes",'WELL INPUTS'!$B$4="Unknown"),"REVIEW","CANDIDATE — VERIFY"))))</x:f>
        <x:v>REVIEW</x:v>
      </x:c>
      <x:c r="S196" t="str">
        <x:f>IF(L196="BELOW","Increase minimum grade strength",IF(P196="OVER CAP","Relax cost tier or exclude",IF(K196="Yes","Identify qualified manufacturer grade",IF(M196="NOT LISTED","Confirm sour-service claim and ISO 15156",IF(O196="NOT LISTED","Obtain manufacturer collapse curve",IF(N196="CORROSION CONTROL","Model CO2 corrosion; review inhibition","Confirm corrosion, cracking, loads and connection"))))))</x:f>
        <x:v>Model CO2 corrosion; review inhibition</x:v>
      </x:c>
      <x:c r="T196" t="str">
        <x:v>https://solutions.vallourec.com/product/sour-service/</x:v>
      </x:c>
    </x:row>
    <x:row r="197" ht="23" customHeight="1">
      <x:c r="A197" t="str">
        <x:v>OCTG-0196</x:v>
      </x:c>
      <x:c r="B197" t="str">
        <x:v>Vallourec</x:v>
      </x:c>
      <x:c r="C197" t="str">
        <x:v>VM 95 RSS</x:v>
      </x:c>
      <x:c r="D197" t="str">
        <x:v>Carbon / low alloy</x:v>
      </x:c>
      <x:c r="E197" t="str">
        <x:v>Sour service / SSC resistance; region varies by grade</x:v>
      </x:c>
      <x:c r="F197" s="82" t="n">
        <x:v>95</x:v>
      </x:c>
      <x:c r="G197" t="str">
        <x:v>No</x:v>
      </x:c>
      <x:c r="H197" t="str">
        <x:v>A</x:v>
      </x:c>
      <x:c r="I197" t="str">
        <x:v>Yes</x:v>
      </x:c>
      <x:c r="J197" t="str">
        <x:v>No</x:v>
      </x:c>
      <x:c r="K197" t="str">
        <x:v>No</x:v>
      </x:c>
      <x:c r="L197" t="str">
        <x:f>IF(F197="","UNKNOWN",IF(F197&lt;'WELL INPUTS'!$B$11,"BELOW","OK"))</x:f>
        <x:v>OK</x:v>
      </x:c>
      <x:c r="M197" t="str">
        <x:f>IF(AND('WELL INPUTS'!$B$4="Wet",'WELL INPUTS'!$B$5&gt;0),IF(I197="Yes","CATALOG SOUR","NOT LISTED"),"N/A")</x:f>
        <x:v>N/A</x:v>
      </x:c>
      <x:c r="N197" t="str">
        <x:f>IF(AND('WELL INPUTS'!$B$4="Wet",'WELL INPUTS'!$B$6&gt;0),IF(J197="Yes","ALLOY FAMILY","CORROSION CONTROL"),"N/A")</x:f>
        <x:v>CORROSION CONTROL</x:v>
      </x:c>
      <x:c r="O197" t="str">
        <x:f>IF('WELL INPUTS'!$B$12="Yes",IF(G197="Yes","CLAIMED","NOT LISTED"),"N/A")</x:f>
        <x:v>N/A</x:v>
      </x:c>
      <x:c r="P197" t="str">
        <x:f>IF(OR('WELL INPUTS'!$B$13="Unrestricted",CODE(H197)&lt;=CODE('WELL INPUTS'!$B$13)),"WITHIN TIER","OVER CAP")</x:f>
        <x:v>WITHIN TIER</x:v>
      </x:c>
      <x:c r="Q197" t="n">
        <x:f>MAX(0,MIN(100,43+IF(L197="OK",14,-20)+IF(M197="CATALOG SOUR",24,IF(M197="NOT LISTED",-18,0))+IF(N197="ALLOY FAMILY",14,IF(N197="CORROSION CONTROL",-13,0))+IF(O197="CLAIMED",17,IF(O197="NOT LISTED",-14,0))+IF(K197="Yes",-15,0)+IF('WELL INPUTS'!$B$10="Yes",-17,0)))</x:f>
        <x:v>44</x:v>
      </x:c>
      <x:c r="R197" s="83" t="str">
        <x:f>IF(L197="BELOW","EXCLUDE — STRENGTH",IF(P197="OVER CAP","EXCLUDE — COST",IF(K197="Yes",IF('WELL INPUTS'!$B$14="No","EXCLUDE — REFERENCE","REFERENCE ONLY"),IF(OR(L197="UNKNOWN",M197="NOT LISTED",N197="CORROSION CONTROL",O197="NOT LISTED",'WELL INPUTS'!$B$10="Yes",'WELL INPUTS'!$B$4="Unknown"),"REVIEW","CANDIDATE — VERIFY"))))</x:f>
        <x:v>REVIEW</x:v>
      </x:c>
      <x:c r="S197" t="str">
        <x:f>IF(L197="BELOW","Increase minimum grade strength",IF(P197="OVER CAP","Relax cost tier or exclude",IF(K197="Yes","Identify qualified manufacturer grade",IF(M197="NOT LISTED","Confirm sour-service claim and ISO 15156",IF(O197="NOT LISTED","Obtain manufacturer collapse curve",IF(N197="CORROSION CONTROL","Model CO2 corrosion; review inhibition","Confirm corrosion, cracking, loads and connection"))))))</x:f>
        <x:v>Model CO2 corrosion; review inhibition</x:v>
      </x:c>
      <x:c r="T197" t="str">
        <x:v>https://solutions.vallourec.com/product/sour-service/</x:v>
      </x:c>
    </x:row>
    <x:row r="198" ht="23" customHeight="1">
      <x:c r="A198" t="str">
        <x:v>OCTG-0197</x:v>
      </x:c>
      <x:c r="B198" t="str">
        <x:v>Vallourec</x:v>
      </x:c>
      <x:c r="C198" t="str">
        <x:v>VM 95 S</x:v>
      </x:c>
      <x:c r="D198" t="str">
        <x:v>Carbon / low alloy</x:v>
      </x:c>
      <x:c r="E198" t="str">
        <x:v>Sour service / SSC resistance; region varies by grade</x:v>
      </x:c>
      <x:c r="F198" s="82" t="n">
        <x:v>95</x:v>
      </x:c>
      <x:c r="G198" t="str">
        <x:v>No</x:v>
      </x:c>
      <x:c r="H198" t="str">
        <x:v>A</x:v>
      </x:c>
      <x:c r="I198" t="str">
        <x:v>Yes</x:v>
      </x:c>
      <x:c r="J198" t="str">
        <x:v>No</x:v>
      </x:c>
      <x:c r="K198" t="str">
        <x:v>No</x:v>
      </x:c>
      <x:c r="L198" t="str">
        <x:f>IF(F198="","UNKNOWN",IF(F198&lt;'WELL INPUTS'!$B$11,"BELOW","OK"))</x:f>
        <x:v>OK</x:v>
      </x:c>
      <x:c r="M198" t="str">
        <x:f>IF(AND('WELL INPUTS'!$B$4="Wet",'WELL INPUTS'!$B$5&gt;0),IF(I198="Yes","CATALOG SOUR","NOT LISTED"),"N/A")</x:f>
        <x:v>N/A</x:v>
      </x:c>
      <x:c r="N198" t="str">
        <x:f>IF(AND('WELL INPUTS'!$B$4="Wet",'WELL INPUTS'!$B$6&gt;0),IF(J198="Yes","ALLOY FAMILY","CORROSION CONTROL"),"N/A")</x:f>
        <x:v>CORROSION CONTROL</x:v>
      </x:c>
      <x:c r="O198" t="str">
        <x:f>IF('WELL INPUTS'!$B$12="Yes",IF(G198="Yes","CLAIMED","NOT LISTED"),"N/A")</x:f>
        <x:v>N/A</x:v>
      </x:c>
      <x:c r="P198" t="str">
        <x:f>IF(OR('WELL INPUTS'!$B$13="Unrestricted",CODE(H198)&lt;=CODE('WELL INPUTS'!$B$13)),"WITHIN TIER","OVER CAP")</x:f>
        <x:v>WITHIN TIER</x:v>
      </x:c>
      <x:c r="Q198" t="n">
        <x:f>MAX(0,MIN(100,43+IF(L198="OK",14,-20)+IF(M198="CATALOG SOUR",24,IF(M198="NOT LISTED",-18,0))+IF(N198="ALLOY FAMILY",14,IF(N198="CORROSION CONTROL",-13,0))+IF(O198="CLAIMED",17,IF(O198="NOT LISTED",-14,0))+IF(K198="Yes",-15,0)+IF('WELL INPUTS'!$B$10="Yes",-17,0)))</x:f>
        <x:v>44</x:v>
      </x:c>
      <x:c r="R198" s="83" t="str">
        <x:f>IF(L198="BELOW","EXCLUDE — STRENGTH",IF(P198="OVER CAP","EXCLUDE — COST",IF(K198="Yes",IF('WELL INPUTS'!$B$14="No","EXCLUDE — REFERENCE","REFERENCE ONLY"),IF(OR(L198="UNKNOWN",M198="NOT LISTED",N198="CORROSION CONTROL",O198="NOT LISTED",'WELL INPUTS'!$B$10="Yes",'WELL INPUTS'!$B$4="Unknown"),"REVIEW","CANDIDATE — VERIFY"))))</x:f>
        <x:v>REVIEW</x:v>
      </x:c>
      <x:c r="S198" t="str">
        <x:f>IF(L198="BELOW","Increase minimum grade strength",IF(P198="OVER CAP","Relax cost tier or exclude",IF(K198="Yes","Identify qualified manufacturer grade",IF(M198="NOT LISTED","Confirm sour-service claim and ISO 15156",IF(O198="NOT LISTED","Obtain manufacturer collapse curve",IF(N198="CORROSION CONTROL","Model CO2 corrosion; review inhibition","Confirm corrosion, cracking, loads and connection"))))))</x:f>
        <x:v>Model CO2 corrosion; review inhibition</x:v>
      </x:c>
      <x:c r="T198" t="str">
        <x:v>https://solutions.vallourec.com/product/sour-service/</x:v>
      </x:c>
    </x:row>
    <x:row r="199" ht="23" customHeight="1">
      <x:c r="A199" t="str">
        <x:v>OCTG-0198</x:v>
      </x:c>
      <x:c r="B199" t="str">
        <x:v>Vallourec</x:v>
      </x:c>
      <x:c r="C199" t="str">
        <x:v>VM 95 SS</x:v>
      </x:c>
      <x:c r="D199" t="str">
        <x:v>Carbon / low alloy</x:v>
      </x:c>
      <x:c r="E199" t="str">
        <x:v>Sour service / SSC resistance; region varies by grade</x:v>
      </x:c>
      <x:c r="F199" s="82" t="n">
        <x:v>95</x:v>
      </x:c>
      <x:c r="G199" t="str">
        <x:v>No</x:v>
      </x:c>
      <x:c r="H199" t="str">
        <x:v>A</x:v>
      </x:c>
      <x:c r="I199" t="str">
        <x:v>Yes</x:v>
      </x:c>
      <x:c r="J199" t="str">
        <x:v>No</x:v>
      </x:c>
      <x:c r="K199" t="str">
        <x:v>No</x:v>
      </x:c>
      <x:c r="L199" t="str">
        <x:f>IF(F199="","UNKNOWN",IF(F199&lt;'WELL INPUTS'!$B$11,"BELOW","OK"))</x:f>
        <x:v>OK</x:v>
      </x:c>
      <x:c r="M199" t="str">
        <x:f>IF(AND('WELL INPUTS'!$B$4="Wet",'WELL INPUTS'!$B$5&gt;0),IF(I199="Yes","CATALOG SOUR","NOT LISTED"),"N/A")</x:f>
        <x:v>N/A</x:v>
      </x:c>
      <x:c r="N199" t="str">
        <x:f>IF(AND('WELL INPUTS'!$B$4="Wet",'WELL INPUTS'!$B$6&gt;0),IF(J199="Yes","ALLOY FAMILY","CORROSION CONTROL"),"N/A")</x:f>
        <x:v>CORROSION CONTROL</x:v>
      </x:c>
      <x:c r="O199" t="str">
        <x:f>IF('WELL INPUTS'!$B$12="Yes",IF(G199="Yes","CLAIMED","NOT LISTED"),"N/A")</x:f>
        <x:v>N/A</x:v>
      </x:c>
      <x:c r="P199" t="str">
        <x:f>IF(OR('WELL INPUTS'!$B$13="Unrestricted",CODE(H199)&lt;=CODE('WELL INPUTS'!$B$13)),"WITHIN TIER","OVER CAP")</x:f>
        <x:v>WITHIN TIER</x:v>
      </x:c>
      <x:c r="Q199" t="n">
        <x:f>MAX(0,MIN(100,43+IF(L199="OK",14,-20)+IF(M199="CATALOG SOUR",24,IF(M199="NOT LISTED",-18,0))+IF(N199="ALLOY FAMILY",14,IF(N199="CORROSION CONTROL",-13,0))+IF(O199="CLAIMED",17,IF(O199="NOT LISTED",-14,0))+IF(K199="Yes",-15,0)+IF('WELL INPUTS'!$B$10="Yes",-17,0)))</x:f>
        <x:v>44</x:v>
      </x:c>
      <x:c r="R199" s="83" t="str">
        <x:f>IF(L199="BELOW","EXCLUDE — STRENGTH",IF(P199="OVER CAP","EXCLUDE — COST",IF(K199="Yes",IF('WELL INPUTS'!$B$14="No","EXCLUDE — REFERENCE","REFERENCE ONLY"),IF(OR(L199="UNKNOWN",M199="NOT LISTED",N199="CORROSION CONTROL",O199="NOT LISTED",'WELL INPUTS'!$B$10="Yes",'WELL INPUTS'!$B$4="Unknown"),"REVIEW","CANDIDATE — VERIFY"))))</x:f>
        <x:v>REVIEW</x:v>
      </x:c>
      <x:c r="S199" t="str">
        <x:f>IF(L199="BELOW","Increase minimum grade strength",IF(P199="OVER CAP","Relax cost tier or exclude",IF(K199="Yes","Identify qualified manufacturer grade",IF(M199="NOT LISTED","Confirm sour-service claim and ISO 15156",IF(O199="NOT LISTED","Obtain manufacturer collapse curve",IF(N199="CORROSION CONTROL","Model CO2 corrosion; review inhibition","Confirm corrosion, cracking, loads and connection"))))))</x:f>
        <x:v>Model CO2 corrosion; review inhibition</x:v>
      </x:c>
      <x:c r="T199" t="str">
        <x:v>https://solutions.vallourec.com/product/sour-service/</x:v>
      </x:c>
    </x:row>
    <x:row r="200" ht="23" customHeight="1">
      <x:c r="A200" t="str">
        <x:v>OCTG-0199</x:v>
      </x:c>
      <x:c r="B200" t="str">
        <x:v>Vallourec</x:v>
      </x:c>
      <x:c r="C200" t="str">
        <x:v>VM 95 SS-D</x:v>
      </x:c>
      <x:c r="D200" t="str">
        <x:v>Carbon / low alloy</x:v>
      </x:c>
      <x:c r="E200" t="str">
        <x:v>Sour service / SSC resistance; region varies by grade</x:v>
      </x:c>
      <x:c r="F200" s="82" t="n">
        <x:v>95</x:v>
      </x:c>
      <x:c r="G200" t="str">
        <x:v>No</x:v>
      </x:c>
      <x:c r="H200" t="str">
        <x:v>A</x:v>
      </x:c>
      <x:c r="I200" t="str">
        <x:v>Yes</x:v>
      </x:c>
      <x:c r="J200" t="str">
        <x:v>No</x:v>
      </x:c>
      <x:c r="K200" t="str">
        <x:v>No</x:v>
      </x:c>
      <x:c r="L200" t="str">
        <x:f>IF(F200="","UNKNOWN",IF(F200&lt;'WELL INPUTS'!$B$11,"BELOW","OK"))</x:f>
        <x:v>OK</x:v>
      </x:c>
      <x:c r="M200" t="str">
        <x:f>IF(AND('WELL INPUTS'!$B$4="Wet",'WELL INPUTS'!$B$5&gt;0),IF(I200="Yes","CATALOG SOUR","NOT LISTED"),"N/A")</x:f>
        <x:v>N/A</x:v>
      </x:c>
      <x:c r="N200" t="str">
        <x:f>IF(AND('WELL INPUTS'!$B$4="Wet",'WELL INPUTS'!$B$6&gt;0),IF(J200="Yes","ALLOY FAMILY","CORROSION CONTROL"),"N/A")</x:f>
        <x:v>CORROSION CONTROL</x:v>
      </x:c>
      <x:c r="O200" t="str">
        <x:f>IF('WELL INPUTS'!$B$12="Yes",IF(G200="Yes","CLAIMED","NOT LISTED"),"N/A")</x:f>
        <x:v>N/A</x:v>
      </x:c>
      <x:c r="P200" t="str">
        <x:f>IF(OR('WELL INPUTS'!$B$13="Unrestricted",CODE(H200)&lt;=CODE('WELL INPUTS'!$B$13)),"WITHIN TIER","OVER CAP")</x:f>
        <x:v>WITHIN TIER</x:v>
      </x:c>
      <x:c r="Q200" t="n">
        <x:f>MAX(0,MIN(100,43+IF(L200="OK",14,-20)+IF(M200="CATALOG SOUR",24,IF(M200="NOT LISTED",-18,0))+IF(N200="ALLOY FAMILY",14,IF(N200="CORROSION CONTROL",-13,0))+IF(O200="CLAIMED",17,IF(O200="NOT LISTED",-14,0))+IF(K200="Yes",-15,0)+IF('WELL INPUTS'!$B$10="Yes",-17,0)))</x:f>
        <x:v>44</x:v>
      </x:c>
      <x:c r="R200" s="83" t="str">
        <x:f>IF(L200="BELOW","EXCLUDE — STRENGTH",IF(P200="OVER CAP","EXCLUDE — COST",IF(K200="Yes",IF('WELL INPUTS'!$B$14="No","EXCLUDE — REFERENCE","REFERENCE ONLY"),IF(OR(L200="UNKNOWN",M200="NOT LISTED",N200="CORROSION CONTROL",O200="NOT LISTED",'WELL INPUTS'!$B$10="Yes",'WELL INPUTS'!$B$4="Unknown"),"REVIEW","CANDIDATE — VERIFY"))))</x:f>
        <x:v>REVIEW</x:v>
      </x:c>
      <x:c r="S200" t="str">
        <x:f>IF(L200="BELOW","Increase minimum grade strength",IF(P200="OVER CAP","Relax cost tier or exclude",IF(K200="Yes","Identify qualified manufacturer grade",IF(M200="NOT LISTED","Confirm sour-service claim and ISO 15156",IF(O200="NOT LISTED","Obtain manufacturer collapse curve",IF(N200="CORROSION CONTROL","Model CO2 corrosion; review inhibition","Confirm corrosion, cracking, loads and connection"))))))</x:f>
        <x:v>Model CO2 corrosion; review inhibition</x:v>
      </x:c>
      <x:c r="T200" t="str">
        <x:v>https://solutions.vallourec.com/product/sour-service/</x:v>
      </x:c>
    </x:row>
    <x:row r="201" ht="23" customHeight="1">
      <x:c r="A201" t="str">
        <x:v>OCTG-0200</x:v>
      </x:c>
      <x:c r="B201" t="str">
        <x:v>Vallourec</x:v>
      </x:c>
      <x:c r="C201" t="str">
        <x:v>VM 80 13CR</x:v>
      </x:c>
      <x:c r="D201" t="str">
        <x:v>Martensitic 13Cr</x:v>
      </x:c>
      <x:c r="E201" t="str">
        <x:v>Sweet CO2 / wet gas; high collapse for HC</x:v>
      </x:c>
      <x:c r="F201" s="82" t="n">
        <x:v>80</x:v>
      </x:c>
      <x:c r="G201" t="str">
        <x:v>Yes</x:v>
      </x:c>
      <x:c r="H201" t="str">
        <x:v>D</x:v>
      </x:c>
      <x:c r="I201" t="str">
        <x:v>No</x:v>
      </x:c>
      <x:c r="J201" t="str">
        <x:v>Yes</x:v>
      </x:c>
      <x:c r="K201" t="str">
        <x:v>No</x:v>
      </x:c>
      <x:c r="L201" t="str">
        <x:f>IF(F201="","UNKNOWN",IF(F201&lt;'WELL INPUTS'!$B$11,"BELOW","OK"))</x:f>
        <x:v>OK</x:v>
      </x:c>
      <x:c r="M201" t="str">
        <x:f>IF(AND('WELL INPUTS'!$B$4="Wet",'WELL INPUTS'!$B$5&gt;0),IF(I201="Yes","CATALOG SOUR","NOT LISTED"),"N/A")</x:f>
        <x:v>N/A</x:v>
      </x:c>
      <x:c r="N201" t="str">
        <x:f>IF(AND('WELL INPUTS'!$B$4="Wet",'WELL INPUTS'!$B$6&gt;0),IF(J201="Yes","ALLOY FAMILY","CORROSION CONTROL"),"N/A")</x:f>
        <x:v>ALLOY FAMILY</x:v>
      </x:c>
      <x:c r="O201" t="str">
        <x:f>IF('WELL INPUTS'!$B$12="Yes",IF(G201="Yes","CLAIMED","NOT LISTED"),"N/A")</x:f>
        <x:v>N/A</x:v>
      </x:c>
      <x:c r="P201" t="str">
        <x:f>IF(OR('WELL INPUTS'!$B$13="Unrestricted",CODE(H201)&lt;=CODE('WELL INPUTS'!$B$13)),"WITHIN TIER","OVER CAP")</x:f>
        <x:v>WITHIN TIER</x:v>
      </x:c>
      <x:c r="Q201" t="n">
        <x:f>MAX(0,MIN(100,43+IF(L201="OK",14,-20)+IF(M201="CATALOG SOUR",24,IF(M201="NOT LISTED",-18,0))+IF(N201="ALLOY FAMILY",14,IF(N201="CORROSION CONTROL",-13,0))+IF(O201="CLAIMED",17,IF(O201="NOT LISTED",-14,0))+IF(K201="Yes",-15,0)+IF('WELL INPUTS'!$B$10="Yes",-17,0)))</x:f>
        <x:v>71</x:v>
      </x:c>
      <x:c r="R201" s="83" t="str">
        <x:f>IF(L201="BELOW","EXCLUDE — STRENGTH",IF(P201="OVER CAP","EXCLUDE — COST",IF(K201="Yes",IF('WELL INPUTS'!$B$14="No","EXCLUDE — REFERENCE","REFERENCE ONLY"),IF(OR(L201="UNKNOWN",M201="NOT LISTED",N201="CORROSION CONTROL",O201="NOT LISTED",'WELL INPUTS'!$B$10="Yes",'WELL INPUTS'!$B$4="Unknown"),"REVIEW","CANDIDATE — VERIFY"))))</x:f>
        <x:v>CANDIDATE — VERIFY</x:v>
      </x:c>
      <x:c r="S201" t="str">
        <x:f>IF(L201="BELOW","Increase minimum grade strength",IF(P201="OVER CAP","Relax cost tier or exclude",IF(K201="Yes","Identify qualified manufacturer grade",IF(M201="NOT LISTED","Confirm sour-service claim and ISO 15156",IF(O201="NOT LISTED","Obtain manufacturer collapse curve",IF(N201="CORROSION CONTROL","Model CO2 corrosion; review inhibition","Confirm corrosion, cracking, loads and connection"))))))</x:f>
        <x:v>Confirm corrosion, cracking, loads and connection</x:v>
      </x:c>
      <x:c r="T201" t="str">
        <x:v>https://solutions.vallourec.com/product/13cr-and-super-13cr/</x:v>
      </x:c>
    </x:row>
    <x:row r="202" ht="23" customHeight="1">
      <x:c r="A202" t="str">
        <x:v>OCTG-0201</x:v>
      </x:c>
      <x:c r="B202" t="str">
        <x:v>Vallourec</x:v>
      </x:c>
      <x:c r="C202" t="str">
        <x:v>VM 80 13CRCY</x:v>
      </x:c>
      <x:c r="D202" t="str">
        <x:v>Martensitic 13Cr</x:v>
      </x:c>
      <x:c r="E202" t="str">
        <x:v>Sweet CO2 / wet gas; high collapse for HC</x:v>
      </x:c>
      <x:c r="F202" s="82" t="n">
        <x:v>80</x:v>
      </x:c>
      <x:c r="G202" t="str">
        <x:v>Yes</x:v>
      </x:c>
      <x:c r="H202" t="str">
        <x:v>D</x:v>
      </x:c>
      <x:c r="I202" t="str">
        <x:v>No</x:v>
      </x:c>
      <x:c r="J202" t="str">
        <x:v>Yes</x:v>
      </x:c>
      <x:c r="K202" t="str">
        <x:v>No</x:v>
      </x:c>
      <x:c r="L202" t="str">
        <x:f>IF(F202="","UNKNOWN",IF(F202&lt;'WELL INPUTS'!$B$11,"BELOW","OK"))</x:f>
        <x:v>OK</x:v>
      </x:c>
      <x:c r="M202" t="str">
        <x:f>IF(AND('WELL INPUTS'!$B$4="Wet",'WELL INPUTS'!$B$5&gt;0),IF(I202="Yes","CATALOG SOUR","NOT LISTED"),"N/A")</x:f>
        <x:v>N/A</x:v>
      </x:c>
      <x:c r="N202" t="str">
        <x:f>IF(AND('WELL INPUTS'!$B$4="Wet",'WELL INPUTS'!$B$6&gt;0),IF(J202="Yes","ALLOY FAMILY","CORROSION CONTROL"),"N/A")</x:f>
        <x:v>ALLOY FAMILY</x:v>
      </x:c>
      <x:c r="O202" t="str">
        <x:f>IF('WELL INPUTS'!$B$12="Yes",IF(G202="Yes","CLAIMED","NOT LISTED"),"N/A")</x:f>
        <x:v>N/A</x:v>
      </x:c>
      <x:c r="P202" t="str">
        <x:f>IF(OR('WELL INPUTS'!$B$13="Unrestricted",CODE(H202)&lt;=CODE('WELL INPUTS'!$B$13)),"WITHIN TIER","OVER CAP")</x:f>
        <x:v>WITHIN TIER</x:v>
      </x:c>
      <x:c r="Q202" t="n">
        <x:f>MAX(0,MIN(100,43+IF(L202="OK",14,-20)+IF(M202="CATALOG SOUR",24,IF(M202="NOT LISTED",-18,0))+IF(N202="ALLOY FAMILY",14,IF(N202="CORROSION CONTROL",-13,0))+IF(O202="CLAIMED",17,IF(O202="NOT LISTED",-14,0))+IF(K202="Yes",-15,0)+IF('WELL INPUTS'!$B$10="Yes",-17,0)))</x:f>
        <x:v>71</x:v>
      </x:c>
      <x:c r="R202" s="83" t="str">
        <x:f>IF(L202="BELOW","EXCLUDE — STRENGTH",IF(P202="OVER CAP","EXCLUDE — COST",IF(K202="Yes",IF('WELL INPUTS'!$B$14="No","EXCLUDE — REFERENCE","REFERENCE ONLY"),IF(OR(L202="UNKNOWN",M202="NOT LISTED",N202="CORROSION CONTROL",O202="NOT LISTED",'WELL INPUTS'!$B$10="Yes",'WELL INPUTS'!$B$4="Unknown"),"REVIEW","CANDIDATE — VERIFY"))))</x:f>
        <x:v>CANDIDATE — VERIFY</x:v>
      </x:c>
      <x:c r="S202" t="str">
        <x:f>IF(L202="BELOW","Increase minimum grade strength",IF(P202="OVER CAP","Relax cost tier or exclude",IF(K202="Yes","Identify qualified manufacturer grade",IF(M202="NOT LISTED","Confirm sour-service claim and ISO 15156",IF(O202="NOT LISTED","Obtain manufacturer collapse curve",IF(N202="CORROSION CONTROL","Model CO2 corrosion; review inhibition","Confirm corrosion, cracking, loads and connection"))))))</x:f>
        <x:v>Confirm corrosion, cracking, loads and connection</x:v>
      </x:c>
      <x:c r="T202" t="str">
        <x:v>https://solutions.vallourec.com/product/13cr-and-super-13cr/</x:v>
      </x:c>
    </x:row>
    <x:row r="203" ht="23" customHeight="1">
      <x:c r="A203" t="str">
        <x:v>OCTG-0202</x:v>
      </x:c>
      <x:c r="B203" t="str">
        <x:v>Vallourec</x:v>
      </x:c>
      <x:c r="C203" t="str">
        <x:v>VM 80 13CRHC</x:v>
      </x:c>
      <x:c r="D203" t="str">
        <x:v>Martensitic 13Cr</x:v>
      </x:c>
      <x:c r="E203" t="str">
        <x:v>Sweet CO2 / wet gas; high collapse for HC</x:v>
      </x:c>
      <x:c r="F203" s="82" t="n">
        <x:v>80</x:v>
      </x:c>
      <x:c r="G203" t="str">
        <x:v>Yes</x:v>
      </x:c>
      <x:c r="H203" t="str">
        <x:v>D</x:v>
      </x:c>
      <x:c r="I203" t="str">
        <x:v>No</x:v>
      </x:c>
      <x:c r="J203" t="str">
        <x:v>Yes</x:v>
      </x:c>
      <x:c r="K203" t="str">
        <x:v>No</x:v>
      </x:c>
      <x:c r="L203" t="str">
        <x:f>IF(F203="","UNKNOWN",IF(F203&lt;'WELL INPUTS'!$B$11,"BELOW","OK"))</x:f>
        <x:v>OK</x:v>
      </x:c>
      <x:c r="M203" t="str">
        <x:f>IF(AND('WELL INPUTS'!$B$4="Wet",'WELL INPUTS'!$B$5&gt;0),IF(I203="Yes","CATALOG SOUR","NOT LISTED"),"N/A")</x:f>
        <x:v>N/A</x:v>
      </x:c>
      <x:c r="N203" t="str">
        <x:f>IF(AND('WELL INPUTS'!$B$4="Wet",'WELL INPUTS'!$B$6&gt;0),IF(J203="Yes","ALLOY FAMILY","CORROSION CONTROL"),"N/A")</x:f>
        <x:v>ALLOY FAMILY</x:v>
      </x:c>
      <x:c r="O203" t="str">
        <x:f>IF('WELL INPUTS'!$B$12="Yes",IF(G203="Yes","CLAIMED","NOT LISTED"),"N/A")</x:f>
        <x:v>N/A</x:v>
      </x:c>
      <x:c r="P203" t="str">
        <x:f>IF(OR('WELL INPUTS'!$B$13="Unrestricted",CODE(H203)&lt;=CODE('WELL INPUTS'!$B$13)),"WITHIN TIER","OVER CAP")</x:f>
        <x:v>WITHIN TIER</x:v>
      </x:c>
      <x:c r="Q203" t="n">
        <x:f>MAX(0,MIN(100,43+IF(L203="OK",14,-20)+IF(M203="CATALOG SOUR",24,IF(M203="NOT LISTED",-18,0))+IF(N203="ALLOY FAMILY",14,IF(N203="CORROSION CONTROL",-13,0))+IF(O203="CLAIMED",17,IF(O203="NOT LISTED",-14,0))+IF(K203="Yes",-15,0)+IF('WELL INPUTS'!$B$10="Yes",-17,0)))</x:f>
        <x:v>71</x:v>
      </x:c>
      <x:c r="R203" s="83" t="str">
        <x:f>IF(L203="BELOW","EXCLUDE — STRENGTH",IF(P203="OVER CAP","EXCLUDE — COST",IF(K203="Yes",IF('WELL INPUTS'!$B$14="No","EXCLUDE — REFERENCE","REFERENCE ONLY"),IF(OR(L203="UNKNOWN",M203="NOT LISTED",N203="CORROSION CONTROL",O203="NOT LISTED",'WELL INPUTS'!$B$10="Yes",'WELL INPUTS'!$B$4="Unknown"),"REVIEW","CANDIDATE — VERIFY"))))</x:f>
        <x:v>CANDIDATE — VERIFY</x:v>
      </x:c>
      <x:c r="S203" t="str">
        <x:f>IF(L203="BELOW","Increase minimum grade strength",IF(P203="OVER CAP","Relax cost tier or exclude",IF(K203="Yes","Identify qualified manufacturer grade",IF(M203="NOT LISTED","Confirm sour-service claim and ISO 15156",IF(O203="NOT LISTED","Obtain manufacturer collapse curve",IF(N203="CORROSION CONTROL","Model CO2 corrosion; review inhibition","Confirm corrosion, cracking, loads and connection"))))))</x:f>
        <x:v>Confirm corrosion, cracking, loads and connection</x:v>
      </x:c>
      <x:c r="T203" t="str">
        <x:v>https://solutions.vallourec.com/product/13cr-and-super-13cr/</x:v>
      </x:c>
    </x:row>
    <x:row r="204" ht="23" customHeight="1">
      <x:c r="A204" t="str">
        <x:v>OCTG-0203</x:v>
      </x:c>
      <x:c r="B204" t="str">
        <x:v>Vallourec</x:v>
      </x:c>
      <x:c r="C204" t="str">
        <x:v>VM 85 13CR</x:v>
      </x:c>
      <x:c r="D204" t="str">
        <x:v>Martensitic 13Cr</x:v>
      </x:c>
      <x:c r="E204" t="str">
        <x:v>Sweet CO2 / wet gas; high collapse for HC</x:v>
      </x:c>
      <x:c r="F204" s="82" t="n">
        <x:v>85</x:v>
      </x:c>
      <x:c r="G204" t="str">
        <x:v>Yes</x:v>
      </x:c>
      <x:c r="H204" t="str">
        <x:v>D</x:v>
      </x:c>
      <x:c r="I204" t="str">
        <x:v>No</x:v>
      </x:c>
      <x:c r="J204" t="str">
        <x:v>Yes</x:v>
      </x:c>
      <x:c r="K204" t="str">
        <x:v>No</x:v>
      </x:c>
      <x:c r="L204" t="str">
        <x:f>IF(F204="","UNKNOWN",IF(F204&lt;'WELL INPUTS'!$B$11,"BELOW","OK"))</x:f>
        <x:v>OK</x:v>
      </x:c>
      <x:c r="M204" t="str">
        <x:f>IF(AND('WELL INPUTS'!$B$4="Wet",'WELL INPUTS'!$B$5&gt;0),IF(I204="Yes","CATALOG SOUR","NOT LISTED"),"N/A")</x:f>
        <x:v>N/A</x:v>
      </x:c>
      <x:c r="N204" t="str">
        <x:f>IF(AND('WELL INPUTS'!$B$4="Wet",'WELL INPUTS'!$B$6&gt;0),IF(J204="Yes","ALLOY FAMILY","CORROSION CONTROL"),"N/A")</x:f>
        <x:v>ALLOY FAMILY</x:v>
      </x:c>
      <x:c r="O204" t="str">
        <x:f>IF('WELL INPUTS'!$B$12="Yes",IF(G204="Yes","CLAIMED","NOT LISTED"),"N/A")</x:f>
        <x:v>N/A</x:v>
      </x:c>
      <x:c r="P204" t="str">
        <x:f>IF(OR('WELL INPUTS'!$B$13="Unrestricted",CODE(H204)&lt;=CODE('WELL INPUTS'!$B$13)),"WITHIN TIER","OVER CAP")</x:f>
        <x:v>WITHIN TIER</x:v>
      </x:c>
      <x:c r="Q204" t="n">
        <x:f>MAX(0,MIN(100,43+IF(L204="OK",14,-20)+IF(M204="CATALOG SOUR",24,IF(M204="NOT LISTED",-18,0))+IF(N204="ALLOY FAMILY",14,IF(N204="CORROSION CONTROL",-13,0))+IF(O204="CLAIMED",17,IF(O204="NOT LISTED",-14,0))+IF(K204="Yes",-15,0)+IF('WELL INPUTS'!$B$10="Yes",-17,0)))</x:f>
        <x:v>71</x:v>
      </x:c>
      <x:c r="R204" s="83" t="str">
        <x:f>IF(L204="BELOW","EXCLUDE — STRENGTH",IF(P204="OVER CAP","EXCLUDE — COST",IF(K204="Yes",IF('WELL INPUTS'!$B$14="No","EXCLUDE — REFERENCE","REFERENCE ONLY"),IF(OR(L204="UNKNOWN",M204="NOT LISTED",N204="CORROSION CONTROL",O204="NOT LISTED",'WELL INPUTS'!$B$10="Yes",'WELL INPUTS'!$B$4="Unknown"),"REVIEW","CANDIDATE — VERIFY"))))</x:f>
        <x:v>CANDIDATE — VERIFY</x:v>
      </x:c>
      <x:c r="S204" t="str">
        <x:f>IF(L204="BELOW","Increase minimum grade strength",IF(P204="OVER CAP","Relax cost tier or exclude",IF(K204="Yes","Identify qualified manufacturer grade",IF(M204="NOT LISTED","Confirm sour-service claim and ISO 15156",IF(O204="NOT LISTED","Obtain manufacturer collapse curve",IF(N204="CORROSION CONTROL","Model CO2 corrosion; review inhibition","Confirm corrosion, cracking, loads and connection"))))))</x:f>
        <x:v>Confirm corrosion, cracking, loads and connection</x:v>
      </x:c>
      <x:c r="T204" t="str">
        <x:v>https://solutions.vallourec.com/product/13cr-and-super-13cr/</x:v>
      </x:c>
    </x:row>
    <x:row r="205" ht="23" customHeight="1">
      <x:c r="A205" t="str">
        <x:v>OCTG-0204</x:v>
      </x:c>
      <x:c r="B205" t="str">
        <x:v>Vallourec</x:v>
      </x:c>
      <x:c r="C205" t="str">
        <x:v>VM 85 13CRCY</x:v>
      </x:c>
      <x:c r="D205" t="str">
        <x:v>Martensitic 13Cr</x:v>
      </x:c>
      <x:c r="E205" t="str">
        <x:v>Sweet CO2 / wet gas; high collapse for HC</x:v>
      </x:c>
      <x:c r="F205" s="82" t="n">
        <x:v>85</x:v>
      </x:c>
      <x:c r="G205" t="str">
        <x:v>Yes</x:v>
      </x:c>
      <x:c r="H205" t="str">
        <x:v>D</x:v>
      </x:c>
      <x:c r="I205" t="str">
        <x:v>No</x:v>
      </x:c>
      <x:c r="J205" t="str">
        <x:v>Yes</x:v>
      </x:c>
      <x:c r="K205" t="str">
        <x:v>No</x:v>
      </x:c>
      <x:c r="L205" t="str">
        <x:f>IF(F205="","UNKNOWN",IF(F205&lt;'WELL INPUTS'!$B$11,"BELOW","OK"))</x:f>
        <x:v>OK</x:v>
      </x:c>
      <x:c r="M205" t="str">
        <x:f>IF(AND('WELL INPUTS'!$B$4="Wet",'WELL INPUTS'!$B$5&gt;0),IF(I205="Yes","CATALOG SOUR","NOT LISTED"),"N/A")</x:f>
        <x:v>N/A</x:v>
      </x:c>
      <x:c r="N205" t="str">
        <x:f>IF(AND('WELL INPUTS'!$B$4="Wet",'WELL INPUTS'!$B$6&gt;0),IF(J205="Yes","ALLOY FAMILY","CORROSION CONTROL"),"N/A")</x:f>
        <x:v>ALLOY FAMILY</x:v>
      </x:c>
      <x:c r="O205" t="str">
        <x:f>IF('WELL INPUTS'!$B$12="Yes",IF(G205="Yes","CLAIMED","NOT LISTED"),"N/A")</x:f>
        <x:v>N/A</x:v>
      </x:c>
      <x:c r="P205" t="str">
        <x:f>IF(OR('WELL INPUTS'!$B$13="Unrestricted",CODE(H205)&lt;=CODE('WELL INPUTS'!$B$13)),"WITHIN TIER","OVER CAP")</x:f>
        <x:v>WITHIN TIER</x:v>
      </x:c>
      <x:c r="Q205" t="n">
        <x:f>MAX(0,MIN(100,43+IF(L205="OK",14,-20)+IF(M205="CATALOG SOUR",24,IF(M205="NOT LISTED",-18,0))+IF(N205="ALLOY FAMILY",14,IF(N205="CORROSION CONTROL",-13,0))+IF(O205="CLAIMED",17,IF(O205="NOT LISTED",-14,0))+IF(K205="Yes",-15,0)+IF('WELL INPUTS'!$B$10="Yes",-17,0)))</x:f>
        <x:v>71</x:v>
      </x:c>
      <x:c r="R205" s="83" t="str">
        <x:f>IF(L205="BELOW","EXCLUDE — STRENGTH",IF(P205="OVER CAP","EXCLUDE — COST",IF(K205="Yes",IF('WELL INPUTS'!$B$14="No","EXCLUDE — REFERENCE","REFERENCE ONLY"),IF(OR(L205="UNKNOWN",M205="NOT LISTED",N205="CORROSION CONTROL",O205="NOT LISTED",'WELL INPUTS'!$B$10="Yes",'WELL INPUTS'!$B$4="Unknown"),"REVIEW","CANDIDATE — VERIFY"))))</x:f>
        <x:v>CANDIDATE — VERIFY</x:v>
      </x:c>
      <x:c r="S205" t="str">
        <x:f>IF(L205="BELOW","Increase minimum grade strength",IF(P205="OVER CAP","Relax cost tier or exclude",IF(K205="Yes","Identify qualified manufacturer grade",IF(M205="NOT LISTED","Confirm sour-service claim and ISO 15156",IF(O205="NOT LISTED","Obtain manufacturer collapse curve",IF(N205="CORROSION CONTROL","Model CO2 corrosion; review inhibition","Confirm corrosion, cracking, loads and connection"))))))</x:f>
        <x:v>Confirm corrosion, cracking, loads and connection</x:v>
      </x:c>
      <x:c r="T205" t="str">
        <x:v>https://solutions.vallourec.com/product/13cr-and-super-13cr/</x:v>
      </x:c>
    </x:row>
    <x:row r="206" ht="23" customHeight="1">
      <x:c r="A206" t="str">
        <x:v>OCTG-0205</x:v>
      </x:c>
      <x:c r="B206" t="str">
        <x:v>Vallourec</x:v>
      </x:c>
      <x:c r="C206" t="str">
        <x:v>VM 90 13CR</x:v>
      </x:c>
      <x:c r="D206" t="str">
        <x:v>Martensitic 13Cr</x:v>
      </x:c>
      <x:c r="E206" t="str">
        <x:v>Sweet CO2 / wet gas; high collapse for HC</x:v>
      </x:c>
      <x:c r="F206" s="82" t="n">
        <x:v>90</x:v>
      </x:c>
      <x:c r="G206" t="str">
        <x:v>Yes</x:v>
      </x:c>
      <x:c r="H206" t="str">
        <x:v>D</x:v>
      </x:c>
      <x:c r="I206" t="str">
        <x:v>No</x:v>
      </x:c>
      <x:c r="J206" t="str">
        <x:v>Yes</x:v>
      </x:c>
      <x:c r="K206" t="str">
        <x:v>No</x:v>
      </x:c>
      <x:c r="L206" t="str">
        <x:f>IF(F206="","UNKNOWN",IF(F206&lt;'WELL INPUTS'!$B$11,"BELOW","OK"))</x:f>
        <x:v>OK</x:v>
      </x:c>
      <x:c r="M206" t="str">
        <x:f>IF(AND('WELL INPUTS'!$B$4="Wet",'WELL INPUTS'!$B$5&gt;0),IF(I206="Yes","CATALOG SOUR","NOT LISTED"),"N/A")</x:f>
        <x:v>N/A</x:v>
      </x:c>
      <x:c r="N206" t="str">
        <x:f>IF(AND('WELL INPUTS'!$B$4="Wet",'WELL INPUTS'!$B$6&gt;0),IF(J206="Yes","ALLOY FAMILY","CORROSION CONTROL"),"N/A")</x:f>
        <x:v>ALLOY FAMILY</x:v>
      </x:c>
      <x:c r="O206" t="str">
        <x:f>IF('WELL INPUTS'!$B$12="Yes",IF(G206="Yes","CLAIMED","NOT LISTED"),"N/A")</x:f>
        <x:v>N/A</x:v>
      </x:c>
      <x:c r="P206" t="str">
        <x:f>IF(OR('WELL INPUTS'!$B$13="Unrestricted",CODE(H206)&lt;=CODE('WELL INPUTS'!$B$13)),"WITHIN TIER","OVER CAP")</x:f>
        <x:v>WITHIN TIER</x:v>
      </x:c>
      <x:c r="Q206" t="n">
        <x:f>MAX(0,MIN(100,43+IF(L206="OK",14,-20)+IF(M206="CATALOG SOUR",24,IF(M206="NOT LISTED",-18,0))+IF(N206="ALLOY FAMILY",14,IF(N206="CORROSION CONTROL",-13,0))+IF(O206="CLAIMED",17,IF(O206="NOT LISTED",-14,0))+IF(K206="Yes",-15,0)+IF('WELL INPUTS'!$B$10="Yes",-17,0)))</x:f>
        <x:v>71</x:v>
      </x:c>
      <x:c r="R206" s="83" t="str">
        <x:f>IF(L206="BELOW","EXCLUDE — STRENGTH",IF(P206="OVER CAP","EXCLUDE — COST",IF(K206="Yes",IF('WELL INPUTS'!$B$14="No","EXCLUDE — REFERENCE","REFERENCE ONLY"),IF(OR(L206="UNKNOWN",M206="NOT LISTED",N206="CORROSION CONTROL",O206="NOT LISTED",'WELL INPUTS'!$B$10="Yes",'WELL INPUTS'!$B$4="Unknown"),"REVIEW","CANDIDATE — VERIFY"))))</x:f>
        <x:v>CANDIDATE — VERIFY</x:v>
      </x:c>
      <x:c r="S206" t="str">
        <x:f>IF(L206="BELOW","Increase minimum grade strength",IF(P206="OVER CAP","Relax cost tier or exclude",IF(K206="Yes","Identify qualified manufacturer grade",IF(M206="NOT LISTED","Confirm sour-service claim and ISO 15156",IF(O206="NOT LISTED","Obtain manufacturer collapse curve",IF(N206="CORROSION CONTROL","Model CO2 corrosion; review inhibition","Confirm corrosion, cracking, loads and connection"))))))</x:f>
        <x:v>Confirm corrosion, cracking, loads and connection</x:v>
      </x:c>
      <x:c r="T206" t="str">
        <x:v>https://solutions.vallourec.com/product/13cr-and-super-13cr/</x:v>
      </x:c>
    </x:row>
    <x:row r="207" ht="23" customHeight="1">
      <x:c r="A207" t="str">
        <x:v>OCTG-0206</x:v>
      </x:c>
      <x:c r="B207" t="str">
        <x:v>Vallourec</x:v>
      </x:c>
      <x:c r="C207" t="str">
        <x:v>VM 90 13CRHC</x:v>
      </x:c>
      <x:c r="D207" t="str">
        <x:v>Martensitic 13Cr</x:v>
      </x:c>
      <x:c r="E207" t="str">
        <x:v>Sweet CO2 / wet gas; high collapse for HC</x:v>
      </x:c>
      <x:c r="F207" s="82" t="n">
        <x:v>90</x:v>
      </x:c>
      <x:c r="G207" t="str">
        <x:v>Yes</x:v>
      </x:c>
      <x:c r="H207" t="str">
        <x:v>D</x:v>
      </x:c>
      <x:c r="I207" t="str">
        <x:v>No</x:v>
      </x:c>
      <x:c r="J207" t="str">
        <x:v>Yes</x:v>
      </x:c>
      <x:c r="K207" t="str">
        <x:v>No</x:v>
      </x:c>
      <x:c r="L207" t="str">
        <x:f>IF(F207="","UNKNOWN",IF(F207&lt;'WELL INPUTS'!$B$11,"BELOW","OK"))</x:f>
        <x:v>OK</x:v>
      </x:c>
      <x:c r="M207" t="str">
        <x:f>IF(AND('WELL INPUTS'!$B$4="Wet",'WELL INPUTS'!$B$5&gt;0),IF(I207="Yes","CATALOG SOUR","NOT LISTED"),"N/A")</x:f>
        <x:v>N/A</x:v>
      </x:c>
      <x:c r="N207" t="str">
        <x:f>IF(AND('WELL INPUTS'!$B$4="Wet",'WELL INPUTS'!$B$6&gt;0),IF(J207="Yes","ALLOY FAMILY","CORROSION CONTROL"),"N/A")</x:f>
        <x:v>ALLOY FAMILY</x:v>
      </x:c>
      <x:c r="O207" t="str">
        <x:f>IF('WELL INPUTS'!$B$12="Yes",IF(G207="Yes","CLAIMED","NOT LISTED"),"N/A")</x:f>
        <x:v>N/A</x:v>
      </x:c>
      <x:c r="P207" t="str">
        <x:f>IF(OR('WELL INPUTS'!$B$13="Unrestricted",CODE(H207)&lt;=CODE('WELL INPUTS'!$B$13)),"WITHIN TIER","OVER CAP")</x:f>
        <x:v>WITHIN TIER</x:v>
      </x:c>
      <x:c r="Q207" t="n">
        <x:f>MAX(0,MIN(100,43+IF(L207="OK",14,-20)+IF(M207="CATALOG SOUR",24,IF(M207="NOT LISTED",-18,0))+IF(N207="ALLOY FAMILY",14,IF(N207="CORROSION CONTROL",-13,0))+IF(O207="CLAIMED",17,IF(O207="NOT LISTED",-14,0))+IF(K207="Yes",-15,0)+IF('WELL INPUTS'!$B$10="Yes",-17,0)))</x:f>
        <x:v>71</x:v>
      </x:c>
      <x:c r="R207" s="83" t="str">
        <x:f>IF(L207="BELOW","EXCLUDE — STRENGTH",IF(P207="OVER CAP","EXCLUDE — COST",IF(K207="Yes",IF('WELL INPUTS'!$B$14="No","EXCLUDE — REFERENCE","REFERENCE ONLY"),IF(OR(L207="UNKNOWN",M207="NOT LISTED",N207="CORROSION CONTROL",O207="NOT LISTED",'WELL INPUTS'!$B$10="Yes",'WELL INPUTS'!$B$4="Unknown"),"REVIEW","CANDIDATE — VERIFY"))))</x:f>
        <x:v>CANDIDATE — VERIFY</x:v>
      </x:c>
      <x:c r="S207" t="str">
        <x:f>IF(L207="BELOW","Increase minimum grade strength",IF(P207="OVER CAP","Relax cost tier or exclude",IF(K207="Yes","Identify qualified manufacturer grade",IF(M207="NOT LISTED","Confirm sour-service claim and ISO 15156",IF(O207="NOT LISTED","Obtain manufacturer collapse curve",IF(N207="CORROSION CONTROL","Model CO2 corrosion; review inhibition","Confirm corrosion, cracking, loads and connection"))))))</x:f>
        <x:v>Confirm corrosion, cracking, loads and connection</x:v>
      </x:c>
      <x:c r="T207" t="str">
        <x:v>https://solutions.vallourec.com/product/13cr-and-super-13cr/</x:v>
      </x:c>
    </x:row>
    <x:row r="208" ht="23" customHeight="1">
      <x:c r="A208" t="str">
        <x:v>OCTG-0207</x:v>
      </x:c>
      <x:c r="B208" t="str">
        <x:v>Vallourec</x:v>
      </x:c>
      <x:c r="C208" t="str">
        <x:v>VM 95 13CR</x:v>
      </x:c>
      <x:c r="D208" t="str">
        <x:v>Martensitic 13Cr</x:v>
      </x:c>
      <x:c r="E208" t="str">
        <x:v>Sweet CO2 / wet gas; high collapse for HC</x:v>
      </x:c>
      <x:c r="F208" s="82" t="n">
        <x:v>95</x:v>
      </x:c>
      <x:c r="G208" t="str">
        <x:v>Yes</x:v>
      </x:c>
      <x:c r="H208" t="str">
        <x:v>D</x:v>
      </x:c>
      <x:c r="I208" t="str">
        <x:v>No</x:v>
      </x:c>
      <x:c r="J208" t="str">
        <x:v>Yes</x:v>
      </x:c>
      <x:c r="K208" t="str">
        <x:v>No</x:v>
      </x:c>
      <x:c r="L208" t="str">
        <x:f>IF(F208="","UNKNOWN",IF(F208&lt;'WELL INPUTS'!$B$11,"BELOW","OK"))</x:f>
        <x:v>OK</x:v>
      </x:c>
      <x:c r="M208" t="str">
        <x:f>IF(AND('WELL INPUTS'!$B$4="Wet",'WELL INPUTS'!$B$5&gt;0),IF(I208="Yes","CATALOG SOUR","NOT LISTED"),"N/A")</x:f>
        <x:v>N/A</x:v>
      </x:c>
      <x:c r="N208" t="str">
        <x:f>IF(AND('WELL INPUTS'!$B$4="Wet",'WELL INPUTS'!$B$6&gt;0),IF(J208="Yes","ALLOY FAMILY","CORROSION CONTROL"),"N/A")</x:f>
        <x:v>ALLOY FAMILY</x:v>
      </x:c>
      <x:c r="O208" t="str">
        <x:f>IF('WELL INPUTS'!$B$12="Yes",IF(G208="Yes","CLAIMED","NOT LISTED"),"N/A")</x:f>
        <x:v>N/A</x:v>
      </x:c>
      <x:c r="P208" t="str">
        <x:f>IF(OR('WELL INPUTS'!$B$13="Unrestricted",CODE(H208)&lt;=CODE('WELL INPUTS'!$B$13)),"WITHIN TIER","OVER CAP")</x:f>
        <x:v>WITHIN TIER</x:v>
      </x:c>
      <x:c r="Q208" t="n">
        <x:f>MAX(0,MIN(100,43+IF(L208="OK",14,-20)+IF(M208="CATALOG SOUR",24,IF(M208="NOT LISTED",-18,0))+IF(N208="ALLOY FAMILY",14,IF(N208="CORROSION CONTROL",-13,0))+IF(O208="CLAIMED",17,IF(O208="NOT LISTED",-14,0))+IF(K208="Yes",-15,0)+IF('WELL INPUTS'!$B$10="Yes",-17,0)))</x:f>
        <x:v>71</x:v>
      </x:c>
      <x:c r="R208" s="83" t="str">
        <x:f>IF(L208="BELOW","EXCLUDE — STRENGTH",IF(P208="OVER CAP","EXCLUDE — COST",IF(K208="Yes",IF('WELL INPUTS'!$B$14="No","EXCLUDE — REFERENCE","REFERENCE ONLY"),IF(OR(L208="UNKNOWN",M208="NOT LISTED",N208="CORROSION CONTROL",O208="NOT LISTED",'WELL INPUTS'!$B$10="Yes",'WELL INPUTS'!$B$4="Unknown"),"REVIEW","CANDIDATE — VERIFY"))))</x:f>
        <x:v>CANDIDATE — VERIFY</x:v>
      </x:c>
      <x:c r="S208" t="str">
        <x:f>IF(L208="BELOW","Increase minimum grade strength",IF(P208="OVER CAP","Relax cost tier or exclude",IF(K208="Yes","Identify qualified manufacturer grade",IF(M208="NOT LISTED","Confirm sour-service claim and ISO 15156",IF(O208="NOT LISTED","Obtain manufacturer collapse curve",IF(N208="CORROSION CONTROL","Model CO2 corrosion; review inhibition","Confirm corrosion, cracking, loads and connection"))))))</x:f>
        <x:v>Confirm corrosion, cracking, loads and connection</x:v>
      </x:c>
      <x:c r="T208" t="str">
        <x:v>https://solutions.vallourec.com/product/13cr-and-super-13cr/</x:v>
      </x:c>
    </x:row>
    <x:row r="209" ht="23" customHeight="1">
      <x:c r="A209" t="str">
        <x:v>OCTG-0208</x:v>
      </x:c>
      <x:c r="B209" t="str">
        <x:v>Vallourec</x:v>
      </x:c>
      <x:c r="C209" t="str">
        <x:v>VM 95 13CRHC</x:v>
      </x:c>
      <x:c r="D209" t="str">
        <x:v>Martensitic 13Cr</x:v>
      </x:c>
      <x:c r="E209" t="str">
        <x:v>Sweet CO2 / wet gas; high collapse for HC</x:v>
      </x:c>
      <x:c r="F209" s="82" t="n">
        <x:v>95</x:v>
      </x:c>
      <x:c r="G209" t="str">
        <x:v>Yes</x:v>
      </x:c>
      <x:c r="H209" t="str">
        <x:v>D</x:v>
      </x:c>
      <x:c r="I209" t="str">
        <x:v>No</x:v>
      </x:c>
      <x:c r="J209" t="str">
        <x:v>Yes</x:v>
      </x:c>
      <x:c r="K209" t="str">
        <x:v>No</x:v>
      </x:c>
      <x:c r="L209" t="str">
        <x:f>IF(F209="","UNKNOWN",IF(F209&lt;'WELL INPUTS'!$B$11,"BELOW","OK"))</x:f>
        <x:v>OK</x:v>
      </x:c>
      <x:c r="M209" t="str">
        <x:f>IF(AND('WELL INPUTS'!$B$4="Wet",'WELL INPUTS'!$B$5&gt;0),IF(I209="Yes","CATALOG SOUR","NOT LISTED"),"N/A")</x:f>
        <x:v>N/A</x:v>
      </x:c>
      <x:c r="N209" t="str">
        <x:f>IF(AND('WELL INPUTS'!$B$4="Wet",'WELL INPUTS'!$B$6&gt;0),IF(J209="Yes","ALLOY FAMILY","CORROSION CONTROL"),"N/A")</x:f>
        <x:v>ALLOY FAMILY</x:v>
      </x:c>
      <x:c r="O209" t="str">
        <x:f>IF('WELL INPUTS'!$B$12="Yes",IF(G209="Yes","CLAIMED","NOT LISTED"),"N/A")</x:f>
        <x:v>N/A</x:v>
      </x:c>
      <x:c r="P209" t="str">
        <x:f>IF(OR('WELL INPUTS'!$B$13="Unrestricted",CODE(H209)&lt;=CODE('WELL INPUTS'!$B$13)),"WITHIN TIER","OVER CAP")</x:f>
        <x:v>WITHIN TIER</x:v>
      </x:c>
      <x:c r="Q209" t="n">
        <x:f>MAX(0,MIN(100,43+IF(L209="OK",14,-20)+IF(M209="CATALOG SOUR",24,IF(M209="NOT LISTED",-18,0))+IF(N209="ALLOY FAMILY",14,IF(N209="CORROSION CONTROL",-13,0))+IF(O209="CLAIMED",17,IF(O209="NOT LISTED",-14,0))+IF(K209="Yes",-15,0)+IF('WELL INPUTS'!$B$10="Yes",-17,0)))</x:f>
        <x:v>71</x:v>
      </x:c>
      <x:c r="R209" s="83" t="str">
        <x:f>IF(L209="BELOW","EXCLUDE — STRENGTH",IF(P209="OVER CAP","EXCLUDE — COST",IF(K209="Yes",IF('WELL INPUTS'!$B$14="No","EXCLUDE — REFERENCE","REFERENCE ONLY"),IF(OR(L209="UNKNOWN",M209="NOT LISTED",N209="CORROSION CONTROL",O209="NOT LISTED",'WELL INPUTS'!$B$10="Yes",'WELL INPUTS'!$B$4="Unknown"),"REVIEW","CANDIDATE — VERIFY"))))</x:f>
        <x:v>CANDIDATE — VERIFY</x:v>
      </x:c>
      <x:c r="S209" t="str">
        <x:f>IF(L209="BELOW","Increase minimum grade strength",IF(P209="OVER CAP","Relax cost tier or exclude",IF(K209="Yes","Identify qualified manufacturer grade",IF(M209="NOT LISTED","Confirm sour-service claim and ISO 15156",IF(O209="NOT LISTED","Obtain manufacturer collapse curve",IF(N209="CORROSION CONTROL","Model CO2 corrosion; review inhibition","Confirm corrosion, cracking, loads and connection"))))))</x:f>
        <x:v>Confirm corrosion, cracking, loads and connection</x:v>
      </x:c>
      <x:c r="T209" t="str">
        <x:v>https://solutions.vallourec.com/product/13cr-and-super-13cr/</x:v>
      </x:c>
    </x:row>
    <x:row r="210" ht="23" customHeight="1">
      <x:c r="A210" t="str">
        <x:v>OCTG-0209</x:v>
      </x:c>
      <x:c r="B210" t="str">
        <x:v>Vallourec</x:v>
      </x:c>
      <x:c r="C210" t="str">
        <x:v>VM 110 13CRM</x:v>
      </x:c>
      <x:c r="D210" t="str">
        <x:v>Modified / super 13Cr</x:v>
      </x:c>
      <x:c r="E210" t="str">
        <x:v>High CO2 / elevated temperature / limited H2S; high collapse for HC</x:v>
      </x:c>
      <x:c r="F210" s="82" t="n">
        <x:v>110</x:v>
      </x:c>
      <x:c r="G210" t="str">
        <x:v>Yes</x:v>
      </x:c>
      <x:c r="H210" t="str">
        <x:v>E</x:v>
      </x:c>
      <x:c r="I210" t="str">
        <x:v>Yes</x:v>
      </x:c>
      <x:c r="J210" t="str">
        <x:v>Yes</x:v>
      </x:c>
      <x:c r="K210" t="str">
        <x:v>No</x:v>
      </x:c>
      <x:c r="L210" t="str">
        <x:f>IF(F210="","UNKNOWN",IF(F210&lt;'WELL INPUTS'!$B$11,"BELOW","OK"))</x:f>
        <x:v>OK</x:v>
      </x:c>
      <x:c r="M210" t="str">
        <x:f>IF(AND('WELL INPUTS'!$B$4="Wet",'WELL INPUTS'!$B$5&gt;0),IF(I210="Yes","CATALOG SOUR","NOT LISTED"),"N/A")</x:f>
        <x:v>N/A</x:v>
      </x:c>
      <x:c r="N210" t="str">
        <x:f>IF(AND('WELL INPUTS'!$B$4="Wet",'WELL INPUTS'!$B$6&gt;0),IF(J210="Yes","ALLOY FAMILY","CORROSION CONTROL"),"N/A")</x:f>
        <x:v>ALLOY FAMILY</x:v>
      </x:c>
      <x:c r="O210" t="str">
        <x:f>IF('WELL INPUTS'!$B$12="Yes",IF(G210="Yes","CLAIMED","NOT LISTED"),"N/A")</x:f>
        <x:v>N/A</x:v>
      </x:c>
      <x:c r="P210" t="str">
        <x:f>IF(OR('WELL INPUTS'!$B$13="Unrestricted",CODE(H210)&lt;=CODE('WELL INPUTS'!$B$13)),"WITHIN TIER","OVER CAP")</x:f>
        <x:v>WITHIN TIER</x:v>
      </x:c>
      <x:c r="Q210" t="n">
        <x:f>MAX(0,MIN(100,43+IF(L210="OK",14,-20)+IF(M210="CATALOG SOUR",24,IF(M210="NOT LISTED",-18,0))+IF(N210="ALLOY FAMILY",14,IF(N210="CORROSION CONTROL",-13,0))+IF(O210="CLAIMED",17,IF(O210="NOT LISTED",-14,0))+IF(K210="Yes",-15,0)+IF('WELL INPUTS'!$B$10="Yes",-17,0)))</x:f>
        <x:v>71</x:v>
      </x:c>
      <x:c r="R210" s="83" t="str">
        <x:f>IF(L210="BELOW","EXCLUDE — STRENGTH",IF(P210="OVER CAP","EXCLUDE — COST",IF(K210="Yes",IF('WELL INPUTS'!$B$14="No","EXCLUDE — REFERENCE","REFERENCE ONLY"),IF(OR(L210="UNKNOWN",M210="NOT LISTED",N210="CORROSION CONTROL",O210="NOT LISTED",'WELL INPUTS'!$B$10="Yes",'WELL INPUTS'!$B$4="Unknown"),"REVIEW","CANDIDATE — VERIFY"))))</x:f>
        <x:v>CANDIDATE — VERIFY</x:v>
      </x:c>
      <x:c r="S210" t="str">
        <x:f>IF(L210="BELOW","Increase minimum grade strength",IF(P210="OVER CAP","Relax cost tier or exclude",IF(K210="Yes","Identify qualified manufacturer grade",IF(M210="NOT LISTED","Confirm sour-service claim and ISO 15156",IF(O210="NOT LISTED","Obtain manufacturer collapse curve",IF(N210="CORROSION CONTROL","Model CO2 corrosion; review inhibition","Confirm corrosion, cracking, loads and connection"))))))</x:f>
        <x:v>Confirm corrosion, cracking, loads and connection</x:v>
      </x:c>
      <x:c r="T210" t="str">
        <x:v>https://solutions.vallourec.com/product/13cr-and-super-13cr/</x:v>
      </x:c>
    </x:row>
    <x:row r="211" ht="23" customHeight="1">
      <x:c r="A211" t="str">
        <x:v>OCTG-0210</x:v>
      </x:c>
      <x:c r="B211" t="str">
        <x:v>Vallourec</x:v>
      </x:c>
      <x:c r="C211" t="str">
        <x:v>VM 110 13CRSS</x:v>
      </x:c>
      <x:c r="D211" t="str">
        <x:v>Modified / super 13Cr</x:v>
      </x:c>
      <x:c r="E211" t="str">
        <x:v>High CO2 / elevated temperature / limited H2S; high collapse for HC</x:v>
      </x:c>
      <x:c r="F211" s="82" t="n">
        <x:v>110</x:v>
      </x:c>
      <x:c r="G211" t="str">
        <x:v>Yes</x:v>
      </x:c>
      <x:c r="H211" t="str">
        <x:v>E</x:v>
      </x:c>
      <x:c r="I211" t="str">
        <x:v>Yes</x:v>
      </x:c>
      <x:c r="J211" t="str">
        <x:v>Yes</x:v>
      </x:c>
      <x:c r="K211" t="str">
        <x:v>No</x:v>
      </x:c>
      <x:c r="L211" t="str">
        <x:f>IF(F211="","UNKNOWN",IF(F211&lt;'WELL INPUTS'!$B$11,"BELOW","OK"))</x:f>
        <x:v>OK</x:v>
      </x:c>
      <x:c r="M211" t="str">
        <x:f>IF(AND('WELL INPUTS'!$B$4="Wet",'WELL INPUTS'!$B$5&gt;0),IF(I211="Yes","CATALOG SOUR","NOT LISTED"),"N/A")</x:f>
        <x:v>N/A</x:v>
      </x:c>
      <x:c r="N211" t="str">
        <x:f>IF(AND('WELL INPUTS'!$B$4="Wet",'WELL INPUTS'!$B$6&gt;0),IF(J211="Yes","ALLOY FAMILY","CORROSION CONTROL"),"N/A")</x:f>
        <x:v>ALLOY FAMILY</x:v>
      </x:c>
      <x:c r="O211" t="str">
        <x:f>IF('WELL INPUTS'!$B$12="Yes",IF(G211="Yes","CLAIMED","NOT LISTED"),"N/A")</x:f>
        <x:v>N/A</x:v>
      </x:c>
      <x:c r="P211" t="str">
        <x:f>IF(OR('WELL INPUTS'!$B$13="Unrestricted",CODE(H211)&lt;=CODE('WELL INPUTS'!$B$13)),"WITHIN TIER","OVER CAP")</x:f>
        <x:v>WITHIN TIER</x:v>
      </x:c>
      <x:c r="Q211" t="n">
        <x:f>MAX(0,MIN(100,43+IF(L211="OK",14,-20)+IF(M211="CATALOG SOUR",24,IF(M211="NOT LISTED",-18,0))+IF(N211="ALLOY FAMILY",14,IF(N211="CORROSION CONTROL",-13,0))+IF(O211="CLAIMED",17,IF(O211="NOT LISTED",-14,0))+IF(K211="Yes",-15,0)+IF('WELL INPUTS'!$B$10="Yes",-17,0)))</x:f>
        <x:v>71</x:v>
      </x:c>
      <x:c r="R211" s="83" t="str">
        <x:f>IF(L211="BELOW","EXCLUDE — STRENGTH",IF(P211="OVER CAP","EXCLUDE — COST",IF(K211="Yes",IF('WELL INPUTS'!$B$14="No","EXCLUDE — REFERENCE","REFERENCE ONLY"),IF(OR(L211="UNKNOWN",M211="NOT LISTED",N211="CORROSION CONTROL",O211="NOT LISTED",'WELL INPUTS'!$B$10="Yes",'WELL INPUTS'!$B$4="Unknown"),"REVIEW","CANDIDATE — VERIFY"))))</x:f>
        <x:v>CANDIDATE — VERIFY</x:v>
      </x:c>
      <x:c r="S211" t="str">
        <x:f>IF(L211="BELOW","Increase minimum grade strength",IF(P211="OVER CAP","Relax cost tier or exclude",IF(K211="Yes","Identify qualified manufacturer grade",IF(M211="NOT LISTED","Confirm sour-service claim and ISO 15156",IF(O211="NOT LISTED","Obtain manufacturer collapse curve",IF(N211="CORROSION CONTROL","Model CO2 corrosion; review inhibition","Confirm corrosion, cracking, loads and connection"))))))</x:f>
        <x:v>Confirm corrosion, cracking, loads and connection</x:v>
      </x:c>
      <x:c r="T211" t="str">
        <x:v>https://solutions.vallourec.com/product/13cr-and-super-13cr/</x:v>
      </x:c>
    </x:row>
    <x:row r="212" ht="23" customHeight="1">
      <x:c r="A212" t="str">
        <x:v>OCTG-0211</x:v>
      </x:c>
      <x:c r="B212" t="str">
        <x:v>Vallourec</x:v>
      </x:c>
      <x:c r="C212" t="str">
        <x:v>VM 110 13CRSSHC</x:v>
      </x:c>
      <x:c r="D212" t="str">
        <x:v>Modified / super 13Cr</x:v>
      </x:c>
      <x:c r="E212" t="str">
        <x:v>High CO2 / elevated temperature / limited H2S; high collapse for HC</x:v>
      </x:c>
      <x:c r="F212" s="82" t="n">
        <x:v>110</x:v>
      </x:c>
      <x:c r="G212" t="str">
        <x:v>Yes</x:v>
      </x:c>
      <x:c r="H212" t="str">
        <x:v>E</x:v>
      </x:c>
      <x:c r="I212" t="str">
        <x:v>Yes</x:v>
      </x:c>
      <x:c r="J212" t="str">
        <x:v>Yes</x:v>
      </x:c>
      <x:c r="K212" t="str">
        <x:v>No</x:v>
      </x:c>
      <x:c r="L212" t="str">
        <x:f>IF(F212="","UNKNOWN",IF(F212&lt;'WELL INPUTS'!$B$11,"BELOW","OK"))</x:f>
        <x:v>OK</x:v>
      </x:c>
      <x:c r="M212" t="str">
        <x:f>IF(AND('WELL INPUTS'!$B$4="Wet",'WELL INPUTS'!$B$5&gt;0),IF(I212="Yes","CATALOG SOUR","NOT LISTED"),"N/A")</x:f>
        <x:v>N/A</x:v>
      </x:c>
      <x:c r="N212" t="str">
        <x:f>IF(AND('WELL INPUTS'!$B$4="Wet",'WELL INPUTS'!$B$6&gt;0),IF(J212="Yes","ALLOY FAMILY","CORROSION CONTROL"),"N/A")</x:f>
        <x:v>ALLOY FAMILY</x:v>
      </x:c>
      <x:c r="O212" t="str">
        <x:f>IF('WELL INPUTS'!$B$12="Yes",IF(G212="Yes","CLAIMED","NOT LISTED"),"N/A")</x:f>
        <x:v>N/A</x:v>
      </x:c>
      <x:c r="P212" t="str">
        <x:f>IF(OR('WELL INPUTS'!$B$13="Unrestricted",CODE(H212)&lt;=CODE('WELL INPUTS'!$B$13)),"WITHIN TIER","OVER CAP")</x:f>
        <x:v>WITHIN TIER</x:v>
      </x:c>
      <x:c r="Q212" t="n">
        <x:f>MAX(0,MIN(100,43+IF(L212="OK",14,-20)+IF(M212="CATALOG SOUR",24,IF(M212="NOT LISTED",-18,0))+IF(N212="ALLOY FAMILY",14,IF(N212="CORROSION CONTROL",-13,0))+IF(O212="CLAIMED",17,IF(O212="NOT LISTED",-14,0))+IF(K212="Yes",-15,0)+IF('WELL INPUTS'!$B$10="Yes",-17,0)))</x:f>
        <x:v>71</x:v>
      </x:c>
      <x:c r="R212" s="83" t="str">
        <x:f>IF(L212="BELOW","EXCLUDE — STRENGTH",IF(P212="OVER CAP","EXCLUDE — COST",IF(K212="Yes",IF('WELL INPUTS'!$B$14="No","EXCLUDE — REFERENCE","REFERENCE ONLY"),IF(OR(L212="UNKNOWN",M212="NOT LISTED",N212="CORROSION CONTROL",O212="NOT LISTED",'WELL INPUTS'!$B$10="Yes",'WELL INPUTS'!$B$4="Unknown"),"REVIEW","CANDIDATE — VERIFY"))))</x:f>
        <x:v>CANDIDATE — VERIFY</x:v>
      </x:c>
      <x:c r="S212" t="str">
        <x:f>IF(L212="BELOW","Increase minimum grade strength",IF(P212="OVER CAP","Relax cost tier or exclude",IF(K212="Yes","Identify qualified manufacturer grade",IF(M212="NOT LISTED","Confirm sour-service claim and ISO 15156",IF(O212="NOT LISTED","Obtain manufacturer collapse curve",IF(N212="CORROSION CONTROL","Model CO2 corrosion; review inhibition","Confirm corrosion, cracking, loads and connection"))))))</x:f>
        <x:v>Confirm corrosion, cracking, loads and connection</x:v>
      </x:c>
      <x:c r="T212" t="str">
        <x:v>https://solutions.vallourec.com/product/13cr-and-super-13cr/</x:v>
      </x:c>
    </x:row>
    <x:row r="213" ht="23" customHeight="1">
      <x:c r="A213" t="str">
        <x:v>OCTG-0212</x:v>
      </x:c>
      <x:c r="B213" t="str">
        <x:v>Vallourec</x:v>
      </x:c>
      <x:c r="C213" t="str">
        <x:v>VM 110 13ECRSS</x:v>
      </x:c>
      <x:c r="D213" t="str">
        <x:v>Modified / super 13Cr</x:v>
      </x:c>
      <x:c r="E213" t="str">
        <x:v>High CO2 / elevated temperature / limited H2S; high collapse for HC</x:v>
      </x:c>
      <x:c r="F213" s="82" t="n">
        <x:v>110</x:v>
      </x:c>
      <x:c r="G213" t="str">
        <x:v>Yes</x:v>
      </x:c>
      <x:c r="H213" t="str">
        <x:v>E</x:v>
      </x:c>
      <x:c r="I213" t="str">
        <x:v>Yes</x:v>
      </x:c>
      <x:c r="J213" t="str">
        <x:v>Yes</x:v>
      </x:c>
      <x:c r="K213" t="str">
        <x:v>No</x:v>
      </x:c>
      <x:c r="L213" t="str">
        <x:f>IF(F213="","UNKNOWN",IF(F213&lt;'WELL INPUTS'!$B$11,"BELOW","OK"))</x:f>
        <x:v>OK</x:v>
      </x:c>
      <x:c r="M213" t="str">
        <x:f>IF(AND('WELL INPUTS'!$B$4="Wet",'WELL INPUTS'!$B$5&gt;0),IF(I213="Yes","CATALOG SOUR","NOT LISTED"),"N/A")</x:f>
        <x:v>N/A</x:v>
      </x:c>
      <x:c r="N213" t="str">
        <x:f>IF(AND('WELL INPUTS'!$B$4="Wet",'WELL INPUTS'!$B$6&gt;0),IF(J213="Yes","ALLOY FAMILY","CORROSION CONTROL"),"N/A")</x:f>
        <x:v>ALLOY FAMILY</x:v>
      </x:c>
      <x:c r="O213" t="str">
        <x:f>IF('WELL INPUTS'!$B$12="Yes",IF(G213="Yes","CLAIMED","NOT LISTED"),"N/A")</x:f>
        <x:v>N/A</x:v>
      </x:c>
      <x:c r="P213" t="str">
        <x:f>IF(OR('WELL INPUTS'!$B$13="Unrestricted",CODE(H213)&lt;=CODE('WELL INPUTS'!$B$13)),"WITHIN TIER","OVER CAP")</x:f>
        <x:v>WITHIN TIER</x:v>
      </x:c>
      <x:c r="Q213" t="n">
        <x:f>MAX(0,MIN(100,43+IF(L213="OK",14,-20)+IF(M213="CATALOG SOUR",24,IF(M213="NOT LISTED",-18,0))+IF(N213="ALLOY FAMILY",14,IF(N213="CORROSION CONTROL",-13,0))+IF(O213="CLAIMED",17,IF(O213="NOT LISTED",-14,0))+IF(K213="Yes",-15,0)+IF('WELL INPUTS'!$B$10="Yes",-17,0)))</x:f>
        <x:v>71</x:v>
      </x:c>
      <x:c r="R213" s="83" t="str">
        <x:f>IF(L213="BELOW","EXCLUDE — STRENGTH",IF(P213="OVER CAP","EXCLUDE — COST",IF(K213="Yes",IF('WELL INPUTS'!$B$14="No","EXCLUDE — REFERENCE","REFERENCE ONLY"),IF(OR(L213="UNKNOWN",M213="NOT LISTED",N213="CORROSION CONTROL",O213="NOT LISTED",'WELL INPUTS'!$B$10="Yes",'WELL INPUTS'!$B$4="Unknown"),"REVIEW","CANDIDATE — VERIFY"))))</x:f>
        <x:v>CANDIDATE — VERIFY</x:v>
      </x:c>
      <x:c r="S213" t="str">
        <x:f>IF(L213="BELOW","Increase minimum grade strength",IF(P213="OVER CAP","Relax cost tier or exclude",IF(K213="Yes","Identify qualified manufacturer grade",IF(M213="NOT LISTED","Confirm sour-service claim and ISO 15156",IF(O213="NOT LISTED","Obtain manufacturer collapse curve",IF(N213="CORROSION CONTROL","Model CO2 corrosion; review inhibition","Confirm corrosion, cracking, loads and connection"))))))</x:f>
        <x:v>Confirm corrosion, cracking, loads and connection</x:v>
      </x:c>
      <x:c r="T213" t="str">
        <x:v>https://solutions.vallourec.com/product/13cr-and-super-13cr/</x:v>
      </x:c>
    </x:row>
    <x:row r="214" ht="23" customHeight="1">
      <x:c r="A214" t="str">
        <x:v>OCTG-0213</x:v>
      </x:c>
      <x:c r="B214" t="str">
        <x:v>Vallourec</x:v>
      </x:c>
      <x:c r="C214" t="str">
        <x:v>VM 125 13CRSS</x:v>
      </x:c>
      <x:c r="D214" t="str">
        <x:v>Modified / super 13Cr</x:v>
      </x:c>
      <x:c r="E214" t="str">
        <x:v>High CO2 / elevated temperature / limited H2S; high collapse for HC</x:v>
      </x:c>
      <x:c r="F214" s="82" t="n">
        <x:v>125</x:v>
      </x:c>
      <x:c r="G214" t="str">
        <x:v>Yes</x:v>
      </x:c>
      <x:c r="H214" t="str">
        <x:v>E</x:v>
      </x:c>
      <x:c r="I214" t="str">
        <x:v>Yes</x:v>
      </x:c>
      <x:c r="J214" t="str">
        <x:v>Yes</x:v>
      </x:c>
      <x:c r="K214" t="str">
        <x:v>No</x:v>
      </x:c>
      <x:c r="L214" t="str">
        <x:f>IF(F214="","UNKNOWN",IF(F214&lt;'WELL INPUTS'!$B$11,"BELOW","OK"))</x:f>
        <x:v>OK</x:v>
      </x:c>
      <x:c r="M214" t="str">
        <x:f>IF(AND('WELL INPUTS'!$B$4="Wet",'WELL INPUTS'!$B$5&gt;0),IF(I214="Yes","CATALOG SOUR","NOT LISTED"),"N/A")</x:f>
        <x:v>N/A</x:v>
      </x:c>
      <x:c r="N214" t="str">
        <x:f>IF(AND('WELL INPUTS'!$B$4="Wet",'WELL INPUTS'!$B$6&gt;0),IF(J214="Yes","ALLOY FAMILY","CORROSION CONTROL"),"N/A")</x:f>
        <x:v>ALLOY FAMILY</x:v>
      </x:c>
      <x:c r="O214" t="str">
        <x:f>IF('WELL INPUTS'!$B$12="Yes",IF(G214="Yes","CLAIMED","NOT LISTED"),"N/A")</x:f>
        <x:v>N/A</x:v>
      </x:c>
      <x:c r="P214" t="str">
        <x:f>IF(OR('WELL INPUTS'!$B$13="Unrestricted",CODE(H214)&lt;=CODE('WELL INPUTS'!$B$13)),"WITHIN TIER","OVER CAP")</x:f>
        <x:v>WITHIN TIER</x:v>
      </x:c>
      <x:c r="Q214" t="n">
        <x:f>MAX(0,MIN(100,43+IF(L214="OK",14,-20)+IF(M214="CATALOG SOUR",24,IF(M214="NOT LISTED",-18,0))+IF(N214="ALLOY FAMILY",14,IF(N214="CORROSION CONTROL",-13,0))+IF(O214="CLAIMED",17,IF(O214="NOT LISTED",-14,0))+IF(K214="Yes",-15,0)+IF('WELL INPUTS'!$B$10="Yes",-17,0)))</x:f>
        <x:v>71</x:v>
      </x:c>
      <x:c r="R214" s="83" t="str">
        <x:f>IF(L214="BELOW","EXCLUDE — STRENGTH",IF(P214="OVER CAP","EXCLUDE — COST",IF(K214="Yes",IF('WELL INPUTS'!$B$14="No","EXCLUDE — REFERENCE","REFERENCE ONLY"),IF(OR(L214="UNKNOWN",M214="NOT LISTED",N214="CORROSION CONTROL",O214="NOT LISTED",'WELL INPUTS'!$B$10="Yes",'WELL INPUTS'!$B$4="Unknown"),"REVIEW","CANDIDATE — VERIFY"))))</x:f>
        <x:v>CANDIDATE — VERIFY</x:v>
      </x:c>
      <x:c r="S214" t="str">
        <x:f>IF(L214="BELOW","Increase minimum grade strength",IF(P214="OVER CAP","Relax cost tier or exclude",IF(K214="Yes","Identify qualified manufacturer grade",IF(M214="NOT LISTED","Confirm sour-service claim and ISO 15156",IF(O214="NOT LISTED","Obtain manufacturer collapse curve",IF(N214="CORROSION CONTROL","Model CO2 corrosion; review inhibition","Confirm corrosion, cracking, loads and connection"))))))</x:f>
        <x:v>Confirm corrosion, cracking, loads and connection</x:v>
      </x:c>
      <x:c r="T214" t="str">
        <x:v>https://solutions.vallourec.com/product/13cr-and-super-13cr/</x:v>
      </x:c>
    </x:row>
    <x:row r="215" ht="23" customHeight="1">
      <x:c r="A215" t="str">
        <x:v>OCTG-0214</x:v>
      </x:c>
      <x:c r="B215" t="str">
        <x:v>Vallourec</x:v>
      </x:c>
      <x:c r="C215" t="str">
        <x:v>VM 125 13ECRSS</x:v>
      </x:c>
      <x:c r="D215" t="str">
        <x:v>Modified / super 13Cr</x:v>
      </x:c>
      <x:c r="E215" t="str">
        <x:v>High CO2 / elevated temperature / limited H2S; high collapse for HC</x:v>
      </x:c>
      <x:c r="F215" s="82" t="n">
        <x:v>125</x:v>
      </x:c>
      <x:c r="G215" t="str">
        <x:v>Yes</x:v>
      </x:c>
      <x:c r="H215" t="str">
        <x:v>E</x:v>
      </x:c>
      <x:c r="I215" t="str">
        <x:v>Yes</x:v>
      </x:c>
      <x:c r="J215" t="str">
        <x:v>Yes</x:v>
      </x:c>
      <x:c r="K215" t="str">
        <x:v>No</x:v>
      </x:c>
      <x:c r="L215" t="str">
        <x:f>IF(F215="","UNKNOWN",IF(F215&lt;'WELL INPUTS'!$B$11,"BELOW","OK"))</x:f>
        <x:v>OK</x:v>
      </x:c>
      <x:c r="M215" t="str">
        <x:f>IF(AND('WELL INPUTS'!$B$4="Wet",'WELL INPUTS'!$B$5&gt;0),IF(I215="Yes","CATALOG SOUR","NOT LISTED"),"N/A")</x:f>
        <x:v>N/A</x:v>
      </x:c>
      <x:c r="N215" t="str">
        <x:f>IF(AND('WELL INPUTS'!$B$4="Wet",'WELL INPUTS'!$B$6&gt;0),IF(J215="Yes","ALLOY FAMILY","CORROSION CONTROL"),"N/A")</x:f>
        <x:v>ALLOY FAMILY</x:v>
      </x:c>
      <x:c r="O215" t="str">
        <x:f>IF('WELL INPUTS'!$B$12="Yes",IF(G215="Yes","CLAIMED","NOT LISTED"),"N/A")</x:f>
        <x:v>N/A</x:v>
      </x:c>
      <x:c r="P215" t="str">
        <x:f>IF(OR('WELL INPUTS'!$B$13="Unrestricted",CODE(H215)&lt;=CODE('WELL INPUTS'!$B$13)),"WITHIN TIER","OVER CAP")</x:f>
        <x:v>WITHIN TIER</x:v>
      </x:c>
      <x:c r="Q215" t="n">
        <x:f>MAX(0,MIN(100,43+IF(L215="OK",14,-20)+IF(M215="CATALOG SOUR",24,IF(M215="NOT LISTED",-18,0))+IF(N215="ALLOY FAMILY",14,IF(N215="CORROSION CONTROL",-13,0))+IF(O215="CLAIMED",17,IF(O215="NOT LISTED",-14,0))+IF(K215="Yes",-15,0)+IF('WELL INPUTS'!$B$10="Yes",-17,0)))</x:f>
        <x:v>71</x:v>
      </x:c>
      <x:c r="R215" s="83" t="str">
        <x:f>IF(L215="BELOW","EXCLUDE — STRENGTH",IF(P215="OVER CAP","EXCLUDE — COST",IF(K215="Yes",IF('WELL INPUTS'!$B$14="No","EXCLUDE — REFERENCE","REFERENCE ONLY"),IF(OR(L215="UNKNOWN",M215="NOT LISTED",N215="CORROSION CONTROL",O215="NOT LISTED",'WELL INPUTS'!$B$10="Yes",'WELL INPUTS'!$B$4="Unknown"),"REVIEW","CANDIDATE — VERIFY"))))</x:f>
        <x:v>CANDIDATE — VERIFY</x:v>
      </x:c>
      <x:c r="S215" t="str">
        <x:f>IF(L215="BELOW","Increase minimum grade strength",IF(P215="OVER CAP","Relax cost tier or exclude",IF(K215="Yes","Identify qualified manufacturer grade",IF(M215="NOT LISTED","Confirm sour-service claim and ISO 15156",IF(O215="NOT LISTED","Obtain manufacturer collapse curve",IF(N215="CORROSION CONTROL","Model CO2 corrosion; review inhibition","Confirm corrosion, cracking, loads and connection"))))))</x:f>
        <x:v>Confirm corrosion, cracking, loads and connection</x:v>
      </x:c>
      <x:c r="T215" t="str">
        <x:v>https://solutions.vallourec.com/product/13cr-and-super-13cr/</x:v>
      </x:c>
    </x:row>
    <x:row r="216" ht="23" customHeight="1">
      <x:c r="A216" t="str">
        <x:v>OCTG-0215</x:v>
      </x:c>
      <x:c r="B216" t="str">
        <x:v>Vallourec</x:v>
      </x:c>
      <x:c r="C216" t="str">
        <x:v>VM 95 13CRSS</x:v>
      </x:c>
      <x:c r="D216" t="str">
        <x:v>Modified / super 13Cr</x:v>
      </x:c>
      <x:c r="E216" t="str">
        <x:v>High CO2 / elevated temperature / limited H2S; high collapse for HC</x:v>
      </x:c>
      <x:c r="F216" s="82" t="n">
        <x:v>95</x:v>
      </x:c>
      <x:c r="G216" t="str">
        <x:v>Yes</x:v>
      </x:c>
      <x:c r="H216" t="str">
        <x:v>E</x:v>
      </x:c>
      <x:c r="I216" t="str">
        <x:v>Yes</x:v>
      </x:c>
      <x:c r="J216" t="str">
        <x:v>Yes</x:v>
      </x:c>
      <x:c r="K216" t="str">
        <x:v>No</x:v>
      </x:c>
      <x:c r="L216" t="str">
        <x:f>IF(F216="","UNKNOWN",IF(F216&lt;'WELL INPUTS'!$B$11,"BELOW","OK"))</x:f>
        <x:v>OK</x:v>
      </x:c>
      <x:c r="M216" t="str">
        <x:f>IF(AND('WELL INPUTS'!$B$4="Wet",'WELL INPUTS'!$B$5&gt;0),IF(I216="Yes","CATALOG SOUR","NOT LISTED"),"N/A")</x:f>
        <x:v>N/A</x:v>
      </x:c>
      <x:c r="N216" t="str">
        <x:f>IF(AND('WELL INPUTS'!$B$4="Wet",'WELL INPUTS'!$B$6&gt;0),IF(J216="Yes","ALLOY FAMILY","CORROSION CONTROL"),"N/A")</x:f>
        <x:v>ALLOY FAMILY</x:v>
      </x:c>
      <x:c r="O216" t="str">
        <x:f>IF('WELL INPUTS'!$B$12="Yes",IF(G216="Yes","CLAIMED","NOT LISTED"),"N/A")</x:f>
        <x:v>N/A</x:v>
      </x:c>
      <x:c r="P216" t="str">
        <x:f>IF(OR('WELL INPUTS'!$B$13="Unrestricted",CODE(H216)&lt;=CODE('WELL INPUTS'!$B$13)),"WITHIN TIER","OVER CAP")</x:f>
        <x:v>WITHIN TIER</x:v>
      </x:c>
      <x:c r="Q216" t="n">
        <x:f>MAX(0,MIN(100,43+IF(L216="OK",14,-20)+IF(M216="CATALOG SOUR",24,IF(M216="NOT LISTED",-18,0))+IF(N216="ALLOY FAMILY",14,IF(N216="CORROSION CONTROL",-13,0))+IF(O216="CLAIMED",17,IF(O216="NOT LISTED",-14,0))+IF(K216="Yes",-15,0)+IF('WELL INPUTS'!$B$10="Yes",-17,0)))</x:f>
        <x:v>71</x:v>
      </x:c>
      <x:c r="R216" s="83" t="str">
        <x:f>IF(L216="BELOW","EXCLUDE — STRENGTH",IF(P216="OVER CAP","EXCLUDE — COST",IF(K216="Yes",IF('WELL INPUTS'!$B$14="No","EXCLUDE — REFERENCE","REFERENCE ONLY"),IF(OR(L216="UNKNOWN",M216="NOT LISTED",N216="CORROSION CONTROL",O216="NOT LISTED",'WELL INPUTS'!$B$10="Yes",'WELL INPUTS'!$B$4="Unknown"),"REVIEW","CANDIDATE — VERIFY"))))</x:f>
        <x:v>CANDIDATE — VERIFY</x:v>
      </x:c>
      <x:c r="S216" t="str">
        <x:f>IF(L216="BELOW","Increase minimum grade strength",IF(P216="OVER CAP","Relax cost tier or exclude",IF(K216="Yes","Identify qualified manufacturer grade",IF(M216="NOT LISTED","Confirm sour-service claim and ISO 15156",IF(O216="NOT LISTED","Obtain manufacturer collapse curve",IF(N216="CORROSION CONTROL","Model CO2 corrosion; review inhibition","Confirm corrosion, cracking, loads and connection"))))))</x:f>
        <x:v>Confirm corrosion, cracking, loads and connection</x:v>
      </x:c>
      <x:c r="T216" t="str">
        <x:v>https://solutions.vallourec.com/product/13cr-and-super-13cr/</x:v>
      </x:c>
    </x:row>
    <x:row r="217" ht="23" customHeight="1">
      <x:c r="A217" t="str">
        <x:v>OCTG-0216</x:v>
      </x:c>
      <x:c r="B217" t="str">
        <x:v>Vallourec</x:v>
      </x:c>
      <x:c r="C217" t="str">
        <x:v>VM 95 13CRSSHC</x:v>
      </x:c>
      <x:c r="D217" t="str">
        <x:v>Modified / super 13Cr</x:v>
      </x:c>
      <x:c r="E217" t="str">
        <x:v>High CO2 / elevated temperature / limited H2S; high collapse for HC</x:v>
      </x:c>
      <x:c r="F217" s="82" t="n">
        <x:v>95</x:v>
      </x:c>
      <x:c r="G217" t="str">
        <x:v>Yes</x:v>
      </x:c>
      <x:c r="H217" t="str">
        <x:v>E</x:v>
      </x:c>
      <x:c r="I217" t="str">
        <x:v>Yes</x:v>
      </x:c>
      <x:c r="J217" t="str">
        <x:v>Yes</x:v>
      </x:c>
      <x:c r="K217" t="str">
        <x:v>No</x:v>
      </x:c>
      <x:c r="L217" t="str">
        <x:f>IF(F217="","UNKNOWN",IF(F217&lt;'WELL INPUTS'!$B$11,"BELOW","OK"))</x:f>
        <x:v>OK</x:v>
      </x:c>
      <x:c r="M217" t="str">
        <x:f>IF(AND('WELL INPUTS'!$B$4="Wet",'WELL INPUTS'!$B$5&gt;0),IF(I217="Yes","CATALOG SOUR","NOT LISTED"),"N/A")</x:f>
        <x:v>N/A</x:v>
      </x:c>
      <x:c r="N217" t="str">
        <x:f>IF(AND('WELL INPUTS'!$B$4="Wet",'WELL INPUTS'!$B$6&gt;0),IF(J217="Yes","ALLOY FAMILY","CORROSION CONTROL"),"N/A")</x:f>
        <x:v>ALLOY FAMILY</x:v>
      </x:c>
      <x:c r="O217" t="str">
        <x:f>IF('WELL INPUTS'!$B$12="Yes",IF(G217="Yes","CLAIMED","NOT LISTED"),"N/A")</x:f>
        <x:v>N/A</x:v>
      </x:c>
      <x:c r="P217" t="str">
        <x:f>IF(OR('WELL INPUTS'!$B$13="Unrestricted",CODE(H217)&lt;=CODE('WELL INPUTS'!$B$13)),"WITHIN TIER","OVER CAP")</x:f>
        <x:v>WITHIN TIER</x:v>
      </x:c>
      <x:c r="Q217" t="n">
        <x:f>MAX(0,MIN(100,43+IF(L217="OK",14,-20)+IF(M217="CATALOG SOUR",24,IF(M217="NOT LISTED",-18,0))+IF(N217="ALLOY FAMILY",14,IF(N217="CORROSION CONTROL",-13,0))+IF(O217="CLAIMED",17,IF(O217="NOT LISTED",-14,0))+IF(K217="Yes",-15,0)+IF('WELL INPUTS'!$B$10="Yes",-17,0)))</x:f>
        <x:v>71</x:v>
      </x:c>
      <x:c r="R217" s="83" t="str">
        <x:f>IF(L217="BELOW","EXCLUDE — STRENGTH",IF(P217="OVER CAP","EXCLUDE — COST",IF(K217="Yes",IF('WELL INPUTS'!$B$14="No","EXCLUDE — REFERENCE","REFERENCE ONLY"),IF(OR(L217="UNKNOWN",M217="NOT LISTED",N217="CORROSION CONTROL",O217="NOT LISTED",'WELL INPUTS'!$B$10="Yes",'WELL INPUTS'!$B$4="Unknown"),"REVIEW","CANDIDATE — VERIFY"))))</x:f>
        <x:v>CANDIDATE — VERIFY</x:v>
      </x:c>
      <x:c r="S217" t="str">
        <x:f>IF(L217="BELOW","Increase minimum grade strength",IF(P217="OVER CAP","Relax cost tier or exclude",IF(K217="Yes","Identify qualified manufacturer grade",IF(M217="NOT LISTED","Confirm sour-service claim and ISO 15156",IF(O217="NOT LISTED","Obtain manufacturer collapse curve",IF(N217="CORROSION CONTROL","Model CO2 corrosion; review inhibition","Confirm corrosion, cracking, loads and connection"))))))</x:f>
        <x:v>Confirm corrosion, cracking, loads and connection</x:v>
      </x:c>
      <x:c r="T217" t="str">
        <x:v>https://solutions.vallourec.com/product/13cr-and-super-13cr/</x:v>
      </x:c>
    </x:row>
    <x:row r="218" ht="23" customHeight="1">
      <x:c r="A218" t="str">
        <x:v>OCTG-0217</x:v>
      </x:c>
      <x:c r="B218" t="str">
        <x:v>Nippon Steel</x:v>
      </x:c>
      <x:c r="C218" t="str">
        <x:v>SM-110ES</x:v>
      </x:c>
      <x:c r="D218" t="str">
        <x:v>Carbon / low alloy</x:v>
      </x:c>
      <x:c r="E218" t="str">
        <x:v>Sour service; XS/XSD severe, ES mild/medium severity</x:v>
      </x:c>
      <x:c r="F218" s="82" t="n">
        <x:v>110</x:v>
      </x:c>
      <x:c r="G218" t="str">
        <x:v>No</x:v>
      </x:c>
      <x:c r="H218" t="str">
        <x:v>A</x:v>
      </x:c>
      <x:c r="I218" t="str">
        <x:v>Yes</x:v>
      </x:c>
      <x:c r="J218" t="str">
        <x:v>No</x:v>
      </x:c>
      <x:c r="K218" t="str">
        <x:v>No</x:v>
      </x:c>
      <x:c r="L218" t="str">
        <x:f>IF(F218="","UNKNOWN",IF(F218&lt;'WELL INPUTS'!$B$11,"BELOW","OK"))</x:f>
        <x:v>OK</x:v>
      </x:c>
      <x:c r="M218" t="str">
        <x:f>IF(AND('WELL INPUTS'!$B$4="Wet",'WELL INPUTS'!$B$5&gt;0),IF(I218="Yes","CATALOG SOUR","NOT LISTED"),"N/A")</x:f>
        <x:v>N/A</x:v>
      </x:c>
      <x:c r="N218" t="str">
        <x:f>IF(AND('WELL INPUTS'!$B$4="Wet",'WELL INPUTS'!$B$6&gt;0),IF(J218="Yes","ALLOY FAMILY","CORROSION CONTROL"),"N/A")</x:f>
        <x:v>CORROSION CONTROL</x:v>
      </x:c>
      <x:c r="O218" t="str">
        <x:f>IF('WELL INPUTS'!$B$12="Yes",IF(G218="Yes","CLAIMED","NOT LISTED"),"N/A")</x:f>
        <x:v>N/A</x:v>
      </x:c>
      <x:c r="P218" t="str">
        <x:f>IF(OR('WELL INPUTS'!$B$13="Unrestricted",CODE(H218)&lt;=CODE('WELL INPUTS'!$B$13)),"WITHIN TIER","OVER CAP")</x:f>
        <x:v>WITHIN TIER</x:v>
      </x:c>
      <x:c r="Q218" t="n">
        <x:f>MAX(0,MIN(100,43+IF(L218="OK",14,-20)+IF(M218="CATALOG SOUR",24,IF(M218="NOT LISTED",-18,0))+IF(N218="ALLOY FAMILY",14,IF(N218="CORROSION CONTROL",-13,0))+IF(O218="CLAIMED",17,IF(O218="NOT LISTED",-14,0))+IF(K218="Yes",-15,0)+IF('WELL INPUTS'!$B$10="Yes",-17,0)))</x:f>
        <x:v>44</x:v>
      </x:c>
      <x:c r="R218" s="83" t="str">
        <x:f>IF(L218="BELOW","EXCLUDE — STRENGTH",IF(P218="OVER CAP","EXCLUDE — COST",IF(K218="Yes",IF('WELL INPUTS'!$B$14="No","EXCLUDE — REFERENCE","REFERENCE ONLY"),IF(OR(L218="UNKNOWN",M218="NOT LISTED",N218="CORROSION CONTROL",O218="NOT LISTED",'WELL INPUTS'!$B$10="Yes",'WELL INPUTS'!$B$4="Unknown"),"REVIEW","CANDIDATE — VERIFY"))))</x:f>
        <x:v>REVIEW</x:v>
      </x:c>
      <x:c r="S218" t="str">
        <x:f>IF(L218="BELOW","Increase minimum grade strength",IF(P218="OVER CAP","Relax cost tier or exclude",IF(K218="Yes","Identify qualified manufacturer grade",IF(M218="NOT LISTED","Confirm sour-service claim and ISO 15156",IF(O218="NOT LISTED","Obtain manufacturer collapse curve",IF(N218="CORROSION CONTROL","Model CO2 corrosion; review inhibition","Confirm corrosion, cracking, loads and connection"))))))</x:f>
        <x:v>Model CO2 corrosion; review inhibition</x:v>
      </x:c>
      <x:c r="T218" t="str">
        <x:v>https://www.tubular.nipponsteel.com/octg-material/application-list/sour-service</x:v>
      </x:c>
    </x:row>
    <x:row r="219" ht="23" customHeight="1">
      <x:c r="A219" t="str">
        <x:v>OCTG-0218</x:v>
      </x:c>
      <x:c r="B219" t="str">
        <x:v>Nippon Steel</x:v>
      </x:c>
      <x:c r="C219" t="str">
        <x:v>SM-110T</x:v>
      </x:c>
      <x:c r="D219" t="str">
        <x:v>Carbon / low alloy</x:v>
      </x:c>
      <x:c r="E219" t="str">
        <x:v>High collapse / high strength</x:v>
      </x:c>
      <x:c r="F219" s="82" t="n">
        <x:v>110</x:v>
      </x:c>
      <x:c r="G219" t="str">
        <x:v>Yes</x:v>
      </x:c>
      <x:c r="H219" t="str">
        <x:v>A</x:v>
      </x:c>
      <x:c r="I219" t="str">
        <x:v>No</x:v>
      </x:c>
      <x:c r="J219" t="str">
        <x:v>No</x:v>
      </x:c>
      <x:c r="K219" t="str">
        <x:v>No</x:v>
      </x:c>
      <x:c r="L219" t="str">
        <x:f>IF(F219="","UNKNOWN",IF(F219&lt;'WELL INPUTS'!$B$11,"BELOW","OK"))</x:f>
        <x:v>OK</x:v>
      </x:c>
      <x:c r="M219" t="str">
        <x:f>IF(AND('WELL INPUTS'!$B$4="Wet",'WELL INPUTS'!$B$5&gt;0),IF(I219="Yes","CATALOG SOUR","NOT LISTED"),"N/A")</x:f>
        <x:v>N/A</x:v>
      </x:c>
      <x:c r="N219" t="str">
        <x:f>IF(AND('WELL INPUTS'!$B$4="Wet",'WELL INPUTS'!$B$6&gt;0),IF(J219="Yes","ALLOY FAMILY","CORROSION CONTROL"),"N/A")</x:f>
        <x:v>CORROSION CONTROL</x:v>
      </x:c>
      <x:c r="O219" t="str">
        <x:f>IF('WELL INPUTS'!$B$12="Yes",IF(G219="Yes","CLAIMED","NOT LISTED"),"N/A")</x:f>
        <x:v>N/A</x:v>
      </x:c>
      <x:c r="P219" t="str">
        <x:f>IF(OR('WELL INPUTS'!$B$13="Unrestricted",CODE(H219)&lt;=CODE('WELL INPUTS'!$B$13)),"WITHIN TIER","OVER CAP")</x:f>
        <x:v>WITHIN TIER</x:v>
      </x:c>
      <x:c r="Q219" t="n">
        <x:f>MAX(0,MIN(100,43+IF(L219="OK",14,-20)+IF(M219="CATALOG SOUR",24,IF(M219="NOT LISTED",-18,0))+IF(N219="ALLOY FAMILY",14,IF(N219="CORROSION CONTROL",-13,0))+IF(O219="CLAIMED",17,IF(O219="NOT LISTED",-14,0))+IF(K219="Yes",-15,0)+IF('WELL INPUTS'!$B$10="Yes",-17,0)))</x:f>
        <x:v>44</x:v>
      </x:c>
      <x:c r="R219" s="83" t="str">
        <x:f>IF(L219="BELOW","EXCLUDE — STRENGTH",IF(P219="OVER CAP","EXCLUDE — COST",IF(K219="Yes",IF('WELL INPUTS'!$B$14="No","EXCLUDE — REFERENCE","REFERENCE ONLY"),IF(OR(L219="UNKNOWN",M219="NOT LISTED",N219="CORROSION CONTROL",O219="NOT LISTED",'WELL INPUTS'!$B$10="Yes",'WELL INPUTS'!$B$4="Unknown"),"REVIEW","CANDIDATE — VERIFY"))))</x:f>
        <x:v>REVIEW</x:v>
      </x:c>
      <x:c r="S219" t="str">
        <x:f>IF(L219="BELOW","Increase minimum grade strength",IF(P219="OVER CAP","Relax cost tier or exclude",IF(K219="Yes","Identify qualified manufacturer grade",IF(M219="NOT LISTED","Confirm sour-service claim and ISO 15156",IF(O219="NOT LISTED","Obtain manufacturer collapse curve",IF(N219="CORROSION CONTROL","Model CO2 corrosion; review inhibition","Confirm corrosion, cracking, loads and connection"))))))</x:f>
        <x:v>Model CO2 corrosion; review inhibition</x:v>
      </x:c>
      <x:c r="T219" t="str">
        <x:v>https://www.tubular.nipponsteel.com/octg-material/application-list/high-collapse-high-strength</x:v>
      </x:c>
    </x:row>
    <x:row r="220" ht="23" customHeight="1">
      <x:c r="A220" t="str">
        <x:v>OCTG-0219</x:v>
      </x:c>
      <x:c r="B220" t="str">
        <x:v>Nippon Steel</x:v>
      </x:c>
      <x:c r="C220" t="str">
        <x:v>SM-110TES</x:v>
      </x:c>
      <x:c r="D220" t="str">
        <x:v>Carbon / low alloy</x:v>
      </x:c>
      <x:c r="E220" t="str">
        <x:v>High collapse + sour service (SSC); limits by datasheet</x:v>
      </x:c>
      <x:c r="F220" s="82" t="n">
        <x:v>110</x:v>
      </x:c>
      <x:c r="G220" t="str">
        <x:v>Yes</x:v>
      </x:c>
      <x:c r="H220" t="str">
        <x:v>A</x:v>
      </x:c>
      <x:c r="I220" t="str">
        <x:v>Yes</x:v>
      </x:c>
      <x:c r="J220" t="str">
        <x:v>No</x:v>
      </x:c>
      <x:c r="K220" t="str">
        <x:v>No</x:v>
      </x:c>
      <x:c r="L220" t="str">
        <x:f>IF(F220="","UNKNOWN",IF(F220&lt;'WELL INPUTS'!$B$11,"BELOW","OK"))</x:f>
        <x:v>OK</x:v>
      </x:c>
      <x:c r="M220" t="str">
        <x:f>IF(AND('WELL INPUTS'!$B$4="Wet",'WELL INPUTS'!$B$5&gt;0),IF(I220="Yes","CATALOG SOUR","NOT LISTED"),"N/A")</x:f>
        <x:v>N/A</x:v>
      </x:c>
      <x:c r="N220" t="str">
        <x:f>IF(AND('WELL INPUTS'!$B$4="Wet",'WELL INPUTS'!$B$6&gt;0),IF(J220="Yes","ALLOY FAMILY","CORROSION CONTROL"),"N/A")</x:f>
        <x:v>CORROSION CONTROL</x:v>
      </x:c>
      <x:c r="O220" t="str">
        <x:f>IF('WELL INPUTS'!$B$12="Yes",IF(G220="Yes","CLAIMED","NOT LISTED"),"N/A")</x:f>
        <x:v>N/A</x:v>
      </x:c>
      <x:c r="P220" t="str">
        <x:f>IF(OR('WELL INPUTS'!$B$13="Unrestricted",CODE(H220)&lt;=CODE('WELL INPUTS'!$B$13)),"WITHIN TIER","OVER CAP")</x:f>
        <x:v>WITHIN TIER</x:v>
      </x:c>
      <x:c r="Q220" t="n">
        <x:f>MAX(0,MIN(100,43+IF(L220="OK",14,-20)+IF(M220="CATALOG SOUR",24,IF(M220="NOT LISTED",-18,0))+IF(N220="ALLOY FAMILY",14,IF(N220="CORROSION CONTROL",-13,0))+IF(O220="CLAIMED",17,IF(O220="NOT LISTED",-14,0))+IF(K220="Yes",-15,0)+IF('WELL INPUTS'!$B$10="Yes",-17,0)))</x:f>
        <x:v>44</x:v>
      </x:c>
      <x:c r="R220" s="83" t="str">
        <x:f>IF(L220="BELOW","EXCLUDE — STRENGTH",IF(P220="OVER CAP","EXCLUDE — COST",IF(K220="Yes",IF('WELL INPUTS'!$B$14="No","EXCLUDE — REFERENCE","REFERENCE ONLY"),IF(OR(L220="UNKNOWN",M220="NOT LISTED",N220="CORROSION CONTROL",O220="NOT LISTED",'WELL INPUTS'!$B$10="Yes",'WELL INPUTS'!$B$4="Unknown"),"REVIEW","CANDIDATE — VERIFY"))))</x:f>
        <x:v>REVIEW</x:v>
      </x:c>
      <x:c r="S220" t="str">
        <x:f>IF(L220="BELOW","Increase minimum grade strength",IF(P220="OVER CAP","Relax cost tier or exclude",IF(K220="Yes","Identify qualified manufacturer grade",IF(M220="NOT LISTED","Confirm sour-service claim and ISO 15156",IF(O220="NOT LISTED","Obtain manufacturer collapse curve",IF(N220="CORROSION CONTROL","Model CO2 corrosion; review inhibition","Confirm corrosion, cracking, loads and connection"))))))</x:f>
        <x:v>Model CO2 corrosion; review inhibition</x:v>
      </x:c>
      <x:c r="T220" t="str">
        <x:v>https://www.tubular.nipponsteel.com/octg-material/application-list/high-collapse-sour-service</x:v>
      </x:c>
    </x:row>
    <x:row r="221" ht="23" customHeight="1">
      <x:c r="A221" t="str">
        <x:v>OCTG-0220</x:v>
      </x:c>
      <x:c r="B221" t="str">
        <x:v>Nippon Steel</x:v>
      </x:c>
      <x:c r="C221" t="str">
        <x:v>SM-110TT</x:v>
      </x:c>
      <x:c r="D221" t="str">
        <x:v>Carbon / low alloy</x:v>
      </x:c>
      <x:c r="E221" t="str">
        <x:v>High collapse / high strength</x:v>
      </x:c>
      <x:c r="F221" s="82" t="n">
        <x:v>110</x:v>
      </x:c>
      <x:c r="G221" t="str">
        <x:v>Yes</x:v>
      </x:c>
      <x:c r="H221" t="str">
        <x:v>A</x:v>
      </x:c>
      <x:c r="I221" t="str">
        <x:v>No</x:v>
      </x:c>
      <x:c r="J221" t="str">
        <x:v>No</x:v>
      </x:c>
      <x:c r="K221" t="str">
        <x:v>No</x:v>
      </x:c>
      <x:c r="L221" t="str">
        <x:f>IF(F221="","UNKNOWN",IF(F221&lt;'WELL INPUTS'!$B$11,"BELOW","OK"))</x:f>
        <x:v>OK</x:v>
      </x:c>
      <x:c r="M221" t="str">
        <x:f>IF(AND('WELL INPUTS'!$B$4="Wet",'WELL INPUTS'!$B$5&gt;0),IF(I221="Yes","CATALOG SOUR","NOT LISTED"),"N/A")</x:f>
        <x:v>N/A</x:v>
      </x:c>
      <x:c r="N221" t="str">
        <x:f>IF(AND('WELL INPUTS'!$B$4="Wet",'WELL INPUTS'!$B$6&gt;0),IF(J221="Yes","ALLOY FAMILY","CORROSION CONTROL"),"N/A")</x:f>
        <x:v>CORROSION CONTROL</x:v>
      </x:c>
      <x:c r="O221" t="str">
        <x:f>IF('WELL INPUTS'!$B$12="Yes",IF(G221="Yes","CLAIMED","NOT LISTED"),"N/A")</x:f>
        <x:v>N/A</x:v>
      </x:c>
      <x:c r="P221" t="str">
        <x:f>IF(OR('WELL INPUTS'!$B$13="Unrestricted",CODE(H221)&lt;=CODE('WELL INPUTS'!$B$13)),"WITHIN TIER","OVER CAP")</x:f>
        <x:v>WITHIN TIER</x:v>
      </x:c>
      <x:c r="Q221" t="n">
        <x:f>MAX(0,MIN(100,43+IF(L221="OK",14,-20)+IF(M221="CATALOG SOUR",24,IF(M221="NOT LISTED",-18,0))+IF(N221="ALLOY FAMILY",14,IF(N221="CORROSION CONTROL",-13,0))+IF(O221="CLAIMED",17,IF(O221="NOT LISTED",-14,0))+IF(K221="Yes",-15,0)+IF('WELL INPUTS'!$B$10="Yes",-17,0)))</x:f>
        <x:v>44</x:v>
      </x:c>
      <x:c r="R221" s="83" t="str">
        <x:f>IF(L221="BELOW","EXCLUDE — STRENGTH",IF(P221="OVER CAP","EXCLUDE — COST",IF(K221="Yes",IF('WELL INPUTS'!$B$14="No","EXCLUDE — REFERENCE","REFERENCE ONLY"),IF(OR(L221="UNKNOWN",M221="NOT LISTED",N221="CORROSION CONTROL",O221="NOT LISTED",'WELL INPUTS'!$B$10="Yes",'WELL INPUTS'!$B$4="Unknown"),"REVIEW","CANDIDATE — VERIFY"))))</x:f>
        <x:v>REVIEW</x:v>
      </x:c>
      <x:c r="S221" t="str">
        <x:f>IF(L221="BELOW","Increase minimum grade strength",IF(P221="OVER CAP","Relax cost tier or exclude",IF(K221="Yes","Identify qualified manufacturer grade",IF(M221="NOT LISTED","Confirm sour-service claim and ISO 15156",IF(O221="NOT LISTED","Obtain manufacturer collapse curve",IF(N221="CORROSION CONTROL","Model CO2 corrosion; review inhibition","Confirm corrosion, cracking, loads and connection"))))))</x:f>
        <x:v>Model CO2 corrosion; review inhibition</x:v>
      </x:c>
      <x:c r="T221" t="str">
        <x:v>https://www.tubular.nipponsteel.com/octg-material/application-list/high-collapse-high-strength</x:v>
      </x:c>
    </x:row>
    <x:row r="222" ht="23" customHeight="1">
      <x:c r="A222" t="str">
        <x:v>OCTG-0221</x:v>
      </x:c>
      <x:c r="B222" t="str">
        <x:v>Nippon Steel</x:v>
      </x:c>
      <x:c r="C222" t="str">
        <x:v>SM-110TXS</x:v>
      </x:c>
      <x:c r="D222" t="str">
        <x:v>Carbon / low alloy</x:v>
      </x:c>
      <x:c r="E222" t="str">
        <x:v>High collapse + sour service (SSC); limits by datasheet</x:v>
      </x:c>
      <x:c r="F222" s="82" t="n">
        <x:v>110</x:v>
      </x:c>
      <x:c r="G222" t="str">
        <x:v>Yes</x:v>
      </x:c>
      <x:c r="H222" t="str">
        <x:v>A</x:v>
      </x:c>
      <x:c r="I222" t="str">
        <x:v>Yes</x:v>
      </x:c>
      <x:c r="J222" t="str">
        <x:v>No</x:v>
      </x:c>
      <x:c r="K222" t="str">
        <x:v>No</x:v>
      </x:c>
      <x:c r="L222" t="str">
        <x:f>IF(F222="","UNKNOWN",IF(F222&lt;'WELL INPUTS'!$B$11,"BELOW","OK"))</x:f>
        <x:v>OK</x:v>
      </x:c>
      <x:c r="M222" t="str">
        <x:f>IF(AND('WELL INPUTS'!$B$4="Wet",'WELL INPUTS'!$B$5&gt;0),IF(I222="Yes","CATALOG SOUR","NOT LISTED"),"N/A")</x:f>
        <x:v>N/A</x:v>
      </x:c>
      <x:c r="N222" t="str">
        <x:f>IF(AND('WELL INPUTS'!$B$4="Wet",'WELL INPUTS'!$B$6&gt;0),IF(J222="Yes","ALLOY FAMILY","CORROSION CONTROL"),"N/A")</x:f>
        <x:v>CORROSION CONTROL</x:v>
      </x:c>
      <x:c r="O222" t="str">
        <x:f>IF('WELL INPUTS'!$B$12="Yes",IF(G222="Yes","CLAIMED","NOT LISTED"),"N/A")</x:f>
        <x:v>N/A</x:v>
      </x:c>
      <x:c r="P222" t="str">
        <x:f>IF(OR('WELL INPUTS'!$B$13="Unrestricted",CODE(H222)&lt;=CODE('WELL INPUTS'!$B$13)),"WITHIN TIER","OVER CAP")</x:f>
        <x:v>WITHIN TIER</x:v>
      </x:c>
      <x:c r="Q222" t="n">
        <x:f>MAX(0,MIN(100,43+IF(L222="OK",14,-20)+IF(M222="CATALOG SOUR",24,IF(M222="NOT LISTED",-18,0))+IF(N222="ALLOY FAMILY",14,IF(N222="CORROSION CONTROL",-13,0))+IF(O222="CLAIMED",17,IF(O222="NOT LISTED",-14,0))+IF(K222="Yes",-15,0)+IF('WELL INPUTS'!$B$10="Yes",-17,0)))</x:f>
        <x:v>44</x:v>
      </x:c>
      <x:c r="R222" s="83" t="str">
        <x:f>IF(L222="BELOW","EXCLUDE — STRENGTH",IF(P222="OVER CAP","EXCLUDE — COST",IF(K222="Yes",IF('WELL INPUTS'!$B$14="No","EXCLUDE — REFERENCE","REFERENCE ONLY"),IF(OR(L222="UNKNOWN",M222="NOT LISTED",N222="CORROSION CONTROL",O222="NOT LISTED",'WELL INPUTS'!$B$10="Yes",'WELL INPUTS'!$B$4="Unknown"),"REVIEW","CANDIDATE — VERIFY"))))</x:f>
        <x:v>REVIEW</x:v>
      </x:c>
      <x:c r="S222" t="str">
        <x:f>IF(L222="BELOW","Increase minimum grade strength",IF(P222="OVER CAP","Relax cost tier or exclude",IF(K222="Yes","Identify qualified manufacturer grade",IF(M222="NOT LISTED","Confirm sour-service claim and ISO 15156",IF(O222="NOT LISTED","Obtain manufacturer collapse curve",IF(N222="CORROSION CONTROL","Model CO2 corrosion; review inhibition","Confirm corrosion, cracking, loads and connection"))))))</x:f>
        <x:v>Model CO2 corrosion; review inhibition</x:v>
      </x:c>
      <x:c r="T222" t="str">
        <x:v>https://www.tubular.nipponsteel.com/octg-material/application-list/high-collapse-sour-service</x:v>
      </x:c>
    </x:row>
    <x:row r="223" ht="23" customHeight="1">
      <x:c r="A223" t="str">
        <x:v>OCTG-0222</x:v>
      </x:c>
      <x:c r="B223" t="str">
        <x:v>Nippon Steel</x:v>
      </x:c>
      <x:c r="C223" t="str">
        <x:v>SM-110TXSD</x:v>
      </x:c>
      <x:c r="D223" t="str">
        <x:v>Carbon / low alloy</x:v>
      </x:c>
      <x:c r="E223" t="str">
        <x:v>High collapse + sour service (SSC); limits by datasheet</x:v>
      </x:c>
      <x:c r="F223" s="82" t="n">
        <x:v>110</x:v>
      </x:c>
      <x:c r="G223" t="str">
        <x:v>Yes</x:v>
      </x:c>
      <x:c r="H223" t="str">
        <x:v>A</x:v>
      </x:c>
      <x:c r="I223" t="str">
        <x:v>Yes</x:v>
      </x:c>
      <x:c r="J223" t="str">
        <x:v>No</x:v>
      </x:c>
      <x:c r="K223" t="str">
        <x:v>No</x:v>
      </x:c>
      <x:c r="L223" t="str">
        <x:f>IF(F223="","UNKNOWN",IF(F223&lt;'WELL INPUTS'!$B$11,"BELOW","OK"))</x:f>
        <x:v>OK</x:v>
      </x:c>
      <x:c r="M223" t="str">
        <x:f>IF(AND('WELL INPUTS'!$B$4="Wet",'WELL INPUTS'!$B$5&gt;0),IF(I223="Yes","CATALOG SOUR","NOT LISTED"),"N/A")</x:f>
        <x:v>N/A</x:v>
      </x:c>
      <x:c r="N223" t="str">
        <x:f>IF(AND('WELL INPUTS'!$B$4="Wet",'WELL INPUTS'!$B$6&gt;0),IF(J223="Yes","ALLOY FAMILY","CORROSION CONTROL"),"N/A")</x:f>
        <x:v>CORROSION CONTROL</x:v>
      </x:c>
      <x:c r="O223" t="str">
        <x:f>IF('WELL INPUTS'!$B$12="Yes",IF(G223="Yes","CLAIMED","NOT LISTED"),"N/A")</x:f>
        <x:v>N/A</x:v>
      </x:c>
      <x:c r="P223" t="str">
        <x:f>IF(OR('WELL INPUTS'!$B$13="Unrestricted",CODE(H223)&lt;=CODE('WELL INPUTS'!$B$13)),"WITHIN TIER","OVER CAP")</x:f>
        <x:v>WITHIN TIER</x:v>
      </x:c>
      <x:c r="Q223" t="n">
        <x:f>MAX(0,MIN(100,43+IF(L223="OK",14,-20)+IF(M223="CATALOG SOUR",24,IF(M223="NOT LISTED",-18,0))+IF(N223="ALLOY FAMILY",14,IF(N223="CORROSION CONTROL",-13,0))+IF(O223="CLAIMED",17,IF(O223="NOT LISTED",-14,0))+IF(K223="Yes",-15,0)+IF('WELL INPUTS'!$B$10="Yes",-17,0)))</x:f>
        <x:v>44</x:v>
      </x:c>
      <x:c r="R223" s="83" t="str">
        <x:f>IF(L223="BELOW","EXCLUDE — STRENGTH",IF(P223="OVER CAP","EXCLUDE — COST",IF(K223="Yes",IF('WELL INPUTS'!$B$14="No","EXCLUDE — REFERENCE","REFERENCE ONLY"),IF(OR(L223="UNKNOWN",M223="NOT LISTED",N223="CORROSION CONTROL",O223="NOT LISTED",'WELL INPUTS'!$B$10="Yes",'WELL INPUTS'!$B$4="Unknown"),"REVIEW","CANDIDATE — VERIFY"))))</x:f>
        <x:v>REVIEW</x:v>
      </x:c>
      <x:c r="S223" t="str">
        <x:f>IF(L223="BELOW","Increase minimum grade strength",IF(P223="OVER CAP","Relax cost tier or exclude",IF(K223="Yes","Identify qualified manufacturer grade",IF(M223="NOT LISTED","Confirm sour-service claim and ISO 15156",IF(O223="NOT LISTED","Obtain manufacturer collapse curve",IF(N223="CORROSION CONTROL","Model CO2 corrosion; review inhibition","Confirm corrosion, cracking, loads and connection"))))))</x:f>
        <x:v>Model CO2 corrosion; review inhibition</x:v>
      </x:c>
      <x:c r="T223" t="str">
        <x:v>https://www.tubular.nipponsteel.com/octg-material/application-list/high-collapse-sour-service</x:v>
      </x:c>
    </x:row>
    <x:row r="224" ht="23" customHeight="1">
      <x:c r="A224" t="str">
        <x:v>OCTG-0223</x:v>
      </x:c>
      <x:c r="B224" t="str">
        <x:v>Nippon Steel</x:v>
      </x:c>
      <x:c r="C224" t="str">
        <x:v>SM-110XS</x:v>
      </x:c>
      <x:c r="D224" t="str">
        <x:v>Carbon / low alloy</x:v>
      </x:c>
      <x:c r="E224" t="str">
        <x:v>Sour service; XS/XSD severe, ES mild/medium severity</x:v>
      </x:c>
      <x:c r="F224" s="82" t="n">
        <x:v>110</x:v>
      </x:c>
      <x:c r="G224" t="str">
        <x:v>No</x:v>
      </x:c>
      <x:c r="H224" t="str">
        <x:v>A</x:v>
      </x:c>
      <x:c r="I224" t="str">
        <x:v>Yes</x:v>
      </x:c>
      <x:c r="J224" t="str">
        <x:v>No</x:v>
      </x:c>
      <x:c r="K224" t="str">
        <x:v>No</x:v>
      </x:c>
      <x:c r="L224" t="str">
        <x:f>IF(F224="","UNKNOWN",IF(F224&lt;'WELL INPUTS'!$B$11,"BELOW","OK"))</x:f>
        <x:v>OK</x:v>
      </x:c>
      <x:c r="M224" t="str">
        <x:f>IF(AND('WELL INPUTS'!$B$4="Wet",'WELL INPUTS'!$B$5&gt;0),IF(I224="Yes","CATALOG SOUR","NOT LISTED"),"N/A")</x:f>
        <x:v>N/A</x:v>
      </x:c>
      <x:c r="N224" t="str">
        <x:f>IF(AND('WELL INPUTS'!$B$4="Wet",'WELL INPUTS'!$B$6&gt;0),IF(J224="Yes","ALLOY FAMILY","CORROSION CONTROL"),"N/A")</x:f>
        <x:v>CORROSION CONTROL</x:v>
      </x:c>
      <x:c r="O224" t="str">
        <x:f>IF('WELL INPUTS'!$B$12="Yes",IF(G224="Yes","CLAIMED","NOT LISTED"),"N/A")</x:f>
        <x:v>N/A</x:v>
      </x:c>
      <x:c r="P224" t="str">
        <x:f>IF(OR('WELL INPUTS'!$B$13="Unrestricted",CODE(H224)&lt;=CODE('WELL INPUTS'!$B$13)),"WITHIN TIER","OVER CAP")</x:f>
        <x:v>WITHIN TIER</x:v>
      </x:c>
      <x:c r="Q224" t="n">
        <x:f>MAX(0,MIN(100,43+IF(L224="OK",14,-20)+IF(M224="CATALOG SOUR",24,IF(M224="NOT LISTED",-18,0))+IF(N224="ALLOY FAMILY",14,IF(N224="CORROSION CONTROL",-13,0))+IF(O224="CLAIMED",17,IF(O224="NOT LISTED",-14,0))+IF(K224="Yes",-15,0)+IF('WELL INPUTS'!$B$10="Yes",-17,0)))</x:f>
        <x:v>44</x:v>
      </x:c>
      <x:c r="R224" s="83" t="str">
        <x:f>IF(L224="BELOW","EXCLUDE — STRENGTH",IF(P224="OVER CAP","EXCLUDE — COST",IF(K224="Yes",IF('WELL INPUTS'!$B$14="No","EXCLUDE — REFERENCE","REFERENCE ONLY"),IF(OR(L224="UNKNOWN",M224="NOT LISTED",N224="CORROSION CONTROL",O224="NOT LISTED",'WELL INPUTS'!$B$10="Yes",'WELL INPUTS'!$B$4="Unknown"),"REVIEW","CANDIDATE — VERIFY"))))</x:f>
        <x:v>REVIEW</x:v>
      </x:c>
      <x:c r="S224" t="str">
        <x:f>IF(L224="BELOW","Increase minimum grade strength",IF(P224="OVER CAP","Relax cost tier or exclude",IF(K224="Yes","Identify qualified manufacturer grade",IF(M224="NOT LISTED","Confirm sour-service claim and ISO 15156",IF(O224="NOT LISTED","Obtain manufacturer collapse curve",IF(N224="CORROSION CONTROL","Model CO2 corrosion; review inhibition","Confirm corrosion, cracking, loads and connection"))))))</x:f>
        <x:v>Model CO2 corrosion; review inhibition</x:v>
      </x:c>
      <x:c r="T224" t="str">
        <x:v>https://www.tubular.nipponsteel.com/octg-material/application-list/sour-service</x:v>
      </x:c>
    </x:row>
    <x:row r="225" ht="23" customHeight="1">
      <x:c r="A225" t="str">
        <x:v>OCTG-0224</x:v>
      </x:c>
      <x:c r="B225" t="str">
        <x:v>Nippon Steel</x:v>
      </x:c>
      <x:c r="C225" t="str">
        <x:v>SM-110XSD</x:v>
      </x:c>
      <x:c r="D225" t="str">
        <x:v>Carbon / low alloy</x:v>
      </x:c>
      <x:c r="E225" t="str">
        <x:v>Sour service; XS/XSD severe, ES mild/medium severity</x:v>
      </x:c>
      <x:c r="F225" s="82" t="n">
        <x:v>110</x:v>
      </x:c>
      <x:c r="G225" t="str">
        <x:v>No</x:v>
      </x:c>
      <x:c r="H225" t="str">
        <x:v>A</x:v>
      </x:c>
      <x:c r="I225" t="str">
        <x:v>Yes</x:v>
      </x:c>
      <x:c r="J225" t="str">
        <x:v>No</x:v>
      </x:c>
      <x:c r="K225" t="str">
        <x:v>No</x:v>
      </x:c>
      <x:c r="L225" t="str">
        <x:f>IF(F225="","UNKNOWN",IF(F225&lt;'WELL INPUTS'!$B$11,"BELOW","OK"))</x:f>
        <x:v>OK</x:v>
      </x:c>
      <x:c r="M225" t="str">
        <x:f>IF(AND('WELL INPUTS'!$B$4="Wet",'WELL INPUTS'!$B$5&gt;0),IF(I225="Yes","CATALOG SOUR","NOT LISTED"),"N/A")</x:f>
        <x:v>N/A</x:v>
      </x:c>
      <x:c r="N225" t="str">
        <x:f>IF(AND('WELL INPUTS'!$B$4="Wet",'WELL INPUTS'!$B$6&gt;0),IF(J225="Yes","ALLOY FAMILY","CORROSION CONTROL"),"N/A")</x:f>
        <x:v>CORROSION CONTROL</x:v>
      </x:c>
      <x:c r="O225" t="str">
        <x:f>IF('WELL INPUTS'!$B$12="Yes",IF(G225="Yes","CLAIMED","NOT LISTED"),"N/A")</x:f>
        <x:v>N/A</x:v>
      </x:c>
      <x:c r="P225" t="str">
        <x:f>IF(OR('WELL INPUTS'!$B$13="Unrestricted",CODE(H225)&lt;=CODE('WELL INPUTS'!$B$13)),"WITHIN TIER","OVER CAP")</x:f>
        <x:v>WITHIN TIER</x:v>
      </x:c>
      <x:c r="Q225" t="n">
        <x:f>MAX(0,MIN(100,43+IF(L225="OK",14,-20)+IF(M225="CATALOG SOUR",24,IF(M225="NOT LISTED",-18,0))+IF(N225="ALLOY FAMILY",14,IF(N225="CORROSION CONTROL",-13,0))+IF(O225="CLAIMED",17,IF(O225="NOT LISTED",-14,0))+IF(K225="Yes",-15,0)+IF('WELL INPUTS'!$B$10="Yes",-17,0)))</x:f>
        <x:v>44</x:v>
      </x:c>
      <x:c r="R225" s="83" t="str">
        <x:f>IF(L225="BELOW","EXCLUDE — STRENGTH",IF(P225="OVER CAP","EXCLUDE — COST",IF(K225="Yes",IF('WELL INPUTS'!$B$14="No","EXCLUDE — REFERENCE","REFERENCE ONLY"),IF(OR(L225="UNKNOWN",M225="NOT LISTED",N225="CORROSION CONTROL",O225="NOT LISTED",'WELL INPUTS'!$B$10="Yes",'WELL INPUTS'!$B$4="Unknown"),"REVIEW","CANDIDATE — VERIFY"))))</x:f>
        <x:v>REVIEW</x:v>
      </x:c>
      <x:c r="S225" t="str">
        <x:f>IF(L225="BELOW","Increase minimum grade strength",IF(P225="OVER CAP","Relax cost tier or exclude",IF(K225="Yes","Identify qualified manufacturer grade",IF(M225="NOT LISTED","Confirm sour-service claim and ISO 15156",IF(O225="NOT LISTED","Obtain manufacturer collapse curve",IF(N225="CORROSION CONTROL","Model CO2 corrosion; review inhibition","Confirm corrosion, cracking, loads and connection"))))))</x:f>
        <x:v>Model CO2 corrosion; review inhibition</x:v>
      </x:c>
      <x:c r="T225" t="str">
        <x:v>https://www.tubular.nipponsteel.com/octg-material/application-list/sour-service</x:v>
      </x:c>
    </x:row>
    <x:row r="226" ht="23" customHeight="1">
      <x:c r="A226" t="str">
        <x:v>OCTG-0225</x:v>
      </x:c>
      <x:c r="B226" t="str">
        <x:v>Nippon Steel</x:v>
      </x:c>
      <x:c r="C226" t="str">
        <x:v>SM-125ES</x:v>
      </x:c>
      <x:c r="D226" t="str">
        <x:v>Carbon / low alloy</x:v>
      </x:c>
      <x:c r="E226" t="str">
        <x:v>Sour service; XS/XSD severe, ES mild/medium severity</x:v>
      </x:c>
      <x:c r="F226" s="82" t="n">
        <x:v>125</x:v>
      </x:c>
      <x:c r="G226" t="str">
        <x:v>No</x:v>
      </x:c>
      <x:c r="H226" t="str">
        <x:v>A</x:v>
      </x:c>
      <x:c r="I226" t="str">
        <x:v>Yes</x:v>
      </x:c>
      <x:c r="J226" t="str">
        <x:v>No</x:v>
      </x:c>
      <x:c r="K226" t="str">
        <x:v>No</x:v>
      </x:c>
      <x:c r="L226" t="str">
        <x:f>IF(F226="","UNKNOWN",IF(F226&lt;'WELL INPUTS'!$B$11,"BELOW","OK"))</x:f>
        <x:v>OK</x:v>
      </x:c>
      <x:c r="M226" t="str">
        <x:f>IF(AND('WELL INPUTS'!$B$4="Wet",'WELL INPUTS'!$B$5&gt;0),IF(I226="Yes","CATALOG SOUR","NOT LISTED"),"N/A")</x:f>
        <x:v>N/A</x:v>
      </x:c>
      <x:c r="N226" t="str">
        <x:f>IF(AND('WELL INPUTS'!$B$4="Wet",'WELL INPUTS'!$B$6&gt;0),IF(J226="Yes","ALLOY FAMILY","CORROSION CONTROL"),"N/A")</x:f>
        <x:v>CORROSION CONTROL</x:v>
      </x:c>
      <x:c r="O226" t="str">
        <x:f>IF('WELL INPUTS'!$B$12="Yes",IF(G226="Yes","CLAIMED","NOT LISTED"),"N/A")</x:f>
        <x:v>N/A</x:v>
      </x:c>
      <x:c r="P226" t="str">
        <x:f>IF(OR('WELL INPUTS'!$B$13="Unrestricted",CODE(H226)&lt;=CODE('WELL INPUTS'!$B$13)),"WITHIN TIER","OVER CAP")</x:f>
        <x:v>WITHIN TIER</x:v>
      </x:c>
      <x:c r="Q226" t="n">
        <x:f>MAX(0,MIN(100,43+IF(L226="OK",14,-20)+IF(M226="CATALOG SOUR",24,IF(M226="NOT LISTED",-18,0))+IF(N226="ALLOY FAMILY",14,IF(N226="CORROSION CONTROL",-13,0))+IF(O226="CLAIMED",17,IF(O226="NOT LISTED",-14,0))+IF(K226="Yes",-15,0)+IF('WELL INPUTS'!$B$10="Yes",-17,0)))</x:f>
        <x:v>44</x:v>
      </x:c>
      <x:c r="R226" s="83" t="str">
        <x:f>IF(L226="BELOW","EXCLUDE — STRENGTH",IF(P226="OVER CAP","EXCLUDE — COST",IF(K226="Yes",IF('WELL INPUTS'!$B$14="No","EXCLUDE — REFERENCE","REFERENCE ONLY"),IF(OR(L226="UNKNOWN",M226="NOT LISTED",N226="CORROSION CONTROL",O226="NOT LISTED",'WELL INPUTS'!$B$10="Yes",'WELL INPUTS'!$B$4="Unknown"),"REVIEW","CANDIDATE — VERIFY"))))</x:f>
        <x:v>REVIEW</x:v>
      </x:c>
      <x:c r="S226" t="str">
        <x:f>IF(L226="BELOW","Increase minimum grade strength",IF(P226="OVER CAP","Relax cost tier or exclude",IF(K226="Yes","Identify qualified manufacturer grade",IF(M226="NOT LISTED","Confirm sour-service claim and ISO 15156",IF(O226="NOT LISTED","Obtain manufacturer collapse curve",IF(N226="CORROSION CONTROL","Model CO2 corrosion; review inhibition","Confirm corrosion, cracking, loads and connection"))))))</x:f>
        <x:v>Model CO2 corrosion; review inhibition</x:v>
      </x:c>
      <x:c r="T226" t="str">
        <x:v>https://www.tubular.nipponsteel.com/octg-material/application-list/sour-service</x:v>
      </x:c>
    </x:row>
    <x:row r="227" ht="23" customHeight="1">
      <x:c r="A227" t="str">
        <x:v>OCTG-0226</x:v>
      </x:c>
      <x:c r="B227" t="str">
        <x:v>Nippon Steel</x:v>
      </x:c>
      <x:c r="C227" t="str">
        <x:v>SM-125S</x:v>
      </x:c>
      <x:c r="D227" t="str">
        <x:v>Carbon / low alloy</x:v>
      </x:c>
      <x:c r="E227" t="str">
        <x:v>Sour service; XS/XSD severe, ES mild/medium severity</x:v>
      </x:c>
      <x:c r="F227" s="82" t="n">
        <x:v>125</x:v>
      </x:c>
      <x:c r="G227" t="str">
        <x:v>No</x:v>
      </x:c>
      <x:c r="H227" t="str">
        <x:v>A</x:v>
      </x:c>
      <x:c r="I227" t="str">
        <x:v>Yes</x:v>
      </x:c>
      <x:c r="J227" t="str">
        <x:v>No</x:v>
      </x:c>
      <x:c r="K227" t="str">
        <x:v>No</x:v>
      </x:c>
      <x:c r="L227" t="str">
        <x:f>IF(F227="","UNKNOWN",IF(F227&lt;'WELL INPUTS'!$B$11,"BELOW","OK"))</x:f>
        <x:v>OK</x:v>
      </x:c>
      <x:c r="M227" t="str">
        <x:f>IF(AND('WELL INPUTS'!$B$4="Wet",'WELL INPUTS'!$B$5&gt;0),IF(I227="Yes","CATALOG SOUR","NOT LISTED"),"N/A")</x:f>
        <x:v>N/A</x:v>
      </x:c>
      <x:c r="N227" t="str">
        <x:f>IF(AND('WELL INPUTS'!$B$4="Wet",'WELL INPUTS'!$B$6&gt;0),IF(J227="Yes","ALLOY FAMILY","CORROSION CONTROL"),"N/A")</x:f>
        <x:v>CORROSION CONTROL</x:v>
      </x:c>
      <x:c r="O227" t="str">
        <x:f>IF('WELL INPUTS'!$B$12="Yes",IF(G227="Yes","CLAIMED","NOT LISTED"),"N/A")</x:f>
        <x:v>N/A</x:v>
      </x:c>
      <x:c r="P227" t="str">
        <x:f>IF(OR('WELL INPUTS'!$B$13="Unrestricted",CODE(H227)&lt;=CODE('WELL INPUTS'!$B$13)),"WITHIN TIER","OVER CAP")</x:f>
        <x:v>WITHIN TIER</x:v>
      </x:c>
      <x:c r="Q227" t="n">
        <x:f>MAX(0,MIN(100,43+IF(L227="OK",14,-20)+IF(M227="CATALOG SOUR",24,IF(M227="NOT LISTED",-18,0))+IF(N227="ALLOY FAMILY",14,IF(N227="CORROSION CONTROL",-13,0))+IF(O227="CLAIMED",17,IF(O227="NOT LISTED",-14,0))+IF(K227="Yes",-15,0)+IF('WELL INPUTS'!$B$10="Yes",-17,0)))</x:f>
        <x:v>44</x:v>
      </x:c>
      <x:c r="R227" s="83" t="str">
        <x:f>IF(L227="BELOW","EXCLUDE — STRENGTH",IF(P227="OVER CAP","EXCLUDE — COST",IF(K227="Yes",IF('WELL INPUTS'!$B$14="No","EXCLUDE — REFERENCE","REFERENCE ONLY"),IF(OR(L227="UNKNOWN",M227="NOT LISTED",N227="CORROSION CONTROL",O227="NOT LISTED",'WELL INPUTS'!$B$10="Yes",'WELL INPUTS'!$B$4="Unknown"),"REVIEW","CANDIDATE — VERIFY"))))</x:f>
        <x:v>REVIEW</x:v>
      </x:c>
      <x:c r="S227" t="str">
        <x:f>IF(L227="BELOW","Increase minimum grade strength",IF(P227="OVER CAP","Relax cost tier or exclude",IF(K227="Yes","Identify qualified manufacturer grade",IF(M227="NOT LISTED","Confirm sour-service claim and ISO 15156",IF(O227="NOT LISTED","Obtain manufacturer collapse curve",IF(N227="CORROSION CONTROL","Model CO2 corrosion; review inhibition","Confirm corrosion, cracking, loads and connection"))))))</x:f>
        <x:v>Model CO2 corrosion; review inhibition</x:v>
      </x:c>
      <x:c r="T227" t="str">
        <x:v>https://www.tubular.nipponsteel.com/octg-material/application-list/sour-service</x:v>
      </x:c>
    </x:row>
    <x:row r="228" ht="23" customHeight="1">
      <x:c r="A228" t="str">
        <x:v>OCTG-0227</x:v>
      </x:c>
      <x:c r="B228" t="str">
        <x:v>Nippon Steel</x:v>
      </x:c>
      <x:c r="C228" t="str">
        <x:v>SM-125TES</x:v>
      </x:c>
      <x:c r="D228" t="str">
        <x:v>Carbon / low alloy</x:v>
      </x:c>
      <x:c r="E228" t="str">
        <x:v>High collapse + sour service (SSC); limits by datasheet</x:v>
      </x:c>
      <x:c r="F228" s="82" t="n">
        <x:v>125</x:v>
      </x:c>
      <x:c r="G228" t="str">
        <x:v>Yes</x:v>
      </x:c>
      <x:c r="H228" t="str">
        <x:v>A</x:v>
      </x:c>
      <x:c r="I228" t="str">
        <x:v>Yes</x:v>
      </x:c>
      <x:c r="J228" t="str">
        <x:v>No</x:v>
      </x:c>
      <x:c r="K228" t="str">
        <x:v>No</x:v>
      </x:c>
      <x:c r="L228" t="str">
        <x:f>IF(F228="","UNKNOWN",IF(F228&lt;'WELL INPUTS'!$B$11,"BELOW","OK"))</x:f>
        <x:v>OK</x:v>
      </x:c>
      <x:c r="M228" t="str">
        <x:f>IF(AND('WELL INPUTS'!$B$4="Wet",'WELL INPUTS'!$B$5&gt;0),IF(I228="Yes","CATALOG SOUR","NOT LISTED"),"N/A")</x:f>
        <x:v>N/A</x:v>
      </x:c>
      <x:c r="N228" t="str">
        <x:f>IF(AND('WELL INPUTS'!$B$4="Wet",'WELL INPUTS'!$B$6&gt;0),IF(J228="Yes","ALLOY FAMILY","CORROSION CONTROL"),"N/A")</x:f>
        <x:v>CORROSION CONTROL</x:v>
      </x:c>
      <x:c r="O228" t="str">
        <x:f>IF('WELL INPUTS'!$B$12="Yes",IF(G228="Yes","CLAIMED","NOT LISTED"),"N/A")</x:f>
        <x:v>N/A</x:v>
      </x:c>
      <x:c r="P228" t="str">
        <x:f>IF(OR('WELL INPUTS'!$B$13="Unrestricted",CODE(H228)&lt;=CODE('WELL INPUTS'!$B$13)),"WITHIN TIER","OVER CAP")</x:f>
        <x:v>WITHIN TIER</x:v>
      </x:c>
      <x:c r="Q228" t="n">
        <x:f>MAX(0,MIN(100,43+IF(L228="OK",14,-20)+IF(M228="CATALOG SOUR",24,IF(M228="NOT LISTED",-18,0))+IF(N228="ALLOY FAMILY",14,IF(N228="CORROSION CONTROL",-13,0))+IF(O228="CLAIMED",17,IF(O228="NOT LISTED",-14,0))+IF(K228="Yes",-15,0)+IF('WELL INPUTS'!$B$10="Yes",-17,0)))</x:f>
        <x:v>44</x:v>
      </x:c>
      <x:c r="R228" s="83" t="str">
        <x:f>IF(L228="BELOW","EXCLUDE — STRENGTH",IF(P228="OVER CAP","EXCLUDE — COST",IF(K228="Yes",IF('WELL INPUTS'!$B$14="No","EXCLUDE — REFERENCE","REFERENCE ONLY"),IF(OR(L228="UNKNOWN",M228="NOT LISTED",N228="CORROSION CONTROL",O228="NOT LISTED",'WELL INPUTS'!$B$10="Yes",'WELL INPUTS'!$B$4="Unknown"),"REVIEW","CANDIDATE — VERIFY"))))</x:f>
        <x:v>REVIEW</x:v>
      </x:c>
      <x:c r="S228" t="str">
        <x:f>IF(L228="BELOW","Increase minimum grade strength",IF(P228="OVER CAP","Relax cost tier or exclude",IF(K228="Yes","Identify qualified manufacturer grade",IF(M228="NOT LISTED","Confirm sour-service claim and ISO 15156",IF(O228="NOT LISTED","Obtain manufacturer collapse curve",IF(N228="CORROSION CONTROL","Model CO2 corrosion; review inhibition","Confirm corrosion, cracking, loads and connection"))))))</x:f>
        <x:v>Model CO2 corrosion; review inhibition</x:v>
      </x:c>
      <x:c r="T228" t="str">
        <x:v>https://www.tubular.nipponsteel.com/octg-material/application-list/high-collapse-sour-service</x:v>
      </x:c>
    </x:row>
    <x:row r="229" ht="23" customHeight="1">
      <x:c r="A229" t="str">
        <x:v>OCTG-0228</x:v>
      </x:c>
      <x:c r="B229" t="str">
        <x:v>Nippon Steel</x:v>
      </x:c>
      <x:c r="C229" t="str">
        <x:v>SM-125TT</x:v>
      </x:c>
      <x:c r="D229" t="str">
        <x:v>Carbon / low alloy</x:v>
      </x:c>
      <x:c r="E229" t="str">
        <x:v>High collapse / high strength</x:v>
      </x:c>
      <x:c r="F229" s="82" t="n">
        <x:v>125</x:v>
      </x:c>
      <x:c r="G229" t="str">
        <x:v>Yes</x:v>
      </x:c>
      <x:c r="H229" t="str">
        <x:v>A</x:v>
      </x:c>
      <x:c r="I229" t="str">
        <x:v>No</x:v>
      </x:c>
      <x:c r="J229" t="str">
        <x:v>No</x:v>
      </x:c>
      <x:c r="K229" t="str">
        <x:v>No</x:v>
      </x:c>
      <x:c r="L229" t="str">
        <x:f>IF(F229="","UNKNOWN",IF(F229&lt;'WELL INPUTS'!$B$11,"BELOW","OK"))</x:f>
        <x:v>OK</x:v>
      </x:c>
      <x:c r="M229" t="str">
        <x:f>IF(AND('WELL INPUTS'!$B$4="Wet",'WELL INPUTS'!$B$5&gt;0),IF(I229="Yes","CATALOG SOUR","NOT LISTED"),"N/A")</x:f>
        <x:v>N/A</x:v>
      </x:c>
      <x:c r="N229" t="str">
        <x:f>IF(AND('WELL INPUTS'!$B$4="Wet",'WELL INPUTS'!$B$6&gt;0),IF(J229="Yes","ALLOY FAMILY","CORROSION CONTROL"),"N/A")</x:f>
        <x:v>CORROSION CONTROL</x:v>
      </x:c>
      <x:c r="O229" t="str">
        <x:f>IF('WELL INPUTS'!$B$12="Yes",IF(G229="Yes","CLAIMED","NOT LISTED"),"N/A")</x:f>
        <x:v>N/A</x:v>
      </x:c>
      <x:c r="P229" t="str">
        <x:f>IF(OR('WELL INPUTS'!$B$13="Unrestricted",CODE(H229)&lt;=CODE('WELL INPUTS'!$B$13)),"WITHIN TIER","OVER CAP")</x:f>
        <x:v>WITHIN TIER</x:v>
      </x:c>
      <x:c r="Q229" t="n">
        <x:f>MAX(0,MIN(100,43+IF(L229="OK",14,-20)+IF(M229="CATALOG SOUR",24,IF(M229="NOT LISTED",-18,0))+IF(N229="ALLOY FAMILY",14,IF(N229="CORROSION CONTROL",-13,0))+IF(O229="CLAIMED",17,IF(O229="NOT LISTED",-14,0))+IF(K229="Yes",-15,0)+IF('WELL INPUTS'!$B$10="Yes",-17,0)))</x:f>
        <x:v>44</x:v>
      </x:c>
      <x:c r="R229" s="83" t="str">
        <x:f>IF(L229="BELOW","EXCLUDE — STRENGTH",IF(P229="OVER CAP","EXCLUDE — COST",IF(K229="Yes",IF('WELL INPUTS'!$B$14="No","EXCLUDE — REFERENCE","REFERENCE ONLY"),IF(OR(L229="UNKNOWN",M229="NOT LISTED",N229="CORROSION CONTROL",O229="NOT LISTED",'WELL INPUTS'!$B$10="Yes",'WELL INPUTS'!$B$4="Unknown"),"REVIEW","CANDIDATE — VERIFY"))))</x:f>
        <x:v>REVIEW</x:v>
      </x:c>
      <x:c r="S229" t="str">
        <x:f>IF(L229="BELOW","Increase minimum grade strength",IF(P229="OVER CAP","Relax cost tier or exclude",IF(K229="Yes","Identify qualified manufacturer grade",IF(M229="NOT LISTED","Confirm sour-service claim and ISO 15156",IF(O229="NOT LISTED","Obtain manufacturer collapse curve",IF(N229="CORROSION CONTROL","Model CO2 corrosion; review inhibition","Confirm corrosion, cracking, loads and connection"))))))</x:f>
        <x:v>Model CO2 corrosion; review inhibition</x:v>
      </x:c>
      <x:c r="T229" t="str">
        <x:v>https://www.tubular.nipponsteel.com/octg-material/application-list/high-collapse-high-strength</x:v>
      </x:c>
    </x:row>
    <x:row r="230" ht="23" customHeight="1">
      <x:c r="A230" t="str">
        <x:v>OCTG-0229</x:v>
      </x:c>
      <x:c r="B230" t="str">
        <x:v>Nippon Steel</x:v>
      </x:c>
      <x:c r="C230" t="str">
        <x:v>SM-130G</x:v>
      </x:c>
      <x:c r="D230" t="str">
        <x:v>Carbon / low alloy</x:v>
      </x:c>
      <x:c r="E230" t="str">
        <x:v>High collapse / high strength</x:v>
      </x:c>
      <x:c r="F230" s="82" t="n">
        <x:v>130</x:v>
      </x:c>
      <x:c r="G230" t="str">
        <x:v>Yes</x:v>
      </x:c>
      <x:c r="H230" t="str">
        <x:v>A</x:v>
      </x:c>
      <x:c r="I230" t="str">
        <x:v>No</x:v>
      </x:c>
      <x:c r="J230" t="str">
        <x:v>No</x:v>
      </x:c>
      <x:c r="K230" t="str">
        <x:v>No</x:v>
      </x:c>
      <x:c r="L230" t="str">
        <x:f>IF(F230="","UNKNOWN",IF(F230&lt;'WELL INPUTS'!$B$11,"BELOW","OK"))</x:f>
        <x:v>OK</x:v>
      </x:c>
      <x:c r="M230" t="str">
        <x:f>IF(AND('WELL INPUTS'!$B$4="Wet",'WELL INPUTS'!$B$5&gt;0),IF(I230="Yes","CATALOG SOUR","NOT LISTED"),"N/A")</x:f>
        <x:v>N/A</x:v>
      </x:c>
      <x:c r="N230" t="str">
        <x:f>IF(AND('WELL INPUTS'!$B$4="Wet",'WELL INPUTS'!$B$6&gt;0),IF(J230="Yes","ALLOY FAMILY","CORROSION CONTROL"),"N/A")</x:f>
        <x:v>CORROSION CONTROL</x:v>
      </x:c>
      <x:c r="O230" t="str">
        <x:f>IF('WELL INPUTS'!$B$12="Yes",IF(G230="Yes","CLAIMED","NOT LISTED"),"N/A")</x:f>
        <x:v>N/A</x:v>
      </x:c>
      <x:c r="P230" t="str">
        <x:f>IF(OR('WELL INPUTS'!$B$13="Unrestricted",CODE(H230)&lt;=CODE('WELL INPUTS'!$B$13)),"WITHIN TIER","OVER CAP")</x:f>
        <x:v>WITHIN TIER</x:v>
      </x:c>
      <x:c r="Q230" t="n">
        <x:f>MAX(0,MIN(100,43+IF(L230="OK",14,-20)+IF(M230="CATALOG SOUR",24,IF(M230="NOT LISTED",-18,0))+IF(N230="ALLOY FAMILY",14,IF(N230="CORROSION CONTROL",-13,0))+IF(O230="CLAIMED",17,IF(O230="NOT LISTED",-14,0))+IF(K230="Yes",-15,0)+IF('WELL INPUTS'!$B$10="Yes",-17,0)))</x:f>
        <x:v>44</x:v>
      </x:c>
      <x:c r="R230" s="83" t="str">
        <x:f>IF(L230="BELOW","EXCLUDE — STRENGTH",IF(P230="OVER CAP","EXCLUDE — COST",IF(K230="Yes",IF('WELL INPUTS'!$B$14="No","EXCLUDE — REFERENCE","REFERENCE ONLY"),IF(OR(L230="UNKNOWN",M230="NOT LISTED",N230="CORROSION CONTROL",O230="NOT LISTED",'WELL INPUTS'!$B$10="Yes",'WELL INPUTS'!$B$4="Unknown"),"REVIEW","CANDIDATE — VERIFY"))))</x:f>
        <x:v>REVIEW</x:v>
      </x:c>
      <x:c r="S230" t="str">
        <x:f>IF(L230="BELOW","Increase minimum grade strength",IF(P230="OVER CAP","Relax cost tier or exclude",IF(K230="Yes","Identify qualified manufacturer grade",IF(M230="NOT LISTED","Confirm sour-service claim and ISO 15156",IF(O230="NOT LISTED","Obtain manufacturer collapse curve",IF(N230="CORROSION CONTROL","Model CO2 corrosion; review inhibition","Confirm corrosion, cracking, loads and connection"))))))</x:f>
        <x:v>Model CO2 corrosion; review inhibition</x:v>
      </x:c>
      <x:c r="T230" t="str">
        <x:v>https://www.tubular.nipponsteel.com/octg-material/application-list/high-collapse-high-strength</x:v>
      </x:c>
    </x:row>
    <x:row r="231" ht="23" customHeight="1">
      <x:c r="A231" t="str">
        <x:v>OCTG-0230</x:v>
      </x:c>
      <x:c r="B231" t="str">
        <x:v>Nippon Steel</x:v>
      </x:c>
      <x:c r="C231" t="str">
        <x:v>SM-140MS</x:v>
      </x:c>
      <x:c r="D231" t="str">
        <x:v>Carbon / low alloy</x:v>
      </x:c>
      <x:c r="E231" t="str">
        <x:v>Sour service; XS/XSD severe, ES mild/medium severity</x:v>
      </x:c>
      <x:c r="F231" s="82" t="n">
        <x:v>140</x:v>
      </x:c>
      <x:c r="G231" t="str">
        <x:v>No</x:v>
      </x:c>
      <x:c r="H231" t="str">
        <x:v>A</x:v>
      </x:c>
      <x:c r="I231" t="str">
        <x:v>Yes</x:v>
      </x:c>
      <x:c r="J231" t="str">
        <x:v>No</x:v>
      </x:c>
      <x:c r="K231" t="str">
        <x:v>No</x:v>
      </x:c>
      <x:c r="L231" t="str">
        <x:f>IF(F231="","UNKNOWN",IF(F231&lt;'WELL INPUTS'!$B$11,"BELOW","OK"))</x:f>
        <x:v>OK</x:v>
      </x:c>
      <x:c r="M231" t="str">
        <x:f>IF(AND('WELL INPUTS'!$B$4="Wet",'WELL INPUTS'!$B$5&gt;0),IF(I231="Yes","CATALOG SOUR","NOT LISTED"),"N/A")</x:f>
        <x:v>N/A</x:v>
      </x:c>
      <x:c r="N231" t="str">
        <x:f>IF(AND('WELL INPUTS'!$B$4="Wet",'WELL INPUTS'!$B$6&gt;0),IF(J231="Yes","ALLOY FAMILY","CORROSION CONTROL"),"N/A")</x:f>
        <x:v>CORROSION CONTROL</x:v>
      </x:c>
      <x:c r="O231" t="str">
        <x:f>IF('WELL INPUTS'!$B$12="Yes",IF(G231="Yes","CLAIMED","NOT LISTED"),"N/A")</x:f>
        <x:v>N/A</x:v>
      </x:c>
      <x:c r="P231" t="str">
        <x:f>IF(OR('WELL INPUTS'!$B$13="Unrestricted",CODE(H231)&lt;=CODE('WELL INPUTS'!$B$13)),"WITHIN TIER","OVER CAP")</x:f>
        <x:v>WITHIN TIER</x:v>
      </x:c>
      <x:c r="Q231" t="n">
        <x:f>MAX(0,MIN(100,43+IF(L231="OK",14,-20)+IF(M231="CATALOG SOUR",24,IF(M231="NOT LISTED",-18,0))+IF(N231="ALLOY FAMILY",14,IF(N231="CORROSION CONTROL",-13,0))+IF(O231="CLAIMED",17,IF(O231="NOT LISTED",-14,0))+IF(K231="Yes",-15,0)+IF('WELL INPUTS'!$B$10="Yes",-17,0)))</x:f>
        <x:v>44</x:v>
      </x:c>
      <x:c r="R231" s="83" t="str">
        <x:f>IF(L231="BELOW","EXCLUDE — STRENGTH",IF(P231="OVER CAP","EXCLUDE — COST",IF(K231="Yes",IF('WELL INPUTS'!$B$14="No","EXCLUDE — REFERENCE","REFERENCE ONLY"),IF(OR(L231="UNKNOWN",M231="NOT LISTED",N231="CORROSION CONTROL",O231="NOT LISTED",'WELL INPUTS'!$B$10="Yes",'WELL INPUTS'!$B$4="Unknown"),"REVIEW","CANDIDATE — VERIFY"))))</x:f>
        <x:v>REVIEW</x:v>
      </x:c>
      <x:c r="S231" t="str">
        <x:f>IF(L231="BELOW","Increase minimum grade strength",IF(P231="OVER CAP","Relax cost tier or exclude",IF(K231="Yes","Identify qualified manufacturer grade",IF(M231="NOT LISTED","Confirm sour-service claim and ISO 15156",IF(O231="NOT LISTED","Obtain manufacturer collapse curve",IF(N231="CORROSION CONTROL","Model CO2 corrosion; review inhibition","Confirm corrosion, cracking, loads and connection"))))))</x:f>
        <x:v>Model CO2 corrosion; review inhibition</x:v>
      </x:c>
      <x:c r="T231" t="str">
        <x:v>https://www.tubular.nipponsteel.com/octg-material/application-list/sour-service</x:v>
      </x:c>
    </x:row>
    <x:row r="232" ht="23" customHeight="1">
      <x:c r="A232" t="str">
        <x:v>OCTG-0231</x:v>
      </x:c>
      <x:c r="B232" t="str">
        <x:v>Nippon Steel</x:v>
      </x:c>
      <x:c r="C232" t="str">
        <x:v>SM-80T</x:v>
      </x:c>
      <x:c r="D232" t="str">
        <x:v>Carbon / low alloy</x:v>
      </x:c>
      <x:c r="E232" t="str">
        <x:v>High collapse / high strength</x:v>
      </x:c>
      <x:c r="F232" s="82" t="n">
        <x:v>80</x:v>
      </x:c>
      <x:c r="G232" t="str">
        <x:v>Yes</x:v>
      </x:c>
      <x:c r="H232" t="str">
        <x:v>A</x:v>
      </x:c>
      <x:c r="I232" t="str">
        <x:v>No</x:v>
      </x:c>
      <x:c r="J232" t="str">
        <x:v>No</x:v>
      </x:c>
      <x:c r="K232" t="str">
        <x:v>No</x:v>
      </x:c>
      <x:c r="L232" t="str">
        <x:f>IF(F232="","UNKNOWN",IF(F232&lt;'WELL INPUTS'!$B$11,"BELOW","OK"))</x:f>
        <x:v>OK</x:v>
      </x:c>
      <x:c r="M232" t="str">
        <x:f>IF(AND('WELL INPUTS'!$B$4="Wet",'WELL INPUTS'!$B$5&gt;0),IF(I232="Yes","CATALOG SOUR","NOT LISTED"),"N/A")</x:f>
        <x:v>N/A</x:v>
      </x:c>
      <x:c r="N232" t="str">
        <x:f>IF(AND('WELL INPUTS'!$B$4="Wet",'WELL INPUTS'!$B$6&gt;0),IF(J232="Yes","ALLOY FAMILY","CORROSION CONTROL"),"N/A")</x:f>
        <x:v>CORROSION CONTROL</x:v>
      </x:c>
      <x:c r="O232" t="str">
        <x:f>IF('WELL INPUTS'!$B$12="Yes",IF(G232="Yes","CLAIMED","NOT LISTED"),"N/A")</x:f>
        <x:v>N/A</x:v>
      </x:c>
      <x:c r="P232" t="str">
        <x:f>IF(OR('WELL INPUTS'!$B$13="Unrestricted",CODE(H232)&lt;=CODE('WELL INPUTS'!$B$13)),"WITHIN TIER","OVER CAP")</x:f>
        <x:v>WITHIN TIER</x:v>
      </x:c>
      <x:c r="Q232" t="n">
        <x:f>MAX(0,MIN(100,43+IF(L232="OK",14,-20)+IF(M232="CATALOG SOUR",24,IF(M232="NOT LISTED",-18,0))+IF(N232="ALLOY FAMILY",14,IF(N232="CORROSION CONTROL",-13,0))+IF(O232="CLAIMED",17,IF(O232="NOT LISTED",-14,0))+IF(K232="Yes",-15,0)+IF('WELL INPUTS'!$B$10="Yes",-17,0)))</x:f>
        <x:v>44</x:v>
      </x:c>
      <x:c r="R232" s="83" t="str">
        <x:f>IF(L232="BELOW","EXCLUDE — STRENGTH",IF(P232="OVER CAP","EXCLUDE — COST",IF(K232="Yes",IF('WELL INPUTS'!$B$14="No","EXCLUDE — REFERENCE","REFERENCE ONLY"),IF(OR(L232="UNKNOWN",M232="NOT LISTED",N232="CORROSION CONTROL",O232="NOT LISTED",'WELL INPUTS'!$B$10="Yes",'WELL INPUTS'!$B$4="Unknown"),"REVIEW","CANDIDATE — VERIFY"))))</x:f>
        <x:v>REVIEW</x:v>
      </x:c>
      <x:c r="S232" t="str">
        <x:f>IF(L232="BELOW","Increase minimum grade strength",IF(P232="OVER CAP","Relax cost tier or exclude",IF(K232="Yes","Identify qualified manufacturer grade",IF(M232="NOT LISTED","Confirm sour-service claim and ISO 15156",IF(O232="NOT LISTED","Obtain manufacturer collapse curve",IF(N232="CORROSION CONTROL","Model CO2 corrosion; review inhibition","Confirm corrosion, cracking, loads and connection"))))))</x:f>
        <x:v>Model CO2 corrosion; review inhibition</x:v>
      </x:c>
      <x:c r="T232" t="str">
        <x:v>https://www.tubular.nipponsteel.com/octg-material/application-list/high-collapse-high-strength</x:v>
      </x:c>
    </x:row>
    <x:row r="233" ht="23" customHeight="1">
      <x:c r="A233" t="str">
        <x:v>OCTG-0232</x:v>
      </x:c>
      <x:c r="B233" t="str">
        <x:v>Nippon Steel</x:v>
      </x:c>
      <x:c r="C233" t="str">
        <x:v>SM-80TXS</x:v>
      </x:c>
      <x:c r="D233" t="str">
        <x:v>Carbon / low alloy</x:v>
      </x:c>
      <x:c r="E233" t="str">
        <x:v>High collapse + sour service (SSC); limits by datasheet</x:v>
      </x:c>
      <x:c r="F233" s="82" t="n">
        <x:v>80</x:v>
      </x:c>
      <x:c r="G233" t="str">
        <x:v>Yes</x:v>
      </x:c>
      <x:c r="H233" t="str">
        <x:v>A</x:v>
      </x:c>
      <x:c r="I233" t="str">
        <x:v>Yes</x:v>
      </x:c>
      <x:c r="J233" t="str">
        <x:v>No</x:v>
      </x:c>
      <x:c r="K233" t="str">
        <x:v>No</x:v>
      </x:c>
      <x:c r="L233" t="str">
        <x:f>IF(F233="","UNKNOWN",IF(F233&lt;'WELL INPUTS'!$B$11,"BELOW","OK"))</x:f>
        <x:v>OK</x:v>
      </x:c>
      <x:c r="M233" t="str">
        <x:f>IF(AND('WELL INPUTS'!$B$4="Wet",'WELL INPUTS'!$B$5&gt;0),IF(I233="Yes","CATALOG SOUR","NOT LISTED"),"N/A")</x:f>
        <x:v>N/A</x:v>
      </x:c>
      <x:c r="N233" t="str">
        <x:f>IF(AND('WELL INPUTS'!$B$4="Wet",'WELL INPUTS'!$B$6&gt;0),IF(J233="Yes","ALLOY FAMILY","CORROSION CONTROL"),"N/A")</x:f>
        <x:v>CORROSION CONTROL</x:v>
      </x:c>
      <x:c r="O233" t="str">
        <x:f>IF('WELL INPUTS'!$B$12="Yes",IF(G233="Yes","CLAIMED","NOT LISTED"),"N/A")</x:f>
        <x:v>N/A</x:v>
      </x:c>
      <x:c r="P233" t="str">
        <x:f>IF(OR('WELL INPUTS'!$B$13="Unrestricted",CODE(H233)&lt;=CODE('WELL INPUTS'!$B$13)),"WITHIN TIER","OVER CAP")</x:f>
        <x:v>WITHIN TIER</x:v>
      </x:c>
      <x:c r="Q233" t="n">
        <x:f>MAX(0,MIN(100,43+IF(L233="OK",14,-20)+IF(M233="CATALOG SOUR",24,IF(M233="NOT LISTED",-18,0))+IF(N233="ALLOY FAMILY",14,IF(N233="CORROSION CONTROL",-13,0))+IF(O233="CLAIMED",17,IF(O233="NOT LISTED",-14,0))+IF(K233="Yes",-15,0)+IF('WELL INPUTS'!$B$10="Yes",-17,0)))</x:f>
        <x:v>44</x:v>
      </x:c>
      <x:c r="R233" s="83" t="str">
        <x:f>IF(L233="BELOW","EXCLUDE — STRENGTH",IF(P233="OVER CAP","EXCLUDE — COST",IF(K233="Yes",IF('WELL INPUTS'!$B$14="No","EXCLUDE — REFERENCE","REFERENCE ONLY"),IF(OR(L233="UNKNOWN",M233="NOT LISTED",N233="CORROSION CONTROL",O233="NOT LISTED",'WELL INPUTS'!$B$10="Yes",'WELL INPUTS'!$B$4="Unknown"),"REVIEW","CANDIDATE — VERIFY"))))</x:f>
        <x:v>REVIEW</x:v>
      </x:c>
      <x:c r="S233" t="str">
        <x:f>IF(L233="BELOW","Increase minimum grade strength",IF(P233="OVER CAP","Relax cost tier or exclude",IF(K233="Yes","Identify qualified manufacturer grade",IF(M233="NOT LISTED","Confirm sour-service claim and ISO 15156",IF(O233="NOT LISTED","Obtain manufacturer collapse curve",IF(N233="CORROSION CONTROL","Model CO2 corrosion; review inhibition","Confirm corrosion, cracking, loads and connection"))))))</x:f>
        <x:v>Model CO2 corrosion; review inhibition</x:v>
      </x:c>
      <x:c r="T233" t="str">
        <x:v>https://www.tubular.nipponsteel.com/octg-material/application-list/high-collapse-sour-service</x:v>
      </x:c>
    </x:row>
    <x:row r="234" ht="23" customHeight="1">
      <x:c r="A234" t="str">
        <x:v>OCTG-0233</x:v>
      </x:c>
      <x:c r="B234" t="str">
        <x:v>Nippon Steel</x:v>
      </x:c>
      <x:c r="C234" t="str">
        <x:v>SM-80TXSD</x:v>
      </x:c>
      <x:c r="D234" t="str">
        <x:v>Carbon / low alloy</x:v>
      </x:c>
      <x:c r="E234" t="str">
        <x:v>High collapse + sour service (SSC); limits by datasheet</x:v>
      </x:c>
      <x:c r="F234" s="82" t="n">
        <x:v>80</x:v>
      </x:c>
      <x:c r="G234" t="str">
        <x:v>Yes</x:v>
      </x:c>
      <x:c r="H234" t="str">
        <x:v>A</x:v>
      </x:c>
      <x:c r="I234" t="str">
        <x:v>Yes</x:v>
      </x:c>
      <x:c r="J234" t="str">
        <x:v>No</x:v>
      </x:c>
      <x:c r="K234" t="str">
        <x:v>No</x:v>
      </x:c>
      <x:c r="L234" t="str">
        <x:f>IF(F234="","UNKNOWN",IF(F234&lt;'WELL INPUTS'!$B$11,"BELOW","OK"))</x:f>
        <x:v>OK</x:v>
      </x:c>
      <x:c r="M234" t="str">
        <x:f>IF(AND('WELL INPUTS'!$B$4="Wet",'WELL INPUTS'!$B$5&gt;0),IF(I234="Yes","CATALOG SOUR","NOT LISTED"),"N/A")</x:f>
        <x:v>N/A</x:v>
      </x:c>
      <x:c r="N234" t="str">
        <x:f>IF(AND('WELL INPUTS'!$B$4="Wet",'WELL INPUTS'!$B$6&gt;0),IF(J234="Yes","ALLOY FAMILY","CORROSION CONTROL"),"N/A")</x:f>
        <x:v>CORROSION CONTROL</x:v>
      </x:c>
      <x:c r="O234" t="str">
        <x:f>IF('WELL INPUTS'!$B$12="Yes",IF(G234="Yes","CLAIMED","NOT LISTED"),"N/A")</x:f>
        <x:v>N/A</x:v>
      </x:c>
      <x:c r="P234" t="str">
        <x:f>IF(OR('WELL INPUTS'!$B$13="Unrestricted",CODE(H234)&lt;=CODE('WELL INPUTS'!$B$13)),"WITHIN TIER","OVER CAP")</x:f>
        <x:v>WITHIN TIER</x:v>
      </x:c>
      <x:c r="Q234" t="n">
        <x:f>MAX(0,MIN(100,43+IF(L234="OK",14,-20)+IF(M234="CATALOG SOUR",24,IF(M234="NOT LISTED",-18,0))+IF(N234="ALLOY FAMILY",14,IF(N234="CORROSION CONTROL",-13,0))+IF(O234="CLAIMED",17,IF(O234="NOT LISTED",-14,0))+IF(K234="Yes",-15,0)+IF('WELL INPUTS'!$B$10="Yes",-17,0)))</x:f>
        <x:v>44</x:v>
      </x:c>
      <x:c r="R234" s="83" t="str">
        <x:f>IF(L234="BELOW","EXCLUDE — STRENGTH",IF(P234="OVER CAP","EXCLUDE — COST",IF(K234="Yes",IF('WELL INPUTS'!$B$14="No","EXCLUDE — REFERENCE","REFERENCE ONLY"),IF(OR(L234="UNKNOWN",M234="NOT LISTED",N234="CORROSION CONTROL",O234="NOT LISTED",'WELL INPUTS'!$B$10="Yes",'WELL INPUTS'!$B$4="Unknown"),"REVIEW","CANDIDATE — VERIFY"))))</x:f>
        <x:v>REVIEW</x:v>
      </x:c>
      <x:c r="S234" t="str">
        <x:f>IF(L234="BELOW","Increase minimum grade strength",IF(P234="OVER CAP","Relax cost tier or exclude",IF(K234="Yes","Identify qualified manufacturer grade",IF(M234="NOT LISTED","Confirm sour-service claim and ISO 15156",IF(O234="NOT LISTED","Obtain manufacturer collapse curve",IF(N234="CORROSION CONTROL","Model CO2 corrosion; review inhibition","Confirm corrosion, cracking, loads and connection"))))))</x:f>
        <x:v>Model CO2 corrosion; review inhibition</x:v>
      </x:c>
      <x:c r="T234" t="str">
        <x:v>https://www.tubular.nipponsteel.com/octg-material/application-list/high-collapse-sour-service</x:v>
      </x:c>
    </x:row>
    <x:row r="235" ht="23" customHeight="1">
      <x:c r="A235" t="str">
        <x:v>OCTG-0234</x:v>
      </x:c>
      <x:c r="B235" t="str">
        <x:v>Nippon Steel</x:v>
      </x:c>
      <x:c r="C235" t="str">
        <x:v>SM-80XS</x:v>
      </x:c>
      <x:c r="D235" t="str">
        <x:v>Carbon / low alloy</x:v>
      </x:c>
      <x:c r="E235" t="str">
        <x:v>Sour service; XS/XSD severe, ES mild/medium severity</x:v>
      </x:c>
      <x:c r="F235" s="82" t="n">
        <x:v>80</x:v>
      </x:c>
      <x:c r="G235" t="str">
        <x:v>No</x:v>
      </x:c>
      <x:c r="H235" t="str">
        <x:v>A</x:v>
      </x:c>
      <x:c r="I235" t="str">
        <x:v>Yes</x:v>
      </x:c>
      <x:c r="J235" t="str">
        <x:v>No</x:v>
      </x:c>
      <x:c r="K235" t="str">
        <x:v>No</x:v>
      </x:c>
      <x:c r="L235" t="str">
        <x:f>IF(F235="","UNKNOWN",IF(F235&lt;'WELL INPUTS'!$B$11,"BELOW","OK"))</x:f>
        <x:v>OK</x:v>
      </x:c>
      <x:c r="M235" t="str">
        <x:f>IF(AND('WELL INPUTS'!$B$4="Wet",'WELL INPUTS'!$B$5&gt;0),IF(I235="Yes","CATALOG SOUR","NOT LISTED"),"N/A")</x:f>
        <x:v>N/A</x:v>
      </x:c>
      <x:c r="N235" t="str">
        <x:f>IF(AND('WELL INPUTS'!$B$4="Wet",'WELL INPUTS'!$B$6&gt;0),IF(J235="Yes","ALLOY FAMILY","CORROSION CONTROL"),"N/A")</x:f>
        <x:v>CORROSION CONTROL</x:v>
      </x:c>
      <x:c r="O235" t="str">
        <x:f>IF('WELL INPUTS'!$B$12="Yes",IF(G235="Yes","CLAIMED","NOT LISTED"),"N/A")</x:f>
        <x:v>N/A</x:v>
      </x:c>
      <x:c r="P235" t="str">
        <x:f>IF(OR('WELL INPUTS'!$B$13="Unrestricted",CODE(H235)&lt;=CODE('WELL INPUTS'!$B$13)),"WITHIN TIER","OVER CAP")</x:f>
        <x:v>WITHIN TIER</x:v>
      </x:c>
      <x:c r="Q235" t="n">
        <x:f>MAX(0,MIN(100,43+IF(L235="OK",14,-20)+IF(M235="CATALOG SOUR",24,IF(M235="NOT LISTED",-18,0))+IF(N235="ALLOY FAMILY",14,IF(N235="CORROSION CONTROL",-13,0))+IF(O235="CLAIMED",17,IF(O235="NOT LISTED",-14,0))+IF(K235="Yes",-15,0)+IF('WELL INPUTS'!$B$10="Yes",-17,0)))</x:f>
        <x:v>44</x:v>
      </x:c>
      <x:c r="R235" s="83" t="str">
        <x:f>IF(L235="BELOW","EXCLUDE — STRENGTH",IF(P235="OVER CAP","EXCLUDE — COST",IF(K235="Yes",IF('WELL INPUTS'!$B$14="No","EXCLUDE — REFERENCE","REFERENCE ONLY"),IF(OR(L235="UNKNOWN",M235="NOT LISTED",N235="CORROSION CONTROL",O235="NOT LISTED",'WELL INPUTS'!$B$10="Yes",'WELL INPUTS'!$B$4="Unknown"),"REVIEW","CANDIDATE — VERIFY"))))</x:f>
        <x:v>REVIEW</x:v>
      </x:c>
      <x:c r="S235" t="str">
        <x:f>IF(L235="BELOW","Increase minimum grade strength",IF(P235="OVER CAP","Relax cost tier or exclude",IF(K235="Yes","Identify qualified manufacturer grade",IF(M235="NOT LISTED","Confirm sour-service claim and ISO 15156",IF(O235="NOT LISTED","Obtain manufacturer collapse curve",IF(N235="CORROSION CONTROL","Model CO2 corrosion; review inhibition","Confirm corrosion, cracking, loads and connection"))))))</x:f>
        <x:v>Model CO2 corrosion; review inhibition</x:v>
      </x:c>
      <x:c r="T235" t="str">
        <x:v>https://www.tubular.nipponsteel.com/octg-material/application-list/sour-service</x:v>
      </x:c>
    </x:row>
    <x:row r="236" ht="23" customHeight="1">
      <x:c r="A236" t="str">
        <x:v>OCTG-0235</x:v>
      </x:c>
      <x:c r="B236" t="str">
        <x:v>Nippon Steel</x:v>
      </x:c>
      <x:c r="C236" t="str">
        <x:v>SM-80XSD</x:v>
      </x:c>
      <x:c r="D236" t="str">
        <x:v>Carbon / low alloy</x:v>
      </x:c>
      <x:c r="E236" t="str">
        <x:v>Sour service; XS/XSD severe, ES mild/medium severity</x:v>
      </x:c>
      <x:c r="F236" s="82" t="n">
        <x:v>80</x:v>
      </x:c>
      <x:c r="G236" t="str">
        <x:v>No</x:v>
      </x:c>
      <x:c r="H236" t="str">
        <x:v>A</x:v>
      </x:c>
      <x:c r="I236" t="str">
        <x:v>Yes</x:v>
      </x:c>
      <x:c r="J236" t="str">
        <x:v>No</x:v>
      </x:c>
      <x:c r="K236" t="str">
        <x:v>No</x:v>
      </x:c>
      <x:c r="L236" t="str">
        <x:f>IF(F236="","UNKNOWN",IF(F236&lt;'WELL INPUTS'!$B$11,"BELOW","OK"))</x:f>
        <x:v>OK</x:v>
      </x:c>
      <x:c r="M236" t="str">
        <x:f>IF(AND('WELL INPUTS'!$B$4="Wet",'WELL INPUTS'!$B$5&gt;0),IF(I236="Yes","CATALOG SOUR","NOT LISTED"),"N/A")</x:f>
        <x:v>N/A</x:v>
      </x:c>
      <x:c r="N236" t="str">
        <x:f>IF(AND('WELL INPUTS'!$B$4="Wet",'WELL INPUTS'!$B$6&gt;0),IF(J236="Yes","ALLOY FAMILY","CORROSION CONTROL"),"N/A")</x:f>
        <x:v>CORROSION CONTROL</x:v>
      </x:c>
      <x:c r="O236" t="str">
        <x:f>IF('WELL INPUTS'!$B$12="Yes",IF(G236="Yes","CLAIMED","NOT LISTED"),"N/A")</x:f>
        <x:v>N/A</x:v>
      </x:c>
      <x:c r="P236" t="str">
        <x:f>IF(OR('WELL INPUTS'!$B$13="Unrestricted",CODE(H236)&lt;=CODE('WELL INPUTS'!$B$13)),"WITHIN TIER","OVER CAP")</x:f>
        <x:v>WITHIN TIER</x:v>
      </x:c>
      <x:c r="Q236" t="n">
        <x:f>MAX(0,MIN(100,43+IF(L236="OK",14,-20)+IF(M236="CATALOG SOUR",24,IF(M236="NOT LISTED",-18,0))+IF(N236="ALLOY FAMILY",14,IF(N236="CORROSION CONTROL",-13,0))+IF(O236="CLAIMED",17,IF(O236="NOT LISTED",-14,0))+IF(K236="Yes",-15,0)+IF('WELL INPUTS'!$B$10="Yes",-17,0)))</x:f>
        <x:v>44</x:v>
      </x:c>
      <x:c r="R236" s="83" t="str">
        <x:f>IF(L236="BELOW","EXCLUDE — STRENGTH",IF(P236="OVER CAP","EXCLUDE — COST",IF(K236="Yes",IF('WELL INPUTS'!$B$14="No","EXCLUDE — REFERENCE","REFERENCE ONLY"),IF(OR(L236="UNKNOWN",M236="NOT LISTED",N236="CORROSION CONTROL",O236="NOT LISTED",'WELL INPUTS'!$B$10="Yes",'WELL INPUTS'!$B$4="Unknown"),"REVIEW","CANDIDATE — VERIFY"))))</x:f>
        <x:v>REVIEW</x:v>
      </x:c>
      <x:c r="S236" t="str">
        <x:f>IF(L236="BELOW","Increase minimum grade strength",IF(P236="OVER CAP","Relax cost tier or exclude",IF(K236="Yes","Identify qualified manufacturer grade",IF(M236="NOT LISTED","Confirm sour-service claim and ISO 15156",IF(O236="NOT LISTED","Obtain manufacturer collapse curve",IF(N236="CORROSION CONTROL","Model CO2 corrosion; review inhibition","Confirm corrosion, cracking, loads and connection"))))))</x:f>
        <x:v>Model CO2 corrosion; review inhibition</x:v>
      </x:c>
      <x:c r="T236" t="str">
        <x:v>https://www.tubular.nipponsteel.com/octg-material/application-list/sour-service</x:v>
      </x:c>
    </x:row>
    <x:row r="237" ht="23" customHeight="1">
      <x:c r="A237" t="str">
        <x:v>OCTG-0236</x:v>
      </x:c>
      <x:c r="B237" t="str">
        <x:v>Nippon Steel</x:v>
      </x:c>
      <x:c r="C237" t="str">
        <x:v>SM-90TXS</x:v>
      </x:c>
      <x:c r="D237" t="str">
        <x:v>Carbon / low alloy</x:v>
      </x:c>
      <x:c r="E237" t="str">
        <x:v>High collapse + sour service (SSC); limits by datasheet</x:v>
      </x:c>
      <x:c r="F237" s="82" t="n">
        <x:v>90</x:v>
      </x:c>
      <x:c r="G237" t="str">
        <x:v>Yes</x:v>
      </x:c>
      <x:c r="H237" t="str">
        <x:v>A</x:v>
      </x:c>
      <x:c r="I237" t="str">
        <x:v>Yes</x:v>
      </x:c>
      <x:c r="J237" t="str">
        <x:v>No</x:v>
      </x:c>
      <x:c r="K237" t="str">
        <x:v>No</x:v>
      </x:c>
      <x:c r="L237" t="str">
        <x:f>IF(F237="","UNKNOWN",IF(F237&lt;'WELL INPUTS'!$B$11,"BELOW","OK"))</x:f>
        <x:v>OK</x:v>
      </x:c>
      <x:c r="M237" t="str">
        <x:f>IF(AND('WELL INPUTS'!$B$4="Wet",'WELL INPUTS'!$B$5&gt;0),IF(I237="Yes","CATALOG SOUR","NOT LISTED"),"N/A")</x:f>
        <x:v>N/A</x:v>
      </x:c>
      <x:c r="N237" t="str">
        <x:f>IF(AND('WELL INPUTS'!$B$4="Wet",'WELL INPUTS'!$B$6&gt;0),IF(J237="Yes","ALLOY FAMILY","CORROSION CONTROL"),"N/A")</x:f>
        <x:v>CORROSION CONTROL</x:v>
      </x:c>
      <x:c r="O237" t="str">
        <x:f>IF('WELL INPUTS'!$B$12="Yes",IF(G237="Yes","CLAIMED","NOT LISTED"),"N/A")</x:f>
        <x:v>N/A</x:v>
      </x:c>
      <x:c r="P237" t="str">
        <x:f>IF(OR('WELL INPUTS'!$B$13="Unrestricted",CODE(H237)&lt;=CODE('WELL INPUTS'!$B$13)),"WITHIN TIER","OVER CAP")</x:f>
        <x:v>WITHIN TIER</x:v>
      </x:c>
      <x:c r="Q237" t="n">
        <x:f>MAX(0,MIN(100,43+IF(L237="OK",14,-20)+IF(M237="CATALOG SOUR",24,IF(M237="NOT LISTED",-18,0))+IF(N237="ALLOY FAMILY",14,IF(N237="CORROSION CONTROL",-13,0))+IF(O237="CLAIMED",17,IF(O237="NOT LISTED",-14,0))+IF(K237="Yes",-15,0)+IF('WELL INPUTS'!$B$10="Yes",-17,0)))</x:f>
        <x:v>44</x:v>
      </x:c>
      <x:c r="R237" s="83" t="str">
        <x:f>IF(L237="BELOW","EXCLUDE — STRENGTH",IF(P237="OVER CAP","EXCLUDE — COST",IF(K237="Yes",IF('WELL INPUTS'!$B$14="No","EXCLUDE — REFERENCE","REFERENCE ONLY"),IF(OR(L237="UNKNOWN",M237="NOT LISTED",N237="CORROSION CONTROL",O237="NOT LISTED",'WELL INPUTS'!$B$10="Yes",'WELL INPUTS'!$B$4="Unknown"),"REVIEW","CANDIDATE — VERIFY"))))</x:f>
        <x:v>REVIEW</x:v>
      </x:c>
      <x:c r="S237" t="str">
        <x:f>IF(L237="BELOW","Increase minimum grade strength",IF(P237="OVER CAP","Relax cost tier or exclude",IF(K237="Yes","Identify qualified manufacturer grade",IF(M237="NOT LISTED","Confirm sour-service claim and ISO 15156",IF(O237="NOT LISTED","Obtain manufacturer collapse curve",IF(N237="CORROSION CONTROL","Model CO2 corrosion; review inhibition","Confirm corrosion, cracking, loads and connection"))))))</x:f>
        <x:v>Model CO2 corrosion; review inhibition</x:v>
      </x:c>
      <x:c r="T237" t="str">
        <x:v>https://www.tubular.nipponsteel.com/octg-material/application-list/high-collapse-sour-service</x:v>
      </x:c>
    </x:row>
    <x:row r="238" ht="23" customHeight="1">
      <x:c r="A238" t="str">
        <x:v>OCTG-0237</x:v>
      </x:c>
      <x:c r="B238" t="str">
        <x:v>Nippon Steel</x:v>
      </x:c>
      <x:c r="C238" t="str">
        <x:v>SM-90TXSD</x:v>
      </x:c>
      <x:c r="D238" t="str">
        <x:v>Carbon / low alloy</x:v>
      </x:c>
      <x:c r="E238" t="str">
        <x:v>High collapse + sour service (SSC); limits by datasheet</x:v>
      </x:c>
      <x:c r="F238" s="82" t="n">
        <x:v>90</x:v>
      </x:c>
      <x:c r="G238" t="str">
        <x:v>Yes</x:v>
      </x:c>
      <x:c r="H238" t="str">
        <x:v>A</x:v>
      </x:c>
      <x:c r="I238" t="str">
        <x:v>Yes</x:v>
      </x:c>
      <x:c r="J238" t="str">
        <x:v>No</x:v>
      </x:c>
      <x:c r="K238" t="str">
        <x:v>No</x:v>
      </x:c>
      <x:c r="L238" t="str">
        <x:f>IF(F238="","UNKNOWN",IF(F238&lt;'WELL INPUTS'!$B$11,"BELOW","OK"))</x:f>
        <x:v>OK</x:v>
      </x:c>
      <x:c r="M238" t="str">
        <x:f>IF(AND('WELL INPUTS'!$B$4="Wet",'WELL INPUTS'!$B$5&gt;0),IF(I238="Yes","CATALOG SOUR","NOT LISTED"),"N/A")</x:f>
        <x:v>N/A</x:v>
      </x:c>
      <x:c r="N238" t="str">
        <x:f>IF(AND('WELL INPUTS'!$B$4="Wet",'WELL INPUTS'!$B$6&gt;0),IF(J238="Yes","ALLOY FAMILY","CORROSION CONTROL"),"N/A")</x:f>
        <x:v>CORROSION CONTROL</x:v>
      </x:c>
      <x:c r="O238" t="str">
        <x:f>IF('WELL INPUTS'!$B$12="Yes",IF(G238="Yes","CLAIMED","NOT LISTED"),"N/A")</x:f>
        <x:v>N/A</x:v>
      </x:c>
      <x:c r="P238" t="str">
        <x:f>IF(OR('WELL INPUTS'!$B$13="Unrestricted",CODE(H238)&lt;=CODE('WELL INPUTS'!$B$13)),"WITHIN TIER","OVER CAP")</x:f>
        <x:v>WITHIN TIER</x:v>
      </x:c>
      <x:c r="Q238" t="n">
        <x:f>MAX(0,MIN(100,43+IF(L238="OK",14,-20)+IF(M238="CATALOG SOUR",24,IF(M238="NOT LISTED",-18,0))+IF(N238="ALLOY FAMILY",14,IF(N238="CORROSION CONTROL",-13,0))+IF(O238="CLAIMED",17,IF(O238="NOT LISTED",-14,0))+IF(K238="Yes",-15,0)+IF('WELL INPUTS'!$B$10="Yes",-17,0)))</x:f>
        <x:v>44</x:v>
      </x:c>
      <x:c r="R238" s="83" t="str">
        <x:f>IF(L238="BELOW","EXCLUDE — STRENGTH",IF(P238="OVER CAP","EXCLUDE — COST",IF(K238="Yes",IF('WELL INPUTS'!$B$14="No","EXCLUDE — REFERENCE","REFERENCE ONLY"),IF(OR(L238="UNKNOWN",M238="NOT LISTED",N238="CORROSION CONTROL",O238="NOT LISTED",'WELL INPUTS'!$B$10="Yes",'WELL INPUTS'!$B$4="Unknown"),"REVIEW","CANDIDATE — VERIFY"))))</x:f>
        <x:v>REVIEW</x:v>
      </x:c>
      <x:c r="S238" t="str">
        <x:f>IF(L238="BELOW","Increase minimum grade strength",IF(P238="OVER CAP","Relax cost tier or exclude",IF(K238="Yes","Identify qualified manufacturer grade",IF(M238="NOT LISTED","Confirm sour-service claim and ISO 15156",IF(O238="NOT LISTED","Obtain manufacturer collapse curve",IF(N238="CORROSION CONTROL","Model CO2 corrosion; review inhibition","Confirm corrosion, cracking, loads and connection"))))))</x:f>
        <x:v>Model CO2 corrosion; review inhibition</x:v>
      </x:c>
      <x:c r="T238" t="str">
        <x:v>https://www.tubular.nipponsteel.com/octg-material/application-list/high-collapse-sour-service</x:v>
      </x:c>
    </x:row>
    <x:row r="239" ht="23" customHeight="1">
      <x:c r="A239" t="str">
        <x:v>OCTG-0238</x:v>
      </x:c>
      <x:c r="B239" t="str">
        <x:v>Nippon Steel</x:v>
      </x:c>
      <x:c r="C239" t="str">
        <x:v>SM-90XS</x:v>
      </x:c>
      <x:c r="D239" t="str">
        <x:v>Carbon / low alloy</x:v>
      </x:c>
      <x:c r="E239" t="str">
        <x:v>Sour service; XS/XSD severe, ES mild/medium severity</x:v>
      </x:c>
      <x:c r="F239" s="82" t="n">
        <x:v>90</x:v>
      </x:c>
      <x:c r="G239" t="str">
        <x:v>No</x:v>
      </x:c>
      <x:c r="H239" t="str">
        <x:v>A</x:v>
      </x:c>
      <x:c r="I239" t="str">
        <x:v>Yes</x:v>
      </x:c>
      <x:c r="J239" t="str">
        <x:v>No</x:v>
      </x:c>
      <x:c r="K239" t="str">
        <x:v>No</x:v>
      </x:c>
      <x:c r="L239" t="str">
        <x:f>IF(F239="","UNKNOWN",IF(F239&lt;'WELL INPUTS'!$B$11,"BELOW","OK"))</x:f>
        <x:v>OK</x:v>
      </x:c>
      <x:c r="M239" t="str">
        <x:f>IF(AND('WELL INPUTS'!$B$4="Wet",'WELL INPUTS'!$B$5&gt;0),IF(I239="Yes","CATALOG SOUR","NOT LISTED"),"N/A")</x:f>
        <x:v>N/A</x:v>
      </x:c>
      <x:c r="N239" t="str">
        <x:f>IF(AND('WELL INPUTS'!$B$4="Wet",'WELL INPUTS'!$B$6&gt;0),IF(J239="Yes","ALLOY FAMILY","CORROSION CONTROL"),"N/A")</x:f>
        <x:v>CORROSION CONTROL</x:v>
      </x:c>
      <x:c r="O239" t="str">
        <x:f>IF('WELL INPUTS'!$B$12="Yes",IF(G239="Yes","CLAIMED","NOT LISTED"),"N/A")</x:f>
        <x:v>N/A</x:v>
      </x:c>
      <x:c r="P239" t="str">
        <x:f>IF(OR('WELL INPUTS'!$B$13="Unrestricted",CODE(H239)&lt;=CODE('WELL INPUTS'!$B$13)),"WITHIN TIER","OVER CAP")</x:f>
        <x:v>WITHIN TIER</x:v>
      </x:c>
      <x:c r="Q239" t="n">
        <x:f>MAX(0,MIN(100,43+IF(L239="OK",14,-20)+IF(M239="CATALOG SOUR",24,IF(M239="NOT LISTED",-18,0))+IF(N239="ALLOY FAMILY",14,IF(N239="CORROSION CONTROL",-13,0))+IF(O239="CLAIMED",17,IF(O239="NOT LISTED",-14,0))+IF(K239="Yes",-15,0)+IF('WELL INPUTS'!$B$10="Yes",-17,0)))</x:f>
        <x:v>44</x:v>
      </x:c>
      <x:c r="R239" s="83" t="str">
        <x:f>IF(L239="BELOW","EXCLUDE — STRENGTH",IF(P239="OVER CAP","EXCLUDE — COST",IF(K239="Yes",IF('WELL INPUTS'!$B$14="No","EXCLUDE — REFERENCE","REFERENCE ONLY"),IF(OR(L239="UNKNOWN",M239="NOT LISTED",N239="CORROSION CONTROL",O239="NOT LISTED",'WELL INPUTS'!$B$10="Yes",'WELL INPUTS'!$B$4="Unknown"),"REVIEW","CANDIDATE — VERIFY"))))</x:f>
        <x:v>REVIEW</x:v>
      </x:c>
      <x:c r="S239" t="str">
        <x:f>IF(L239="BELOW","Increase minimum grade strength",IF(P239="OVER CAP","Relax cost tier or exclude",IF(K239="Yes","Identify qualified manufacturer grade",IF(M239="NOT LISTED","Confirm sour-service claim and ISO 15156",IF(O239="NOT LISTED","Obtain manufacturer collapse curve",IF(N239="CORROSION CONTROL","Model CO2 corrosion; review inhibition","Confirm corrosion, cracking, loads and connection"))))))</x:f>
        <x:v>Model CO2 corrosion; review inhibition</x:v>
      </x:c>
      <x:c r="T239" t="str">
        <x:v>https://www.tubular.nipponsteel.com/octg-material/application-list/sour-service</x:v>
      </x:c>
    </x:row>
    <x:row r="240" ht="23" customHeight="1">
      <x:c r="A240" t="str">
        <x:v>OCTG-0239</x:v>
      </x:c>
      <x:c r="B240" t="str">
        <x:v>Nippon Steel</x:v>
      </x:c>
      <x:c r="C240" t="str">
        <x:v>SM-90XSD</x:v>
      </x:c>
      <x:c r="D240" t="str">
        <x:v>Carbon / low alloy</x:v>
      </x:c>
      <x:c r="E240" t="str">
        <x:v>Sour service; XS/XSD severe, ES mild/medium severity</x:v>
      </x:c>
      <x:c r="F240" s="82" t="n">
        <x:v>90</x:v>
      </x:c>
      <x:c r="G240" t="str">
        <x:v>No</x:v>
      </x:c>
      <x:c r="H240" t="str">
        <x:v>A</x:v>
      </x:c>
      <x:c r="I240" t="str">
        <x:v>Yes</x:v>
      </x:c>
      <x:c r="J240" t="str">
        <x:v>No</x:v>
      </x:c>
      <x:c r="K240" t="str">
        <x:v>No</x:v>
      </x:c>
      <x:c r="L240" t="str">
        <x:f>IF(F240="","UNKNOWN",IF(F240&lt;'WELL INPUTS'!$B$11,"BELOW","OK"))</x:f>
        <x:v>OK</x:v>
      </x:c>
      <x:c r="M240" t="str">
        <x:f>IF(AND('WELL INPUTS'!$B$4="Wet",'WELL INPUTS'!$B$5&gt;0),IF(I240="Yes","CATALOG SOUR","NOT LISTED"),"N/A")</x:f>
        <x:v>N/A</x:v>
      </x:c>
      <x:c r="N240" t="str">
        <x:f>IF(AND('WELL INPUTS'!$B$4="Wet",'WELL INPUTS'!$B$6&gt;0),IF(J240="Yes","ALLOY FAMILY","CORROSION CONTROL"),"N/A")</x:f>
        <x:v>CORROSION CONTROL</x:v>
      </x:c>
      <x:c r="O240" t="str">
        <x:f>IF('WELL INPUTS'!$B$12="Yes",IF(G240="Yes","CLAIMED","NOT LISTED"),"N/A")</x:f>
        <x:v>N/A</x:v>
      </x:c>
      <x:c r="P240" t="str">
        <x:f>IF(OR('WELL INPUTS'!$B$13="Unrestricted",CODE(H240)&lt;=CODE('WELL INPUTS'!$B$13)),"WITHIN TIER","OVER CAP")</x:f>
        <x:v>WITHIN TIER</x:v>
      </x:c>
      <x:c r="Q240" t="n">
        <x:f>MAX(0,MIN(100,43+IF(L240="OK",14,-20)+IF(M240="CATALOG SOUR",24,IF(M240="NOT LISTED",-18,0))+IF(N240="ALLOY FAMILY",14,IF(N240="CORROSION CONTROL",-13,0))+IF(O240="CLAIMED",17,IF(O240="NOT LISTED",-14,0))+IF(K240="Yes",-15,0)+IF('WELL INPUTS'!$B$10="Yes",-17,0)))</x:f>
        <x:v>44</x:v>
      </x:c>
      <x:c r="R240" s="83" t="str">
        <x:f>IF(L240="BELOW","EXCLUDE — STRENGTH",IF(P240="OVER CAP","EXCLUDE — COST",IF(K240="Yes",IF('WELL INPUTS'!$B$14="No","EXCLUDE — REFERENCE","REFERENCE ONLY"),IF(OR(L240="UNKNOWN",M240="NOT LISTED",N240="CORROSION CONTROL",O240="NOT LISTED",'WELL INPUTS'!$B$10="Yes",'WELL INPUTS'!$B$4="Unknown"),"REVIEW","CANDIDATE — VERIFY"))))</x:f>
        <x:v>REVIEW</x:v>
      </x:c>
      <x:c r="S240" t="str">
        <x:f>IF(L240="BELOW","Increase minimum grade strength",IF(P240="OVER CAP","Relax cost tier or exclude",IF(K240="Yes","Identify qualified manufacturer grade",IF(M240="NOT LISTED","Confirm sour-service claim and ISO 15156",IF(O240="NOT LISTED","Obtain manufacturer collapse curve",IF(N240="CORROSION CONTROL","Model CO2 corrosion; review inhibition","Confirm corrosion, cracking, loads and connection"))))))</x:f>
        <x:v>Model CO2 corrosion; review inhibition</x:v>
      </x:c>
      <x:c r="T240" t="str">
        <x:v>https://www.tubular.nipponsteel.com/octg-material/application-list/sour-service</x:v>
      </x:c>
    </x:row>
    <x:row r="241" ht="23" customHeight="1">
      <x:c r="A241" t="str">
        <x:v>OCTG-0240</x:v>
      </x:c>
      <x:c r="B241" t="str">
        <x:v>Nippon Steel</x:v>
      </x:c>
      <x:c r="C241" t="str">
        <x:v>SM-95T</x:v>
      </x:c>
      <x:c r="D241" t="str">
        <x:v>Carbon / low alloy</x:v>
      </x:c>
      <x:c r="E241" t="str">
        <x:v>High collapse / high strength</x:v>
      </x:c>
      <x:c r="F241" s="82" t="n">
        <x:v>95</x:v>
      </x:c>
      <x:c r="G241" t="str">
        <x:v>Yes</x:v>
      </x:c>
      <x:c r="H241" t="str">
        <x:v>A</x:v>
      </x:c>
      <x:c r="I241" t="str">
        <x:v>No</x:v>
      </x:c>
      <x:c r="J241" t="str">
        <x:v>No</x:v>
      </x:c>
      <x:c r="K241" t="str">
        <x:v>No</x:v>
      </x:c>
      <x:c r="L241" t="str">
        <x:f>IF(F241="","UNKNOWN",IF(F241&lt;'WELL INPUTS'!$B$11,"BELOW","OK"))</x:f>
        <x:v>OK</x:v>
      </x:c>
      <x:c r="M241" t="str">
        <x:f>IF(AND('WELL INPUTS'!$B$4="Wet",'WELL INPUTS'!$B$5&gt;0),IF(I241="Yes","CATALOG SOUR","NOT LISTED"),"N/A")</x:f>
        <x:v>N/A</x:v>
      </x:c>
      <x:c r="N241" t="str">
        <x:f>IF(AND('WELL INPUTS'!$B$4="Wet",'WELL INPUTS'!$B$6&gt;0),IF(J241="Yes","ALLOY FAMILY","CORROSION CONTROL"),"N/A")</x:f>
        <x:v>CORROSION CONTROL</x:v>
      </x:c>
      <x:c r="O241" t="str">
        <x:f>IF('WELL INPUTS'!$B$12="Yes",IF(G241="Yes","CLAIMED","NOT LISTED"),"N/A")</x:f>
        <x:v>N/A</x:v>
      </x:c>
      <x:c r="P241" t="str">
        <x:f>IF(OR('WELL INPUTS'!$B$13="Unrestricted",CODE(H241)&lt;=CODE('WELL INPUTS'!$B$13)),"WITHIN TIER","OVER CAP")</x:f>
        <x:v>WITHIN TIER</x:v>
      </x:c>
      <x:c r="Q241" t="n">
        <x:f>MAX(0,MIN(100,43+IF(L241="OK",14,-20)+IF(M241="CATALOG SOUR",24,IF(M241="NOT LISTED",-18,0))+IF(N241="ALLOY FAMILY",14,IF(N241="CORROSION CONTROL",-13,0))+IF(O241="CLAIMED",17,IF(O241="NOT LISTED",-14,0))+IF(K241="Yes",-15,0)+IF('WELL INPUTS'!$B$10="Yes",-17,0)))</x:f>
        <x:v>44</x:v>
      </x:c>
      <x:c r="R241" s="83" t="str">
        <x:f>IF(L241="BELOW","EXCLUDE — STRENGTH",IF(P241="OVER CAP","EXCLUDE — COST",IF(K241="Yes",IF('WELL INPUTS'!$B$14="No","EXCLUDE — REFERENCE","REFERENCE ONLY"),IF(OR(L241="UNKNOWN",M241="NOT LISTED",N241="CORROSION CONTROL",O241="NOT LISTED",'WELL INPUTS'!$B$10="Yes",'WELL INPUTS'!$B$4="Unknown"),"REVIEW","CANDIDATE — VERIFY"))))</x:f>
        <x:v>REVIEW</x:v>
      </x:c>
      <x:c r="S241" t="str">
        <x:f>IF(L241="BELOW","Increase minimum grade strength",IF(P241="OVER CAP","Relax cost tier or exclude",IF(K241="Yes","Identify qualified manufacturer grade",IF(M241="NOT LISTED","Confirm sour-service claim and ISO 15156",IF(O241="NOT LISTED","Obtain manufacturer collapse curve",IF(N241="CORROSION CONTROL","Model CO2 corrosion; review inhibition","Confirm corrosion, cracking, loads and connection"))))))</x:f>
        <x:v>Model CO2 corrosion; review inhibition</x:v>
      </x:c>
      <x:c r="T241" t="str">
        <x:v>https://www.tubular.nipponsteel.com/octg-material/application-list/high-collapse-high-strength</x:v>
      </x:c>
    </x:row>
    <x:row r="242" ht="23" customHeight="1">
      <x:c r="A242" t="str">
        <x:v>OCTG-0241</x:v>
      </x:c>
      <x:c r="B242" t="str">
        <x:v>Nippon Steel</x:v>
      </x:c>
      <x:c r="C242" t="str">
        <x:v>SM-95TT</x:v>
      </x:c>
      <x:c r="D242" t="str">
        <x:v>Carbon / low alloy</x:v>
      </x:c>
      <x:c r="E242" t="str">
        <x:v>High collapse / high strength</x:v>
      </x:c>
      <x:c r="F242" s="82" t="n">
        <x:v>95</x:v>
      </x:c>
      <x:c r="G242" t="str">
        <x:v>Yes</x:v>
      </x:c>
      <x:c r="H242" t="str">
        <x:v>A</x:v>
      </x:c>
      <x:c r="I242" t="str">
        <x:v>No</x:v>
      </x:c>
      <x:c r="J242" t="str">
        <x:v>No</x:v>
      </x:c>
      <x:c r="K242" t="str">
        <x:v>No</x:v>
      </x:c>
      <x:c r="L242" t="str">
        <x:f>IF(F242="","UNKNOWN",IF(F242&lt;'WELL INPUTS'!$B$11,"BELOW","OK"))</x:f>
        <x:v>OK</x:v>
      </x:c>
      <x:c r="M242" t="str">
        <x:f>IF(AND('WELL INPUTS'!$B$4="Wet",'WELL INPUTS'!$B$5&gt;0),IF(I242="Yes","CATALOG SOUR","NOT LISTED"),"N/A")</x:f>
        <x:v>N/A</x:v>
      </x:c>
      <x:c r="N242" t="str">
        <x:f>IF(AND('WELL INPUTS'!$B$4="Wet",'WELL INPUTS'!$B$6&gt;0),IF(J242="Yes","ALLOY FAMILY","CORROSION CONTROL"),"N/A")</x:f>
        <x:v>CORROSION CONTROL</x:v>
      </x:c>
      <x:c r="O242" t="str">
        <x:f>IF('WELL INPUTS'!$B$12="Yes",IF(G242="Yes","CLAIMED","NOT LISTED"),"N/A")</x:f>
        <x:v>N/A</x:v>
      </x:c>
      <x:c r="P242" t="str">
        <x:f>IF(OR('WELL INPUTS'!$B$13="Unrestricted",CODE(H242)&lt;=CODE('WELL INPUTS'!$B$13)),"WITHIN TIER","OVER CAP")</x:f>
        <x:v>WITHIN TIER</x:v>
      </x:c>
      <x:c r="Q242" t="n">
        <x:f>MAX(0,MIN(100,43+IF(L242="OK",14,-20)+IF(M242="CATALOG SOUR",24,IF(M242="NOT LISTED",-18,0))+IF(N242="ALLOY FAMILY",14,IF(N242="CORROSION CONTROL",-13,0))+IF(O242="CLAIMED",17,IF(O242="NOT LISTED",-14,0))+IF(K242="Yes",-15,0)+IF('WELL INPUTS'!$B$10="Yes",-17,0)))</x:f>
        <x:v>44</x:v>
      </x:c>
      <x:c r="R242" s="83" t="str">
        <x:f>IF(L242="BELOW","EXCLUDE — STRENGTH",IF(P242="OVER CAP","EXCLUDE — COST",IF(K242="Yes",IF('WELL INPUTS'!$B$14="No","EXCLUDE — REFERENCE","REFERENCE ONLY"),IF(OR(L242="UNKNOWN",M242="NOT LISTED",N242="CORROSION CONTROL",O242="NOT LISTED",'WELL INPUTS'!$B$10="Yes",'WELL INPUTS'!$B$4="Unknown"),"REVIEW","CANDIDATE — VERIFY"))))</x:f>
        <x:v>REVIEW</x:v>
      </x:c>
      <x:c r="S242" t="str">
        <x:f>IF(L242="BELOW","Increase minimum grade strength",IF(P242="OVER CAP","Relax cost tier or exclude",IF(K242="Yes","Identify qualified manufacturer grade",IF(M242="NOT LISTED","Confirm sour-service claim and ISO 15156",IF(O242="NOT LISTED","Obtain manufacturer collapse curve",IF(N242="CORROSION CONTROL","Model CO2 corrosion; review inhibition","Confirm corrosion, cracking, loads and connection"))))))</x:f>
        <x:v>Model CO2 corrosion; review inhibition</x:v>
      </x:c>
      <x:c r="T242" t="str">
        <x:v>https://www.tubular.nipponsteel.com/octg-material/application-list/high-collapse-high-strength</x:v>
      </x:c>
    </x:row>
    <x:row r="243" ht="23" customHeight="1">
      <x:c r="A243" t="str">
        <x:v>OCTG-0242</x:v>
      </x:c>
      <x:c r="B243" t="str">
        <x:v>Nippon Steel</x:v>
      </x:c>
      <x:c r="C243" t="str">
        <x:v>SM-95TXS</x:v>
      </x:c>
      <x:c r="D243" t="str">
        <x:v>Carbon / low alloy</x:v>
      </x:c>
      <x:c r="E243" t="str">
        <x:v>High collapse + sour service (SSC); limits by datasheet</x:v>
      </x:c>
      <x:c r="F243" s="82" t="n">
        <x:v>95</x:v>
      </x:c>
      <x:c r="G243" t="str">
        <x:v>Yes</x:v>
      </x:c>
      <x:c r="H243" t="str">
        <x:v>A</x:v>
      </x:c>
      <x:c r="I243" t="str">
        <x:v>Yes</x:v>
      </x:c>
      <x:c r="J243" t="str">
        <x:v>No</x:v>
      </x:c>
      <x:c r="K243" t="str">
        <x:v>No</x:v>
      </x:c>
      <x:c r="L243" t="str">
        <x:f>IF(F243="","UNKNOWN",IF(F243&lt;'WELL INPUTS'!$B$11,"BELOW","OK"))</x:f>
        <x:v>OK</x:v>
      </x:c>
      <x:c r="M243" t="str">
        <x:f>IF(AND('WELL INPUTS'!$B$4="Wet",'WELL INPUTS'!$B$5&gt;0),IF(I243="Yes","CATALOG SOUR","NOT LISTED"),"N/A")</x:f>
        <x:v>N/A</x:v>
      </x:c>
      <x:c r="N243" t="str">
        <x:f>IF(AND('WELL INPUTS'!$B$4="Wet",'WELL INPUTS'!$B$6&gt;0),IF(J243="Yes","ALLOY FAMILY","CORROSION CONTROL"),"N/A")</x:f>
        <x:v>CORROSION CONTROL</x:v>
      </x:c>
      <x:c r="O243" t="str">
        <x:f>IF('WELL INPUTS'!$B$12="Yes",IF(G243="Yes","CLAIMED","NOT LISTED"),"N/A")</x:f>
        <x:v>N/A</x:v>
      </x:c>
      <x:c r="P243" t="str">
        <x:f>IF(OR('WELL INPUTS'!$B$13="Unrestricted",CODE(H243)&lt;=CODE('WELL INPUTS'!$B$13)),"WITHIN TIER","OVER CAP")</x:f>
        <x:v>WITHIN TIER</x:v>
      </x:c>
      <x:c r="Q243" t="n">
        <x:f>MAX(0,MIN(100,43+IF(L243="OK",14,-20)+IF(M243="CATALOG SOUR",24,IF(M243="NOT LISTED",-18,0))+IF(N243="ALLOY FAMILY",14,IF(N243="CORROSION CONTROL",-13,0))+IF(O243="CLAIMED",17,IF(O243="NOT LISTED",-14,0))+IF(K243="Yes",-15,0)+IF('WELL INPUTS'!$B$10="Yes",-17,0)))</x:f>
        <x:v>44</x:v>
      </x:c>
      <x:c r="R243" s="83" t="str">
        <x:f>IF(L243="BELOW","EXCLUDE — STRENGTH",IF(P243="OVER CAP","EXCLUDE — COST",IF(K243="Yes",IF('WELL INPUTS'!$B$14="No","EXCLUDE — REFERENCE","REFERENCE ONLY"),IF(OR(L243="UNKNOWN",M243="NOT LISTED",N243="CORROSION CONTROL",O243="NOT LISTED",'WELL INPUTS'!$B$10="Yes",'WELL INPUTS'!$B$4="Unknown"),"REVIEW","CANDIDATE — VERIFY"))))</x:f>
        <x:v>REVIEW</x:v>
      </x:c>
      <x:c r="S243" t="str">
        <x:f>IF(L243="BELOW","Increase minimum grade strength",IF(P243="OVER CAP","Relax cost tier or exclude",IF(K243="Yes","Identify qualified manufacturer grade",IF(M243="NOT LISTED","Confirm sour-service claim and ISO 15156",IF(O243="NOT LISTED","Obtain manufacturer collapse curve",IF(N243="CORROSION CONTROL","Model CO2 corrosion; review inhibition","Confirm corrosion, cracking, loads and connection"))))))</x:f>
        <x:v>Model CO2 corrosion; review inhibition</x:v>
      </x:c>
      <x:c r="T243" t="str">
        <x:v>https://www.tubular.nipponsteel.com/octg-material/application-list/high-collapse-sour-service</x:v>
      </x:c>
    </x:row>
    <x:row r="244" ht="23" customHeight="1">
      <x:c r="A244" t="str">
        <x:v>OCTG-0243</x:v>
      </x:c>
      <x:c r="B244" t="str">
        <x:v>Nippon Steel</x:v>
      </x:c>
      <x:c r="C244" t="str">
        <x:v>SM-95TXSD</x:v>
      </x:c>
      <x:c r="D244" t="str">
        <x:v>Carbon / low alloy</x:v>
      </x:c>
      <x:c r="E244" t="str">
        <x:v>High collapse + sour service (SSC); limits by datasheet</x:v>
      </x:c>
      <x:c r="F244" s="82" t="n">
        <x:v>95</x:v>
      </x:c>
      <x:c r="G244" t="str">
        <x:v>Yes</x:v>
      </x:c>
      <x:c r="H244" t="str">
        <x:v>A</x:v>
      </x:c>
      <x:c r="I244" t="str">
        <x:v>Yes</x:v>
      </x:c>
      <x:c r="J244" t="str">
        <x:v>No</x:v>
      </x:c>
      <x:c r="K244" t="str">
        <x:v>No</x:v>
      </x:c>
      <x:c r="L244" t="str">
        <x:f>IF(F244="","UNKNOWN",IF(F244&lt;'WELL INPUTS'!$B$11,"BELOW","OK"))</x:f>
        <x:v>OK</x:v>
      </x:c>
      <x:c r="M244" t="str">
        <x:f>IF(AND('WELL INPUTS'!$B$4="Wet",'WELL INPUTS'!$B$5&gt;0),IF(I244="Yes","CATALOG SOUR","NOT LISTED"),"N/A")</x:f>
        <x:v>N/A</x:v>
      </x:c>
      <x:c r="N244" t="str">
        <x:f>IF(AND('WELL INPUTS'!$B$4="Wet",'WELL INPUTS'!$B$6&gt;0),IF(J244="Yes","ALLOY FAMILY","CORROSION CONTROL"),"N/A")</x:f>
        <x:v>CORROSION CONTROL</x:v>
      </x:c>
      <x:c r="O244" t="str">
        <x:f>IF('WELL INPUTS'!$B$12="Yes",IF(G244="Yes","CLAIMED","NOT LISTED"),"N/A")</x:f>
        <x:v>N/A</x:v>
      </x:c>
      <x:c r="P244" t="str">
        <x:f>IF(OR('WELL INPUTS'!$B$13="Unrestricted",CODE(H244)&lt;=CODE('WELL INPUTS'!$B$13)),"WITHIN TIER","OVER CAP")</x:f>
        <x:v>WITHIN TIER</x:v>
      </x:c>
      <x:c r="Q244" t="n">
        <x:f>MAX(0,MIN(100,43+IF(L244="OK",14,-20)+IF(M244="CATALOG SOUR",24,IF(M244="NOT LISTED",-18,0))+IF(N244="ALLOY FAMILY",14,IF(N244="CORROSION CONTROL",-13,0))+IF(O244="CLAIMED",17,IF(O244="NOT LISTED",-14,0))+IF(K244="Yes",-15,0)+IF('WELL INPUTS'!$B$10="Yes",-17,0)))</x:f>
        <x:v>44</x:v>
      </x:c>
      <x:c r="R244" s="83" t="str">
        <x:f>IF(L244="BELOW","EXCLUDE — STRENGTH",IF(P244="OVER CAP","EXCLUDE — COST",IF(K244="Yes",IF('WELL INPUTS'!$B$14="No","EXCLUDE — REFERENCE","REFERENCE ONLY"),IF(OR(L244="UNKNOWN",M244="NOT LISTED",N244="CORROSION CONTROL",O244="NOT LISTED",'WELL INPUTS'!$B$10="Yes",'WELL INPUTS'!$B$4="Unknown"),"REVIEW","CANDIDATE — VERIFY"))))</x:f>
        <x:v>REVIEW</x:v>
      </x:c>
      <x:c r="S244" t="str">
        <x:f>IF(L244="BELOW","Increase minimum grade strength",IF(P244="OVER CAP","Relax cost tier or exclude",IF(K244="Yes","Identify qualified manufacturer grade",IF(M244="NOT LISTED","Confirm sour-service claim and ISO 15156",IF(O244="NOT LISTED","Obtain manufacturer collapse curve",IF(N244="CORROSION CONTROL","Model CO2 corrosion; review inhibition","Confirm corrosion, cracking, loads and connection"))))))</x:f>
        <x:v>Model CO2 corrosion; review inhibition</x:v>
      </x:c>
      <x:c r="T244" t="str">
        <x:v>https://www.tubular.nipponsteel.com/octg-material/application-list/high-collapse-sour-service</x:v>
      </x:c>
    </x:row>
    <x:row r="245" ht="23" customHeight="1">
      <x:c r="A245" t="str">
        <x:v>OCTG-0244</x:v>
      </x:c>
      <x:c r="B245" t="str">
        <x:v>Nippon Steel</x:v>
      </x:c>
      <x:c r="C245" t="str">
        <x:v>SM-95XS</x:v>
      </x:c>
      <x:c r="D245" t="str">
        <x:v>Carbon / low alloy</x:v>
      </x:c>
      <x:c r="E245" t="str">
        <x:v>Sour service; XS/XSD severe, ES mild/medium severity</x:v>
      </x:c>
      <x:c r="F245" s="82" t="n">
        <x:v>95</x:v>
      </x:c>
      <x:c r="G245" t="str">
        <x:v>No</x:v>
      </x:c>
      <x:c r="H245" t="str">
        <x:v>A</x:v>
      </x:c>
      <x:c r="I245" t="str">
        <x:v>Yes</x:v>
      </x:c>
      <x:c r="J245" t="str">
        <x:v>No</x:v>
      </x:c>
      <x:c r="K245" t="str">
        <x:v>No</x:v>
      </x:c>
      <x:c r="L245" t="str">
        <x:f>IF(F245="","UNKNOWN",IF(F245&lt;'WELL INPUTS'!$B$11,"BELOW","OK"))</x:f>
        <x:v>OK</x:v>
      </x:c>
      <x:c r="M245" t="str">
        <x:f>IF(AND('WELL INPUTS'!$B$4="Wet",'WELL INPUTS'!$B$5&gt;0),IF(I245="Yes","CATALOG SOUR","NOT LISTED"),"N/A")</x:f>
        <x:v>N/A</x:v>
      </x:c>
      <x:c r="N245" t="str">
        <x:f>IF(AND('WELL INPUTS'!$B$4="Wet",'WELL INPUTS'!$B$6&gt;0),IF(J245="Yes","ALLOY FAMILY","CORROSION CONTROL"),"N/A")</x:f>
        <x:v>CORROSION CONTROL</x:v>
      </x:c>
      <x:c r="O245" t="str">
        <x:f>IF('WELL INPUTS'!$B$12="Yes",IF(G245="Yes","CLAIMED","NOT LISTED"),"N/A")</x:f>
        <x:v>N/A</x:v>
      </x:c>
      <x:c r="P245" t="str">
        <x:f>IF(OR('WELL INPUTS'!$B$13="Unrestricted",CODE(H245)&lt;=CODE('WELL INPUTS'!$B$13)),"WITHIN TIER","OVER CAP")</x:f>
        <x:v>WITHIN TIER</x:v>
      </x:c>
      <x:c r="Q245" t="n">
        <x:f>MAX(0,MIN(100,43+IF(L245="OK",14,-20)+IF(M245="CATALOG SOUR",24,IF(M245="NOT LISTED",-18,0))+IF(N245="ALLOY FAMILY",14,IF(N245="CORROSION CONTROL",-13,0))+IF(O245="CLAIMED",17,IF(O245="NOT LISTED",-14,0))+IF(K245="Yes",-15,0)+IF('WELL INPUTS'!$B$10="Yes",-17,0)))</x:f>
        <x:v>44</x:v>
      </x:c>
      <x:c r="R245" s="83" t="str">
        <x:f>IF(L245="BELOW","EXCLUDE — STRENGTH",IF(P245="OVER CAP","EXCLUDE — COST",IF(K245="Yes",IF('WELL INPUTS'!$B$14="No","EXCLUDE — REFERENCE","REFERENCE ONLY"),IF(OR(L245="UNKNOWN",M245="NOT LISTED",N245="CORROSION CONTROL",O245="NOT LISTED",'WELL INPUTS'!$B$10="Yes",'WELL INPUTS'!$B$4="Unknown"),"REVIEW","CANDIDATE — VERIFY"))))</x:f>
        <x:v>REVIEW</x:v>
      </x:c>
      <x:c r="S245" t="str">
        <x:f>IF(L245="BELOW","Increase minimum grade strength",IF(P245="OVER CAP","Relax cost tier or exclude",IF(K245="Yes","Identify qualified manufacturer grade",IF(M245="NOT LISTED","Confirm sour-service claim and ISO 15156",IF(O245="NOT LISTED","Obtain manufacturer collapse curve",IF(N245="CORROSION CONTROL","Model CO2 corrosion; review inhibition","Confirm corrosion, cracking, loads and connection"))))))</x:f>
        <x:v>Model CO2 corrosion; review inhibition</x:v>
      </x:c>
      <x:c r="T245" t="str">
        <x:v>https://www.tubular.nipponsteel.com/octg-material/application-list/sour-service</x:v>
      </x:c>
    </x:row>
    <x:row r="246" ht="23" customHeight="1">
      <x:c r="A246" t="str">
        <x:v>OCTG-0245</x:v>
      </x:c>
      <x:c r="B246" t="str">
        <x:v>Nippon Steel</x:v>
      </x:c>
      <x:c r="C246" t="str">
        <x:v>SM-95XSD</x:v>
      </x:c>
      <x:c r="D246" t="str">
        <x:v>Carbon / low alloy</x:v>
      </x:c>
      <x:c r="E246" t="str">
        <x:v>Sour service; XS/XSD severe, ES mild/medium severity</x:v>
      </x:c>
      <x:c r="F246" s="82" t="n">
        <x:v>95</x:v>
      </x:c>
      <x:c r="G246" t="str">
        <x:v>No</x:v>
      </x:c>
      <x:c r="H246" t="str">
        <x:v>A</x:v>
      </x:c>
      <x:c r="I246" t="str">
        <x:v>Yes</x:v>
      </x:c>
      <x:c r="J246" t="str">
        <x:v>No</x:v>
      </x:c>
      <x:c r="K246" t="str">
        <x:v>No</x:v>
      </x:c>
      <x:c r="L246" t="str">
        <x:f>IF(F246="","UNKNOWN",IF(F246&lt;'WELL INPUTS'!$B$11,"BELOW","OK"))</x:f>
        <x:v>OK</x:v>
      </x:c>
      <x:c r="M246" t="str">
        <x:f>IF(AND('WELL INPUTS'!$B$4="Wet",'WELL INPUTS'!$B$5&gt;0),IF(I246="Yes","CATALOG SOUR","NOT LISTED"),"N/A")</x:f>
        <x:v>N/A</x:v>
      </x:c>
      <x:c r="N246" t="str">
        <x:f>IF(AND('WELL INPUTS'!$B$4="Wet",'WELL INPUTS'!$B$6&gt;0),IF(J246="Yes","ALLOY FAMILY","CORROSION CONTROL"),"N/A")</x:f>
        <x:v>CORROSION CONTROL</x:v>
      </x:c>
      <x:c r="O246" t="str">
        <x:f>IF('WELL INPUTS'!$B$12="Yes",IF(G246="Yes","CLAIMED","NOT LISTED"),"N/A")</x:f>
        <x:v>N/A</x:v>
      </x:c>
      <x:c r="P246" t="str">
        <x:f>IF(OR('WELL INPUTS'!$B$13="Unrestricted",CODE(H246)&lt;=CODE('WELL INPUTS'!$B$13)),"WITHIN TIER","OVER CAP")</x:f>
        <x:v>WITHIN TIER</x:v>
      </x:c>
      <x:c r="Q246" t="n">
        <x:f>MAX(0,MIN(100,43+IF(L246="OK",14,-20)+IF(M246="CATALOG SOUR",24,IF(M246="NOT LISTED",-18,0))+IF(N246="ALLOY FAMILY",14,IF(N246="CORROSION CONTROL",-13,0))+IF(O246="CLAIMED",17,IF(O246="NOT LISTED",-14,0))+IF(K246="Yes",-15,0)+IF('WELL INPUTS'!$B$10="Yes",-17,0)))</x:f>
        <x:v>44</x:v>
      </x:c>
      <x:c r="R246" s="83" t="str">
        <x:f>IF(L246="BELOW","EXCLUDE — STRENGTH",IF(P246="OVER CAP","EXCLUDE — COST",IF(K246="Yes",IF('WELL INPUTS'!$B$14="No","EXCLUDE — REFERENCE","REFERENCE ONLY"),IF(OR(L246="UNKNOWN",M246="NOT LISTED",N246="CORROSION CONTROL",O246="NOT LISTED",'WELL INPUTS'!$B$10="Yes",'WELL INPUTS'!$B$4="Unknown"),"REVIEW","CANDIDATE — VERIFY"))))</x:f>
        <x:v>REVIEW</x:v>
      </x:c>
      <x:c r="S246" t="str">
        <x:f>IF(L246="BELOW","Increase minimum grade strength",IF(P246="OVER CAP","Relax cost tier or exclude",IF(K246="Yes","Identify qualified manufacturer grade",IF(M246="NOT LISTED","Confirm sour-service claim and ISO 15156",IF(O246="NOT LISTED","Obtain manufacturer collapse curve",IF(N246="CORROSION CONTROL","Model CO2 corrosion; review inhibition","Confirm corrosion, cracking, loads and connection"))))))</x:f>
        <x:v>Model CO2 corrosion; review inhibition</x:v>
      </x:c>
      <x:c r="T246" t="str">
        <x:v>https://www.tubular.nipponsteel.com/octg-material/application-list/sour-service</x:v>
      </x:c>
    </x:row>
    <x:row r="247" ht="23" customHeight="1">
      <x:c r="A247" t="str">
        <x:v>OCTG-0246</x:v>
      </x:c>
      <x:c r="B247" t="str">
        <x:v>Nippon Steel</x:v>
      </x:c>
      <x:c r="C247" t="str">
        <x:v>SM22CR-110</x:v>
      </x:c>
      <x:c r="D247" t="str">
        <x:v>Duplex 22Cr</x:v>
      </x:c>
      <x:c r="E247" t="str">
        <x:v>Wet CO2, chloride, project-verified H2S</x:v>
      </x:c>
      <x:c r="F247" s="82" t="n">
        <x:v>110</x:v>
      </x:c>
      <x:c r="G247" t="str">
        <x:v>No</x:v>
      </x:c>
      <x:c r="H247" t="str">
        <x:v>F</x:v>
      </x:c>
      <x:c r="I247" t="str">
        <x:v>Yes</x:v>
      </x:c>
      <x:c r="J247" t="str">
        <x:v>Yes</x:v>
      </x:c>
      <x:c r="K247" t="str">
        <x:v>No</x:v>
      </x:c>
      <x:c r="L247" t="str">
        <x:f>IF(F247="","UNKNOWN",IF(F247&lt;'WELL INPUTS'!$B$11,"BELOW","OK"))</x:f>
        <x:v>OK</x:v>
      </x:c>
      <x:c r="M247" t="str">
        <x:f>IF(AND('WELL INPUTS'!$B$4="Wet",'WELL INPUTS'!$B$5&gt;0),IF(I247="Yes","CATALOG SOUR","NOT LISTED"),"N/A")</x:f>
        <x:v>N/A</x:v>
      </x:c>
      <x:c r="N247" t="str">
        <x:f>IF(AND('WELL INPUTS'!$B$4="Wet",'WELL INPUTS'!$B$6&gt;0),IF(J247="Yes","ALLOY FAMILY","CORROSION CONTROL"),"N/A")</x:f>
        <x:v>ALLOY FAMILY</x:v>
      </x:c>
      <x:c r="O247" t="str">
        <x:f>IF('WELL INPUTS'!$B$12="Yes",IF(G247="Yes","CLAIMED","NOT LISTED"),"N/A")</x:f>
        <x:v>N/A</x:v>
      </x:c>
      <x:c r="P247" t="str">
        <x:f>IF(OR('WELL INPUTS'!$B$13="Unrestricted",CODE(H247)&lt;=CODE('WELL INPUTS'!$B$13)),"WITHIN TIER","OVER CAP")</x:f>
        <x:v>WITHIN TIER</x:v>
      </x:c>
      <x:c r="Q247" t="n">
        <x:f>MAX(0,MIN(100,43+IF(L247="OK",14,-20)+IF(M247="CATALOG SOUR",24,IF(M247="NOT LISTED",-18,0))+IF(N247="ALLOY FAMILY",14,IF(N247="CORROSION CONTROL",-13,0))+IF(O247="CLAIMED",17,IF(O247="NOT LISTED",-14,0))+IF(K247="Yes",-15,0)+IF('WELL INPUTS'!$B$10="Yes",-17,0)))</x:f>
        <x:v>71</x:v>
      </x:c>
      <x:c r="R247" s="83" t="str">
        <x:f>IF(L247="BELOW","EXCLUDE — STRENGTH",IF(P247="OVER CAP","EXCLUDE — COST",IF(K247="Yes",IF('WELL INPUTS'!$B$14="No","EXCLUDE — REFERENCE","REFERENCE ONLY"),IF(OR(L247="UNKNOWN",M247="NOT LISTED",N247="CORROSION CONTROL",O247="NOT LISTED",'WELL INPUTS'!$B$10="Yes",'WELL INPUTS'!$B$4="Unknown"),"REVIEW","CANDIDATE — VERIFY"))))</x:f>
        <x:v>CANDIDATE — VERIFY</x:v>
      </x:c>
      <x:c r="S247" t="str">
        <x:f>IF(L247="BELOW","Increase minimum grade strength",IF(P247="OVER CAP","Relax cost tier or exclude",IF(K247="Yes","Identify qualified manufacturer grade",IF(M247="NOT LISTED","Confirm sour-service claim and ISO 15156",IF(O247="NOT LISTED","Obtain manufacturer collapse curve",IF(N247="CORROSION CONTROL","Model CO2 corrosion; review inhibition","Confirm corrosion, cracking, loads and connection"))))))</x:f>
        <x:v>Confirm corrosion, cracking, loads and connection</x:v>
      </x:c>
      <x:c r="T247" t="str">
        <x:v>https://www.tubular.nipponsteel.com/octg-material/application-list/duplex-stainless-steel</x:v>
      </x:c>
    </x:row>
    <x:row r="248" ht="23" customHeight="1">
      <x:c r="A248" t="str">
        <x:v>OCTG-0247</x:v>
      </x:c>
      <x:c r="B248" t="str">
        <x:v>Nippon Steel</x:v>
      </x:c>
      <x:c r="C248" t="str">
        <x:v>SM22CR-125</x:v>
      </x:c>
      <x:c r="D248" t="str">
        <x:v>Duplex 22Cr</x:v>
      </x:c>
      <x:c r="E248" t="str">
        <x:v>Wet CO2, chloride, project-verified H2S</x:v>
      </x:c>
      <x:c r="F248" s="82" t="n">
        <x:v>125</x:v>
      </x:c>
      <x:c r="G248" t="str">
        <x:v>No</x:v>
      </x:c>
      <x:c r="H248" t="str">
        <x:v>F</x:v>
      </x:c>
      <x:c r="I248" t="str">
        <x:v>Yes</x:v>
      </x:c>
      <x:c r="J248" t="str">
        <x:v>Yes</x:v>
      </x:c>
      <x:c r="K248" t="str">
        <x:v>No</x:v>
      </x:c>
      <x:c r="L248" t="str">
        <x:f>IF(F248="","UNKNOWN",IF(F248&lt;'WELL INPUTS'!$B$11,"BELOW","OK"))</x:f>
        <x:v>OK</x:v>
      </x:c>
      <x:c r="M248" t="str">
        <x:f>IF(AND('WELL INPUTS'!$B$4="Wet",'WELL INPUTS'!$B$5&gt;0),IF(I248="Yes","CATALOG SOUR","NOT LISTED"),"N/A")</x:f>
        <x:v>N/A</x:v>
      </x:c>
      <x:c r="N248" t="str">
        <x:f>IF(AND('WELL INPUTS'!$B$4="Wet",'WELL INPUTS'!$B$6&gt;0),IF(J248="Yes","ALLOY FAMILY","CORROSION CONTROL"),"N/A")</x:f>
        <x:v>ALLOY FAMILY</x:v>
      </x:c>
      <x:c r="O248" t="str">
        <x:f>IF('WELL INPUTS'!$B$12="Yes",IF(G248="Yes","CLAIMED","NOT LISTED"),"N/A")</x:f>
        <x:v>N/A</x:v>
      </x:c>
      <x:c r="P248" t="str">
        <x:f>IF(OR('WELL INPUTS'!$B$13="Unrestricted",CODE(H248)&lt;=CODE('WELL INPUTS'!$B$13)),"WITHIN TIER","OVER CAP")</x:f>
        <x:v>WITHIN TIER</x:v>
      </x:c>
      <x:c r="Q248" t="n">
        <x:f>MAX(0,MIN(100,43+IF(L248="OK",14,-20)+IF(M248="CATALOG SOUR",24,IF(M248="NOT LISTED",-18,0))+IF(N248="ALLOY FAMILY",14,IF(N248="CORROSION CONTROL",-13,0))+IF(O248="CLAIMED",17,IF(O248="NOT LISTED",-14,0))+IF(K248="Yes",-15,0)+IF('WELL INPUTS'!$B$10="Yes",-17,0)))</x:f>
        <x:v>71</x:v>
      </x:c>
      <x:c r="R248" s="83" t="str">
        <x:f>IF(L248="BELOW","EXCLUDE — STRENGTH",IF(P248="OVER CAP","EXCLUDE — COST",IF(K248="Yes",IF('WELL INPUTS'!$B$14="No","EXCLUDE — REFERENCE","REFERENCE ONLY"),IF(OR(L248="UNKNOWN",M248="NOT LISTED",N248="CORROSION CONTROL",O248="NOT LISTED",'WELL INPUTS'!$B$10="Yes",'WELL INPUTS'!$B$4="Unknown"),"REVIEW","CANDIDATE — VERIFY"))))</x:f>
        <x:v>CANDIDATE — VERIFY</x:v>
      </x:c>
      <x:c r="S248" t="str">
        <x:f>IF(L248="BELOW","Increase minimum grade strength",IF(P248="OVER CAP","Relax cost tier or exclude",IF(K248="Yes","Identify qualified manufacturer grade",IF(M248="NOT LISTED","Confirm sour-service claim and ISO 15156",IF(O248="NOT LISTED","Obtain manufacturer collapse curve",IF(N248="CORROSION CONTROL","Model CO2 corrosion; review inhibition","Confirm corrosion, cracking, loads and connection"))))))</x:f>
        <x:v>Confirm corrosion, cracking, loads and connection</x:v>
      </x:c>
      <x:c r="T248" t="str">
        <x:v>https://www.tubular.nipponsteel.com/octg-material/application-list/duplex-stainless-steel</x:v>
      </x:c>
    </x:row>
    <x:row r="249" ht="23" customHeight="1">
      <x:c r="A249" t="str">
        <x:v>OCTG-0248</x:v>
      </x:c>
      <x:c r="B249" t="str">
        <x:v>Nippon Steel</x:v>
      </x:c>
      <x:c r="C249" t="str">
        <x:v>SM2242-110</x:v>
      </x:c>
      <x:c r="D249" t="str">
        <x:v>Ni-base CRA</x:v>
      </x:c>
      <x:c r="E249" t="str">
        <x:v>Severe H2S + CO2 + chlorides / high-temperature (confirm material selection envelope)</x:v>
      </x:c>
      <x:c r="F249" s="82" t="n">
        <x:v>110</x:v>
      </x:c>
      <x:c r="G249" t="str">
        <x:v>No</x:v>
      </x:c>
      <x:c r="H249" t="str">
        <x:v>I</x:v>
      </x:c>
      <x:c r="I249" t="str">
        <x:v>Yes</x:v>
      </x:c>
      <x:c r="J249" t="str">
        <x:v>Yes</x:v>
      </x:c>
      <x:c r="K249" t="str">
        <x:v>No</x:v>
      </x:c>
      <x:c r="L249" t="str">
        <x:f>IF(F249="","UNKNOWN",IF(F249&lt;'WELL INPUTS'!$B$11,"BELOW","OK"))</x:f>
        <x:v>OK</x:v>
      </x:c>
      <x:c r="M249" t="str">
        <x:f>IF(AND('WELL INPUTS'!$B$4="Wet",'WELL INPUTS'!$B$5&gt;0),IF(I249="Yes","CATALOG SOUR","NOT LISTED"),"N/A")</x:f>
        <x:v>N/A</x:v>
      </x:c>
      <x:c r="N249" t="str">
        <x:f>IF(AND('WELL INPUTS'!$B$4="Wet",'WELL INPUTS'!$B$6&gt;0),IF(J249="Yes","ALLOY FAMILY","CORROSION CONTROL"),"N/A")</x:f>
        <x:v>ALLOY FAMILY</x:v>
      </x:c>
      <x:c r="O249" t="str">
        <x:f>IF('WELL INPUTS'!$B$12="Yes",IF(G249="Yes","CLAIMED","NOT LISTED"),"N/A")</x:f>
        <x:v>N/A</x:v>
      </x:c>
      <x:c r="P249" t="str">
        <x:f>IF(OR('WELL INPUTS'!$B$13="Unrestricted",CODE(H249)&lt;=CODE('WELL INPUTS'!$B$13)),"WITHIN TIER","OVER CAP")</x:f>
        <x:v>WITHIN TIER</x:v>
      </x:c>
      <x:c r="Q249" t="n">
        <x:f>MAX(0,MIN(100,43+IF(L249="OK",14,-20)+IF(M249="CATALOG SOUR",24,IF(M249="NOT LISTED",-18,0))+IF(N249="ALLOY FAMILY",14,IF(N249="CORROSION CONTROL",-13,0))+IF(O249="CLAIMED",17,IF(O249="NOT LISTED",-14,0))+IF(K249="Yes",-15,0)+IF('WELL INPUTS'!$B$10="Yes",-17,0)))</x:f>
        <x:v>71</x:v>
      </x:c>
      <x:c r="R249" s="83" t="str">
        <x:f>IF(L249="BELOW","EXCLUDE — STRENGTH",IF(P249="OVER CAP","EXCLUDE — COST",IF(K249="Yes",IF('WELL INPUTS'!$B$14="No","EXCLUDE — REFERENCE","REFERENCE ONLY"),IF(OR(L249="UNKNOWN",M249="NOT LISTED",N249="CORROSION CONTROL",O249="NOT LISTED",'WELL INPUTS'!$B$10="Yes",'WELL INPUTS'!$B$4="Unknown"),"REVIEW","CANDIDATE — VERIFY"))))</x:f>
        <x:v>CANDIDATE — VERIFY</x:v>
      </x:c>
      <x:c r="S249" t="str">
        <x:f>IF(L249="BELOW","Increase minimum grade strength",IF(P249="OVER CAP","Relax cost tier or exclude",IF(K249="Yes","Identify qualified manufacturer grade",IF(M249="NOT LISTED","Confirm sour-service claim and ISO 15156",IF(O249="NOT LISTED","Obtain manufacturer collapse curve",IF(N249="CORROSION CONTROL","Model CO2 corrosion; review inhibition","Confirm corrosion, cracking, loads and connection"))))))</x:f>
        <x:v>Confirm corrosion, cracking, loads and connection</x:v>
      </x:c>
      <x:c r="T249" t="str">
        <x:v>https://www.tubular.nipponsteel.com/octg-material/application-list/nickel-alloy</x:v>
      </x:c>
    </x:row>
    <x:row r="250" ht="23" customHeight="1">
      <x:c r="A250" t="str">
        <x:v>OCTG-0249</x:v>
      </x:c>
      <x:c r="B250" t="str">
        <x:v>Nippon Steel</x:v>
      </x:c>
      <x:c r="C250" t="str">
        <x:v>SM2242-125</x:v>
      </x:c>
      <x:c r="D250" t="str">
        <x:v>Ni-base CRA</x:v>
      </x:c>
      <x:c r="E250" t="str">
        <x:v>Severe H2S + CO2 + chlorides / high-temperature (confirm material selection envelope)</x:v>
      </x:c>
      <x:c r="F250" s="82" t="n">
        <x:v>125</x:v>
      </x:c>
      <x:c r="G250" t="str">
        <x:v>No</x:v>
      </x:c>
      <x:c r="H250" t="str">
        <x:v>I</x:v>
      </x:c>
      <x:c r="I250" t="str">
        <x:v>Yes</x:v>
      </x:c>
      <x:c r="J250" t="str">
        <x:v>Yes</x:v>
      </x:c>
      <x:c r="K250" t="str">
        <x:v>No</x:v>
      </x:c>
      <x:c r="L250" t="str">
        <x:f>IF(F250="","UNKNOWN",IF(F250&lt;'WELL INPUTS'!$B$11,"BELOW","OK"))</x:f>
        <x:v>OK</x:v>
      </x:c>
      <x:c r="M250" t="str">
        <x:f>IF(AND('WELL INPUTS'!$B$4="Wet",'WELL INPUTS'!$B$5&gt;0),IF(I250="Yes","CATALOG SOUR","NOT LISTED"),"N/A")</x:f>
        <x:v>N/A</x:v>
      </x:c>
      <x:c r="N250" t="str">
        <x:f>IF(AND('WELL INPUTS'!$B$4="Wet",'WELL INPUTS'!$B$6&gt;0),IF(J250="Yes","ALLOY FAMILY","CORROSION CONTROL"),"N/A")</x:f>
        <x:v>ALLOY FAMILY</x:v>
      </x:c>
      <x:c r="O250" t="str">
        <x:f>IF('WELL INPUTS'!$B$12="Yes",IF(G250="Yes","CLAIMED","NOT LISTED"),"N/A")</x:f>
        <x:v>N/A</x:v>
      </x:c>
      <x:c r="P250" t="str">
        <x:f>IF(OR('WELL INPUTS'!$B$13="Unrestricted",CODE(H250)&lt;=CODE('WELL INPUTS'!$B$13)),"WITHIN TIER","OVER CAP")</x:f>
        <x:v>WITHIN TIER</x:v>
      </x:c>
      <x:c r="Q250" t="n">
        <x:f>MAX(0,MIN(100,43+IF(L250="OK",14,-20)+IF(M250="CATALOG SOUR",24,IF(M250="NOT LISTED",-18,0))+IF(N250="ALLOY FAMILY",14,IF(N250="CORROSION CONTROL",-13,0))+IF(O250="CLAIMED",17,IF(O250="NOT LISTED",-14,0))+IF(K250="Yes",-15,0)+IF('WELL INPUTS'!$B$10="Yes",-17,0)))</x:f>
        <x:v>71</x:v>
      </x:c>
      <x:c r="R250" s="83" t="str">
        <x:f>IF(L250="BELOW","EXCLUDE — STRENGTH",IF(P250="OVER CAP","EXCLUDE — COST",IF(K250="Yes",IF('WELL INPUTS'!$B$14="No","EXCLUDE — REFERENCE","REFERENCE ONLY"),IF(OR(L250="UNKNOWN",M250="NOT LISTED",N250="CORROSION CONTROL",O250="NOT LISTED",'WELL INPUTS'!$B$10="Yes",'WELL INPUTS'!$B$4="Unknown"),"REVIEW","CANDIDATE — VERIFY"))))</x:f>
        <x:v>CANDIDATE — VERIFY</x:v>
      </x:c>
      <x:c r="S250" t="str">
        <x:f>IF(L250="BELOW","Increase minimum grade strength",IF(P250="OVER CAP","Relax cost tier or exclude",IF(K250="Yes","Identify qualified manufacturer grade",IF(M250="NOT LISTED","Confirm sour-service claim and ISO 15156",IF(O250="NOT LISTED","Obtain manufacturer collapse curve",IF(N250="CORROSION CONTROL","Model CO2 corrosion; review inhibition","Confirm corrosion, cracking, loads and connection"))))))</x:f>
        <x:v>Confirm corrosion, cracking, loads and connection</x:v>
      </x:c>
      <x:c r="T250" t="str">
        <x:v>https://www.tubular.nipponsteel.com/octg-material/application-list/nickel-alloy</x:v>
      </x:c>
    </x:row>
    <x:row r="251" ht="23" customHeight="1">
      <x:c r="A251" t="str">
        <x:v>OCTG-0250</x:v>
      </x:c>
      <x:c r="B251" t="str">
        <x:v>Nippon Steel</x:v>
      </x:c>
      <x:c r="C251" t="str">
        <x:v>SM13CR-80</x:v>
      </x:c>
      <x:c r="D251" t="str">
        <x:v>Martensitic 13Cr</x:v>
      </x:c>
      <x:c r="E251" t="str">
        <x:v>Sweet CO2</x:v>
      </x:c>
      <x:c r="F251" s="82" t="n">
        <x:v>80</x:v>
      </x:c>
      <x:c r="G251" t="str">
        <x:v>No</x:v>
      </x:c>
      <x:c r="H251" t="str">
        <x:v>D</x:v>
      </x:c>
      <x:c r="I251" t="str">
        <x:v>No</x:v>
      </x:c>
      <x:c r="J251" t="str">
        <x:v>Yes</x:v>
      </x:c>
      <x:c r="K251" t="str">
        <x:v>No</x:v>
      </x:c>
      <x:c r="L251" t="str">
        <x:f>IF(F251="","UNKNOWN",IF(F251&lt;'WELL INPUTS'!$B$11,"BELOW","OK"))</x:f>
        <x:v>OK</x:v>
      </x:c>
      <x:c r="M251" t="str">
        <x:f>IF(AND('WELL INPUTS'!$B$4="Wet",'WELL INPUTS'!$B$5&gt;0),IF(I251="Yes","CATALOG SOUR","NOT LISTED"),"N/A")</x:f>
        <x:v>N/A</x:v>
      </x:c>
      <x:c r="N251" t="str">
        <x:f>IF(AND('WELL INPUTS'!$B$4="Wet",'WELL INPUTS'!$B$6&gt;0),IF(J251="Yes","ALLOY FAMILY","CORROSION CONTROL"),"N/A")</x:f>
        <x:v>ALLOY FAMILY</x:v>
      </x:c>
      <x:c r="O251" t="str">
        <x:f>IF('WELL INPUTS'!$B$12="Yes",IF(G251="Yes","CLAIMED","NOT LISTED"),"N/A")</x:f>
        <x:v>N/A</x:v>
      </x:c>
      <x:c r="P251" t="str">
        <x:f>IF(OR('WELL INPUTS'!$B$13="Unrestricted",CODE(H251)&lt;=CODE('WELL INPUTS'!$B$13)),"WITHIN TIER","OVER CAP")</x:f>
        <x:v>WITHIN TIER</x:v>
      </x:c>
      <x:c r="Q251" t="n">
        <x:f>MAX(0,MIN(100,43+IF(L251="OK",14,-20)+IF(M251="CATALOG SOUR",24,IF(M251="NOT LISTED",-18,0))+IF(N251="ALLOY FAMILY",14,IF(N251="CORROSION CONTROL",-13,0))+IF(O251="CLAIMED",17,IF(O251="NOT LISTED",-14,0))+IF(K251="Yes",-15,0)+IF('WELL INPUTS'!$B$10="Yes",-17,0)))</x:f>
        <x:v>71</x:v>
      </x:c>
      <x:c r="R251" s="83" t="str">
        <x:f>IF(L251="BELOW","EXCLUDE — STRENGTH",IF(P251="OVER CAP","EXCLUDE — COST",IF(K251="Yes",IF('WELL INPUTS'!$B$14="No","EXCLUDE — REFERENCE","REFERENCE ONLY"),IF(OR(L251="UNKNOWN",M251="NOT LISTED",N251="CORROSION CONTROL",O251="NOT LISTED",'WELL INPUTS'!$B$10="Yes",'WELL INPUTS'!$B$4="Unknown"),"REVIEW","CANDIDATE — VERIFY"))))</x:f>
        <x:v>CANDIDATE — VERIFY</x:v>
      </x:c>
      <x:c r="S251" t="str">
        <x:f>IF(L251="BELOW","Increase minimum grade strength",IF(P251="OVER CAP","Relax cost tier or exclude",IF(K251="Yes","Identify qualified manufacturer grade",IF(M251="NOT LISTED","Confirm sour-service claim and ISO 15156",IF(O251="NOT LISTED","Obtain manufacturer collapse curve",IF(N251="CORROSION CONTROL","Model CO2 corrosion; review inhibition","Confirm corrosion, cracking, loads and connection"))))))</x:f>
        <x:v>Confirm corrosion, cracking, loads and connection</x:v>
      </x:c>
      <x:c r="T251" t="str">
        <x:v>https://www.tubular.nipponsteel.com/octg-material/application-list/martensitic-stainless-steel</x:v>
      </x:c>
    </x:row>
    <x:row r="252" ht="23" customHeight="1">
      <x:c r="A252" t="str">
        <x:v>OCTG-0251</x:v>
      </x:c>
      <x:c r="B252" t="str">
        <x:v>Nippon Steel</x:v>
      </x:c>
      <x:c r="C252" t="str">
        <x:v>SM13CRM-110</x:v>
      </x:c>
      <x:c r="D252" t="str">
        <x:v>Modified / super 13Cr</x:v>
      </x:c>
      <x:c r="E252" t="str">
        <x:v>Sweet CO2 / limited H2S and higher temperatures</x:v>
      </x:c>
      <x:c r="F252" s="82" t="n">
        <x:v>110</x:v>
      </x:c>
      <x:c r="G252" t="str">
        <x:v>No</x:v>
      </x:c>
      <x:c r="H252" t="str">
        <x:v>E</x:v>
      </x:c>
      <x:c r="I252" t="str">
        <x:v>Yes</x:v>
      </x:c>
      <x:c r="J252" t="str">
        <x:v>Yes</x:v>
      </x:c>
      <x:c r="K252" t="str">
        <x:v>No</x:v>
      </x:c>
      <x:c r="L252" t="str">
        <x:f>IF(F252="","UNKNOWN",IF(F252&lt;'WELL INPUTS'!$B$11,"BELOW","OK"))</x:f>
        <x:v>OK</x:v>
      </x:c>
      <x:c r="M252" t="str">
        <x:f>IF(AND('WELL INPUTS'!$B$4="Wet",'WELL INPUTS'!$B$5&gt;0),IF(I252="Yes","CATALOG SOUR","NOT LISTED"),"N/A")</x:f>
        <x:v>N/A</x:v>
      </x:c>
      <x:c r="N252" t="str">
        <x:f>IF(AND('WELL INPUTS'!$B$4="Wet",'WELL INPUTS'!$B$6&gt;0),IF(J252="Yes","ALLOY FAMILY","CORROSION CONTROL"),"N/A")</x:f>
        <x:v>ALLOY FAMILY</x:v>
      </x:c>
      <x:c r="O252" t="str">
        <x:f>IF('WELL INPUTS'!$B$12="Yes",IF(G252="Yes","CLAIMED","NOT LISTED"),"N/A")</x:f>
        <x:v>N/A</x:v>
      </x:c>
      <x:c r="P252" t="str">
        <x:f>IF(OR('WELL INPUTS'!$B$13="Unrestricted",CODE(H252)&lt;=CODE('WELL INPUTS'!$B$13)),"WITHIN TIER","OVER CAP")</x:f>
        <x:v>WITHIN TIER</x:v>
      </x:c>
      <x:c r="Q252" t="n">
        <x:f>MAX(0,MIN(100,43+IF(L252="OK",14,-20)+IF(M252="CATALOG SOUR",24,IF(M252="NOT LISTED",-18,0))+IF(N252="ALLOY FAMILY",14,IF(N252="CORROSION CONTROL",-13,0))+IF(O252="CLAIMED",17,IF(O252="NOT LISTED",-14,0))+IF(K252="Yes",-15,0)+IF('WELL INPUTS'!$B$10="Yes",-17,0)))</x:f>
        <x:v>71</x:v>
      </x:c>
      <x:c r="R252" s="83" t="str">
        <x:f>IF(L252="BELOW","EXCLUDE — STRENGTH",IF(P252="OVER CAP","EXCLUDE — COST",IF(K252="Yes",IF('WELL INPUTS'!$B$14="No","EXCLUDE — REFERENCE","REFERENCE ONLY"),IF(OR(L252="UNKNOWN",M252="NOT LISTED",N252="CORROSION CONTROL",O252="NOT LISTED",'WELL INPUTS'!$B$10="Yes",'WELL INPUTS'!$B$4="Unknown"),"REVIEW","CANDIDATE — VERIFY"))))</x:f>
        <x:v>CANDIDATE — VERIFY</x:v>
      </x:c>
      <x:c r="S252" t="str">
        <x:f>IF(L252="BELOW","Increase minimum grade strength",IF(P252="OVER CAP","Relax cost tier or exclude",IF(K252="Yes","Identify qualified manufacturer grade",IF(M252="NOT LISTED","Confirm sour-service claim and ISO 15156",IF(O252="NOT LISTED","Obtain manufacturer collapse curve",IF(N252="CORROSION CONTROL","Model CO2 corrosion; review inhibition","Confirm corrosion, cracking, loads and connection"))))))</x:f>
        <x:v>Confirm corrosion, cracking, loads and connection</x:v>
      </x:c>
      <x:c r="T252" t="str">
        <x:v>https://www.tubular.nipponsteel.com/octg-material/application-list/martensitic-stainless-steel</x:v>
      </x:c>
    </x:row>
    <x:row r="253" ht="23" customHeight="1">
      <x:c r="A253" t="str">
        <x:v>OCTG-0252</x:v>
      </x:c>
      <x:c r="B253" t="str">
        <x:v>Nippon Steel</x:v>
      </x:c>
      <x:c r="C253" t="str">
        <x:v>SM13CRM-95</x:v>
      </x:c>
      <x:c r="D253" t="str">
        <x:v>Modified / super 13Cr</x:v>
      </x:c>
      <x:c r="E253" t="str">
        <x:v>Sweet CO2 / limited H2S and higher temperatures</x:v>
      </x:c>
      <x:c r="F253" s="82" t="n">
        <x:v>95</x:v>
      </x:c>
      <x:c r="G253" t="str">
        <x:v>No</x:v>
      </x:c>
      <x:c r="H253" t="str">
        <x:v>E</x:v>
      </x:c>
      <x:c r="I253" t="str">
        <x:v>Yes</x:v>
      </x:c>
      <x:c r="J253" t="str">
        <x:v>Yes</x:v>
      </x:c>
      <x:c r="K253" t="str">
        <x:v>No</x:v>
      </x:c>
      <x:c r="L253" t="str">
        <x:f>IF(F253="","UNKNOWN",IF(F253&lt;'WELL INPUTS'!$B$11,"BELOW","OK"))</x:f>
        <x:v>OK</x:v>
      </x:c>
      <x:c r="M253" t="str">
        <x:f>IF(AND('WELL INPUTS'!$B$4="Wet",'WELL INPUTS'!$B$5&gt;0),IF(I253="Yes","CATALOG SOUR","NOT LISTED"),"N/A")</x:f>
        <x:v>N/A</x:v>
      </x:c>
      <x:c r="N253" t="str">
        <x:f>IF(AND('WELL INPUTS'!$B$4="Wet",'WELL INPUTS'!$B$6&gt;0),IF(J253="Yes","ALLOY FAMILY","CORROSION CONTROL"),"N/A")</x:f>
        <x:v>ALLOY FAMILY</x:v>
      </x:c>
      <x:c r="O253" t="str">
        <x:f>IF('WELL INPUTS'!$B$12="Yes",IF(G253="Yes","CLAIMED","NOT LISTED"),"N/A")</x:f>
        <x:v>N/A</x:v>
      </x:c>
      <x:c r="P253" t="str">
        <x:f>IF(OR('WELL INPUTS'!$B$13="Unrestricted",CODE(H253)&lt;=CODE('WELL INPUTS'!$B$13)),"WITHIN TIER","OVER CAP")</x:f>
        <x:v>WITHIN TIER</x:v>
      </x:c>
      <x:c r="Q253" t="n">
        <x:f>MAX(0,MIN(100,43+IF(L253="OK",14,-20)+IF(M253="CATALOG SOUR",24,IF(M253="NOT LISTED",-18,0))+IF(N253="ALLOY FAMILY",14,IF(N253="CORROSION CONTROL",-13,0))+IF(O253="CLAIMED",17,IF(O253="NOT LISTED",-14,0))+IF(K253="Yes",-15,0)+IF('WELL INPUTS'!$B$10="Yes",-17,0)))</x:f>
        <x:v>71</x:v>
      </x:c>
      <x:c r="R253" s="83" t="str">
        <x:f>IF(L253="BELOW","EXCLUDE — STRENGTH",IF(P253="OVER CAP","EXCLUDE — COST",IF(K253="Yes",IF('WELL INPUTS'!$B$14="No","EXCLUDE — REFERENCE","REFERENCE ONLY"),IF(OR(L253="UNKNOWN",M253="NOT LISTED",N253="CORROSION CONTROL",O253="NOT LISTED",'WELL INPUTS'!$B$10="Yes",'WELL INPUTS'!$B$4="Unknown"),"REVIEW","CANDIDATE — VERIFY"))))</x:f>
        <x:v>CANDIDATE — VERIFY</x:v>
      </x:c>
      <x:c r="S253" t="str">
        <x:f>IF(L253="BELOW","Increase minimum grade strength",IF(P253="OVER CAP","Relax cost tier or exclude",IF(K253="Yes","Identify qualified manufacturer grade",IF(M253="NOT LISTED","Confirm sour-service claim and ISO 15156",IF(O253="NOT LISTED","Obtain manufacturer collapse curve",IF(N253="CORROSION CONTROL","Model CO2 corrosion; review inhibition","Confirm corrosion, cracking, loads and connection"))))))</x:f>
        <x:v>Confirm corrosion, cracking, loads and connection</x:v>
      </x:c>
      <x:c r="T253" t="str">
        <x:v>https://www.tubular.nipponsteel.com/octg-material/application-list/martensitic-stainless-steel</x:v>
      </x:c>
    </x:row>
    <x:row r="254" ht="23" customHeight="1">
      <x:c r="A254" t="str">
        <x:v>OCTG-0253</x:v>
      </x:c>
      <x:c r="B254" t="str">
        <x:v>Nippon Steel</x:v>
      </x:c>
      <x:c r="C254" t="str">
        <x:v>SM13CRS-110</x:v>
      </x:c>
      <x:c r="D254" t="str">
        <x:v>Modified / super 13Cr</x:v>
      </x:c>
      <x:c r="E254" t="str">
        <x:v>Sweet CO2 / limited H2S and higher temperatures</x:v>
      </x:c>
      <x:c r="F254" s="82" t="n">
        <x:v>110</x:v>
      </x:c>
      <x:c r="G254" t="str">
        <x:v>No</x:v>
      </x:c>
      <x:c r="H254" t="str">
        <x:v>E</x:v>
      </x:c>
      <x:c r="I254" t="str">
        <x:v>Yes</x:v>
      </x:c>
      <x:c r="J254" t="str">
        <x:v>Yes</x:v>
      </x:c>
      <x:c r="K254" t="str">
        <x:v>No</x:v>
      </x:c>
      <x:c r="L254" t="str">
        <x:f>IF(F254="","UNKNOWN",IF(F254&lt;'WELL INPUTS'!$B$11,"BELOW","OK"))</x:f>
        <x:v>OK</x:v>
      </x:c>
      <x:c r="M254" t="str">
        <x:f>IF(AND('WELL INPUTS'!$B$4="Wet",'WELL INPUTS'!$B$5&gt;0),IF(I254="Yes","CATALOG SOUR","NOT LISTED"),"N/A")</x:f>
        <x:v>N/A</x:v>
      </x:c>
      <x:c r="N254" t="str">
        <x:f>IF(AND('WELL INPUTS'!$B$4="Wet",'WELL INPUTS'!$B$6&gt;0),IF(J254="Yes","ALLOY FAMILY","CORROSION CONTROL"),"N/A")</x:f>
        <x:v>ALLOY FAMILY</x:v>
      </x:c>
      <x:c r="O254" t="str">
        <x:f>IF('WELL INPUTS'!$B$12="Yes",IF(G254="Yes","CLAIMED","NOT LISTED"),"N/A")</x:f>
        <x:v>N/A</x:v>
      </x:c>
      <x:c r="P254" t="str">
        <x:f>IF(OR('WELL INPUTS'!$B$13="Unrestricted",CODE(H254)&lt;=CODE('WELL INPUTS'!$B$13)),"WITHIN TIER","OVER CAP")</x:f>
        <x:v>WITHIN TIER</x:v>
      </x:c>
      <x:c r="Q254" t="n">
        <x:f>MAX(0,MIN(100,43+IF(L254="OK",14,-20)+IF(M254="CATALOG SOUR",24,IF(M254="NOT LISTED",-18,0))+IF(N254="ALLOY FAMILY",14,IF(N254="CORROSION CONTROL",-13,0))+IF(O254="CLAIMED",17,IF(O254="NOT LISTED",-14,0))+IF(K254="Yes",-15,0)+IF('WELL INPUTS'!$B$10="Yes",-17,0)))</x:f>
        <x:v>71</x:v>
      </x:c>
      <x:c r="R254" s="83" t="str">
        <x:f>IF(L254="BELOW","EXCLUDE — STRENGTH",IF(P254="OVER CAP","EXCLUDE — COST",IF(K254="Yes",IF('WELL INPUTS'!$B$14="No","EXCLUDE — REFERENCE","REFERENCE ONLY"),IF(OR(L254="UNKNOWN",M254="NOT LISTED",N254="CORROSION CONTROL",O254="NOT LISTED",'WELL INPUTS'!$B$10="Yes",'WELL INPUTS'!$B$4="Unknown"),"REVIEW","CANDIDATE — VERIFY"))))</x:f>
        <x:v>CANDIDATE — VERIFY</x:v>
      </x:c>
      <x:c r="S254" t="str">
        <x:f>IF(L254="BELOW","Increase minimum grade strength",IF(P254="OVER CAP","Relax cost tier or exclude",IF(K254="Yes","Identify qualified manufacturer grade",IF(M254="NOT LISTED","Confirm sour-service claim and ISO 15156",IF(O254="NOT LISTED","Obtain manufacturer collapse curve",IF(N254="CORROSION CONTROL","Model CO2 corrosion; review inhibition","Confirm corrosion, cracking, loads and connection"))))))</x:f>
        <x:v>Confirm corrosion, cracking, loads and connection</x:v>
      </x:c>
      <x:c r="T254" t="str">
        <x:v>https://www.tubular.nipponsteel.com/octg-material/application-list/martensitic-stainless-steel</x:v>
      </x:c>
    </x:row>
    <x:row r="255" ht="23" customHeight="1">
      <x:c r="A255" t="str">
        <x:v>OCTG-0254</x:v>
      </x:c>
      <x:c r="B255" t="str">
        <x:v>Nippon Steel</x:v>
      </x:c>
      <x:c r="C255" t="str">
        <x:v>SM13CRS-95</x:v>
      </x:c>
      <x:c r="D255" t="str">
        <x:v>Modified / super 13Cr</x:v>
      </x:c>
      <x:c r="E255" t="str">
        <x:v>Sweet CO2 / limited H2S and higher temperatures</x:v>
      </x:c>
      <x:c r="F255" s="82" t="n">
        <x:v>95</x:v>
      </x:c>
      <x:c r="G255" t="str">
        <x:v>No</x:v>
      </x:c>
      <x:c r="H255" t="str">
        <x:v>E</x:v>
      </x:c>
      <x:c r="I255" t="str">
        <x:v>Yes</x:v>
      </x:c>
      <x:c r="J255" t="str">
        <x:v>Yes</x:v>
      </x:c>
      <x:c r="K255" t="str">
        <x:v>No</x:v>
      </x:c>
      <x:c r="L255" t="str">
        <x:f>IF(F255="","UNKNOWN",IF(F255&lt;'WELL INPUTS'!$B$11,"BELOW","OK"))</x:f>
        <x:v>OK</x:v>
      </x:c>
      <x:c r="M255" t="str">
        <x:f>IF(AND('WELL INPUTS'!$B$4="Wet",'WELL INPUTS'!$B$5&gt;0),IF(I255="Yes","CATALOG SOUR","NOT LISTED"),"N/A")</x:f>
        <x:v>N/A</x:v>
      </x:c>
      <x:c r="N255" t="str">
        <x:f>IF(AND('WELL INPUTS'!$B$4="Wet",'WELL INPUTS'!$B$6&gt;0),IF(J255="Yes","ALLOY FAMILY","CORROSION CONTROL"),"N/A")</x:f>
        <x:v>ALLOY FAMILY</x:v>
      </x:c>
      <x:c r="O255" t="str">
        <x:f>IF('WELL INPUTS'!$B$12="Yes",IF(G255="Yes","CLAIMED","NOT LISTED"),"N/A")</x:f>
        <x:v>N/A</x:v>
      </x:c>
      <x:c r="P255" t="str">
        <x:f>IF(OR('WELL INPUTS'!$B$13="Unrestricted",CODE(H255)&lt;=CODE('WELL INPUTS'!$B$13)),"WITHIN TIER","OVER CAP")</x:f>
        <x:v>WITHIN TIER</x:v>
      </x:c>
      <x:c r="Q255" t="n">
        <x:f>MAX(0,MIN(100,43+IF(L255="OK",14,-20)+IF(M255="CATALOG SOUR",24,IF(M255="NOT LISTED",-18,0))+IF(N255="ALLOY FAMILY",14,IF(N255="CORROSION CONTROL",-13,0))+IF(O255="CLAIMED",17,IF(O255="NOT LISTED",-14,0))+IF(K255="Yes",-15,0)+IF('WELL INPUTS'!$B$10="Yes",-17,0)))</x:f>
        <x:v>71</x:v>
      </x:c>
      <x:c r="R255" s="83" t="str">
        <x:f>IF(L255="BELOW","EXCLUDE — STRENGTH",IF(P255="OVER CAP","EXCLUDE — COST",IF(K255="Yes",IF('WELL INPUTS'!$B$14="No","EXCLUDE — REFERENCE","REFERENCE ONLY"),IF(OR(L255="UNKNOWN",M255="NOT LISTED",N255="CORROSION CONTROL",O255="NOT LISTED",'WELL INPUTS'!$B$10="Yes",'WELL INPUTS'!$B$4="Unknown"),"REVIEW","CANDIDATE — VERIFY"))))</x:f>
        <x:v>CANDIDATE — VERIFY</x:v>
      </x:c>
      <x:c r="S255" t="str">
        <x:f>IF(L255="BELOW","Increase minimum grade strength",IF(P255="OVER CAP","Relax cost tier or exclude",IF(K255="Yes","Identify qualified manufacturer grade",IF(M255="NOT LISTED","Confirm sour-service claim and ISO 15156",IF(O255="NOT LISTED","Obtain manufacturer collapse curve",IF(N255="CORROSION CONTROL","Model CO2 corrosion; review inhibition","Confirm corrosion, cracking, loads and connection"))))))</x:f>
        <x:v>Confirm corrosion, cracking, loads and connection</x:v>
      </x:c>
      <x:c r="T255" t="str">
        <x:v>https://www.tubular.nipponsteel.com/octg-material/application-list/martensitic-stainless-steel</x:v>
      </x:c>
    </x:row>
    <x:row r="256" ht="23" customHeight="1">
      <x:c r="A256" t="str">
        <x:v>OCTG-0255</x:v>
      </x:c>
      <x:c r="B256" t="str">
        <x:v>Nippon Steel</x:v>
      </x:c>
      <x:c r="C256" t="str">
        <x:v>SM2050-110</x:v>
      </x:c>
      <x:c r="D256" t="str">
        <x:v>Ni-base CRA</x:v>
      </x:c>
      <x:c r="E256" t="str">
        <x:v>Severe H2S + CO2 + chlorides / high-temperature (confirm material selection envelope)</x:v>
      </x:c>
      <x:c r="F256" s="82" t="n">
        <x:v>110</x:v>
      </x:c>
      <x:c r="G256" t="str">
        <x:v>No</x:v>
      </x:c>
      <x:c r="H256" t="str">
        <x:v>I</x:v>
      </x:c>
      <x:c r="I256" t="str">
        <x:v>Yes</x:v>
      </x:c>
      <x:c r="J256" t="str">
        <x:v>Yes</x:v>
      </x:c>
      <x:c r="K256" t="str">
        <x:v>No</x:v>
      </x:c>
      <x:c r="L256" t="str">
        <x:f>IF(F256="","UNKNOWN",IF(F256&lt;'WELL INPUTS'!$B$11,"BELOW","OK"))</x:f>
        <x:v>OK</x:v>
      </x:c>
      <x:c r="M256" t="str">
        <x:f>IF(AND('WELL INPUTS'!$B$4="Wet",'WELL INPUTS'!$B$5&gt;0),IF(I256="Yes","CATALOG SOUR","NOT LISTED"),"N/A")</x:f>
        <x:v>N/A</x:v>
      </x:c>
      <x:c r="N256" t="str">
        <x:f>IF(AND('WELL INPUTS'!$B$4="Wet",'WELL INPUTS'!$B$6&gt;0),IF(J256="Yes","ALLOY FAMILY","CORROSION CONTROL"),"N/A")</x:f>
        <x:v>ALLOY FAMILY</x:v>
      </x:c>
      <x:c r="O256" t="str">
        <x:f>IF('WELL INPUTS'!$B$12="Yes",IF(G256="Yes","CLAIMED","NOT LISTED"),"N/A")</x:f>
        <x:v>N/A</x:v>
      </x:c>
      <x:c r="P256" t="str">
        <x:f>IF(OR('WELL INPUTS'!$B$13="Unrestricted",CODE(H256)&lt;=CODE('WELL INPUTS'!$B$13)),"WITHIN TIER","OVER CAP")</x:f>
        <x:v>WITHIN TIER</x:v>
      </x:c>
      <x:c r="Q256" t="n">
        <x:f>MAX(0,MIN(100,43+IF(L256="OK",14,-20)+IF(M256="CATALOG SOUR",24,IF(M256="NOT LISTED",-18,0))+IF(N256="ALLOY FAMILY",14,IF(N256="CORROSION CONTROL",-13,0))+IF(O256="CLAIMED",17,IF(O256="NOT LISTED",-14,0))+IF(K256="Yes",-15,0)+IF('WELL INPUTS'!$B$10="Yes",-17,0)))</x:f>
        <x:v>71</x:v>
      </x:c>
      <x:c r="R256" s="83" t="str">
        <x:f>IF(L256="BELOW","EXCLUDE — STRENGTH",IF(P256="OVER CAP","EXCLUDE — COST",IF(K256="Yes",IF('WELL INPUTS'!$B$14="No","EXCLUDE — REFERENCE","REFERENCE ONLY"),IF(OR(L256="UNKNOWN",M256="NOT LISTED",N256="CORROSION CONTROL",O256="NOT LISTED",'WELL INPUTS'!$B$10="Yes",'WELL INPUTS'!$B$4="Unknown"),"REVIEW","CANDIDATE — VERIFY"))))</x:f>
        <x:v>CANDIDATE — VERIFY</x:v>
      </x:c>
      <x:c r="S256" t="str">
        <x:f>IF(L256="BELOW","Increase minimum grade strength",IF(P256="OVER CAP","Relax cost tier or exclude",IF(K256="Yes","Identify qualified manufacturer grade",IF(M256="NOT LISTED","Confirm sour-service claim and ISO 15156",IF(O256="NOT LISTED","Obtain manufacturer collapse curve",IF(N256="CORROSION CONTROL","Model CO2 corrosion; review inhibition","Confirm corrosion, cracking, loads and connection"))))))</x:f>
        <x:v>Confirm corrosion, cracking, loads and connection</x:v>
      </x:c>
      <x:c r="T256" t="str">
        <x:v>https://www.tubular.nipponsteel.com/octg-material/application-list/nickel-alloy</x:v>
      </x:c>
    </x:row>
    <x:row r="257" ht="23" customHeight="1">
      <x:c r="A257" t="str">
        <x:v>OCTG-0256</x:v>
      </x:c>
      <x:c r="B257" t="str">
        <x:v>Nippon Steel</x:v>
      </x:c>
      <x:c r="C257" t="str">
        <x:v>SM2050-125</x:v>
      </x:c>
      <x:c r="D257" t="str">
        <x:v>Ni-base CRA</x:v>
      </x:c>
      <x:c r="E257" t="str">
        <x:v>Severe H2S + CO2 + chlorides / high-temperature (confirm material selection envelope)</x:v>
      </x:c>
      <x:c r="F257" s="82" t="n">
        <x:v>125</x:v>
      </x:c>
      <x:c r="G257" t="str">
        <x:v>No</x:v>
      </x:c>
      <x:c r="H257" t="str">
        <x:v>I</x:v>
      </x:c>
      <x:c r="I257" t="str">
        <x:v>Yes</x:v>
      </x:c>
      <x:c r="J257" t="str">
        <x:v>Yes</x:v>
      </x:c>
      <x:c r="K257" t="str">
        <x:v>No</x:v>
      </x:c>
      <x:c r="L257" t="str">
        <x:f>IF(F257="","UNKNOWN",IF(F257&lt;'WELL INPUTS'!$B$11,"BELOW","OK"))</x:f>
        <x:v>OK</x:v>
      </x:c>
      <x:c r="M257" t="str">
        <x:f>IF(AND('WELL INPUTS'!$B$4="Wet",'WELL INPUTS'!$B$5&gt;0),IF(I257="Yes","CATALOG SOUR","NOT LISTED"),"N/A")</x:f>
        <x:v>N/A</x:v>
      </x:c>
      <x:c r="N257" t="str">
        <x:f>IF(AND('WELL INPUTS'!$B$4="Wet",'WELL INPUTS'!$B$6&gt;0),IF(J257="Yes","ALLOY FAMILY","CORROSION CONTROL"),"N/A")</x:f>
        <x:v>ALLOY FAMILY</x:v>
      </x:c>
      <x:c r="O257" t="str">
        <x:f>IF('WELL INPUTS'!$B$12="Yes",IF(G257="Yes","CLAIMED","NOT LISTED"),"N/A")</x:f>
        <x:v>N/A</x:v>
      </x:c>
      <x:c r="P257" t="str">
        <x:f>IF(OR('WELL INPUTS'!$B$13="Unrestricted",CODE(H257)&lt;=CODE('WELL INPUTS'!$B$13)),"WITHIN TIER","OVER CAP")</x:f>
        <x:v>WITHIN TIER</x:v>
      </x:c>
      <x:c r="Q257" t="n">
        <x:f>MAX(0,MIN(100,43+IF(L257="OK",14,-20)+IF(M257="CATALOG SOUR",24,IF(M257="NOT LISTED",-18,0))+IF(N257="ALLOY FAMILY",14,IF(N257="CORROSION CONTROL",-13,0))+IF(O257="CLAIMED",17,IF(O257="NOT LISTED",-14,0))+IF(K257="Yes",-15,0)+IF('WELL INPUTS'!$B$10="Yes",-17,0)))</x:f>
        <x:v>71</x:v>
      </x:c>
      <x:c r="R257" s="83" t="str">
        <x:f>IF(L257="BELOW","EXCLUDE — STRENGTH",IF(P257="OVER CAP","EXCLUDE — COST",IF(K257="Yes",IF('WELL INPUTS'!$B$14="No","EXCLUDE — REFERENCE","REFERENCE ONLY"),IF(OR(L257="UNKNOWN",M257="NOT LISTED",N257="CORROSION CONTROL",O257="NOT LISTED",'WELL INPUTS'!$B$10="Yes",'WELL INPUTS'!$B$4="Unknown"),"REVIEW","CANDIDATE — VERIFY"))))</x:f>
        <x:v>CANDIDATE — VERIFY</x:v>
      </x:c>
      <x:c r="S257" t="str">
        <x:f>IF(L257="BELOW","Increase minimum grade strength",IF(P257="OVER CAP","Relax cost tier or exclude",IF(K257="Yes","Identify qualified manufacturer grade",IF(M257="NOT LISTED","Confirm sour-service claim and ISO 15156",IF(O257="NOT LISTED","Obtain manufacturer collapse curve",IF(N257="CORROSION CONTROL","Model CO2 corrosion; review inhibition","Confirm corrosion, cracking, loads and connection"))))))</x:f>
        <x:v>Confirm corrosion, cracking, loads and connection</x:v>
      </x:c>
      <x:c r="T257" t="str">
        <x:v>https://www.tubular.nipponsteel.com/octg-material/application-list/nickel-alloy</x:v>
      </x:c>
    </x:row>
    <x:row r="258" ht="23" customHeight="1">
      <x:c r="A258" t="str">
        <x:v>OCTG-0257</x:v>
      </x:c>
      <x:c r="B258" t="str">
        <x:v>Nippon Steel</x:v>
      </x:c>
      <x:c r="C258" t="str">
        <x:v>SM2535-110</x:v>
      </x:c>
      <x:c r="D258" t="str">
        <x:v>Ni-base CRA</x:v>
      </x:c>
      <x:c r="E258" t="str">
        <x:v>Severe H2S + CO2 + chlorides / high-temperature (confirm material selection envelope)</x:v>
      </x:c>
      <x:c r="F258" s="82" t="n">
        <x:v>110</x:v>
      </x:c>
      <x:c r="G258" t="str">
        <x:v>No</x:v>
      </x:c>
      <x:c r="H258" t="str">
        <x:v>I</x:v>
      </x:c>
      <x:c r="I258" t="str">
        <x:v>Yes</x:v>
      </x:c>
      <x:c r="J258" t="str">
        <x:v>Yes</x:v>
      </x:c>
      <x:c r="K258" t="str">
        <x:v>No</x:v>
      </x:c>
      <x:c r="L258" t="str">
        <x:f>IF(F258="","UNKNOWN",IF(F258&lt;'WELL INPUTS'!$B$11,"BELOW","OK"))</x:f>
        <x:v>OK</x:v>
      </x:c>
      <x:c r="M258" t="str">
        <x:f>IF(AND('WELL INPUTS'!$B$4="Wet",'WELL INPUTS'!$B$5&gt;0),IF(I258="Yes","CATALOG SOUR","NOT LISTED"),"N/A")</x:f>
        <x:v>N/A</x:v>
      </x:c>
      <x:c r="N258" t="str">
        <x:f>IF(AND('WELL INPUTS'!$B$4="Wet",'WELL INPUTS'!$B$6&gt;0),IF(J258="Yes","ALLOY FAMILY","CORROSION CONTROL"),"N/A")</x:f>
        <x:v>ALLOY FAMILY</x:v>
      </x:c>
      <x:c r="O258" t="str">
        <x:f>IF('WELL INPUTS'!$B$12="Yes",IF(G258="Yes","CLAIMED","NOT LISTED"),"N/A")</x:f>
        <x:v>N/A</x:v>
      </x:c>
      <x:c r="P258" t="str">
        <x:f>IF(OR('WELL INPUTS'!$B$13="Unrestricted",CODE(H258)&lt;=CODE('WELL INPUTS'!$B$13)),"WITHIN TIER","OVER CAP")</x:f>
        <x:v>WITHIN TIER</x:v>
      </x:c>
      <x:c r="Q258" t="n">
        <x:f>MAX(0,MIN(100,43+IF(L258="OK",14,-20)+IF(M258="CATALOG SOUR",24,IF(M258="NOT LISTED",-18,0))+IF(N258="ALLOY FAMILY",14,IF(N258="CORROSION CONTROL",-13,0))+IF(O258="CLAIMED",17,IF(O258="NOT LISTED",-14,0))+IF(K258="Yes",-15,0)+IF('WELL INPUTS'!$B$10="Yes",-17,0)))</x:f>
        <x:v>71</x:v>
      </x:c>
      <x:c r="R258" s="83" t="str">
        <x:f>IF(L258="BELOW","EXCLUDE — STRENGTH",IF(P258="OVER CAP","EXCLUDE — COST",IF(K258="Yes",IF('WELL INPUTS'!$B$14="No","EXCLUDE — REFERENCE","REFERENCE ONLY"),IF(OR(L258="UNKNOWN",M258="NOT LISTED",N258="CORROSION CONTROL",O258="NOT LISTED",'WELL INPUTS'!$B$10="Yes",'WELL INPUTS'!$B$4="Unknown"),"REVIEW","CANDIDATE — VERIFY"))))</x:f>
        <x:v>CANDIDATE — VERIFY</x:v>
      </x:c>
      <x:c r="S258" t="str">
        <x:f>IF(L258="BELOW","Increase minimum grade strength",IF(P258="OVER CAP","Relax cost tier or exclude",IF(K258="Yes","Identify qualified manufacturer grade",IF(M258="NOT LISTED","Confirm sour-service claim and ISO 15156",IF(O258="NOT LISTED","Obtain manufacturer collapse curve",IF(N258="CORROSION CONTROL","Model CO2 corrosion; review inhibition","Confirm corrosion, cracking, loads and connection"))))))</x:f>
        <x:v>Confirm corrosion, cracking, loads and connection</x:v>
      </x:c>
      <x:c r="T258" t="str">
        <x:v>https://www.tubular.nipponsteel.com/octg-material/application-list/nickel-alloy</x:v>
      </x:c>
    </x:row>
    <x:row r="259" ht="23" customHeight="1">
      <x:c r="A259" t="str">
        <x:v>OCTG-0258</x:v>
      </x:c>
      <x:c r="B259" t="str">
        <x:v>Nippon Steel</x:v>
      </x:c>
      <x:c r="C259" t="str">
        <x:v>SM2535-125</x:v>
      </x:c>
      <x:c r="D259" t="str">
        <x:v>Ni-base CRA</x:v>
      </x:c>
      <x:c r="E259" t="str">
        <x:v>Severe H2S + CO2 + chlorides / high-temperature (confirm material selection envelope)</x:v>
      </x:c>
      <x:c r="F259" s="82" t="n">
        <x:v>125</x:v>
      </x:c>
      <x:c r="G259" t="str">
        <x:v>No</x:v>
      </x:c>
      <x:c r="H259" t="str">
        <x:v>I</x:v>
      </x:c>
      <x:c r="I259" t="str">
        <x:v>Yes</x:v>
      </x:c>
      <x:c r="J259" t="str">
        <x:v>Yes</x:v>
      </x:c>
      <x:c r="K259" t="str">
        <x:v>No</x:v>
      </x:c>
      <x:c r="L259" t="str">
        <x:f>IF(F259="","UNKNOWN",IF(F259&lt;'WELL INPUTS'!$B$11,"BELOW","OK"))</x:f>
        <x:v>OK</x:v>
      </x:c>
      <x:c r="M259" t="str">
        <x:f>IF(AND('WELL INPUTS'!$B$4="Wet",'WELL INPUTS'!$B$5&gt;0),IF(I259="Yes","CATALOG SOUR","NOT LISTED"),"N/A")</x:f>
        <x:v>N/A</x:v>
      </x:c>
      <x:c r="N259" t="str">
        <x:f>IF(AND('WELL INPUTS'!$B$4="Wet",'WELL INPUTS'!$B$6&gt;0),IF(J259="Yes","ALLOY FAMILY","CORROSION CONTROL"),"N/A")</x:f>
        <x:v>ALLOY FAMILY</x:v>
      </x:c>
      <x:c r="O259" t="str">
        <x:f>IF('WELL INPUTS'!$B$12="Yes",IF(G259="Yes","CLAIMED","NOT LISTED"),"N/A")</x:f>
        <x:v>N/A</x:v>
      </x:c>
      <x:c r="P259" t="str">
        <x:f>IF(OR('WELL INPUTS'!$B$13="Unrestricted",CODE(H259)&lt;=CODE('WELL INPUTS'!$B$13)),"WITHIN TIER","OVER CAP")</x:f>
        <x:v>WITHIN TIER</x:v>
      </x:c>
      <x:c r="Q259" t="n">
        <x:f>MAX(0,MIN(100,43+IF(L259="OK",14,-20)+IF(M259="CATALOG SOUR",24,IF(M259="NOT LISTED",-18,0))+IF(N259="ALLOY FAMILY",14,IF(N259="CORROSION CONTROL",-13,0))+IF(O259="CLAIMED",17,IF(O259="NOT LISTED",-14,0))+IF(K259="Yes",-15,0)+IF('WELL INPUTS'!$B$10="Yes",-17,0)))</x:f>
        <x:v>71</x:v>
      </x:c>
      <x:c r="R259" s="83" t="str">
        <x:f>IF(L259="BELOW","EXCLUDE — STRENGTH",IF(P259="OVER CAP","EXCLUDE — COST",IF(K259="Yes",IF('WELL INPUTS'!$B$14="No","EXCLUDE — REFERENCE","REFERENCE ONLY"),IF(OR(L259="UNKNOWN",M259="NOT LISTED",N259="CORROSION CONTROL",O259="NOT LISTED",'WELL INPUTS'!$B$10="Yes",'WELL INPUTS'!$B$4="Unknown"),"REVIEW","CANDIDATE — VERIFY"))))</x:f>
        <x:v>CANDIDATE — VERIFY</x:v>
      </x:c>
      <x:c r="S259" t="str">
        <x:f>IF(L259="BELOW","Increase minimum grade strength",IF(P259="OVER CAP","Relax cost tier or exclude",IF(K259="Yes","Identify qualified manufacturer grade",IF(M259="NOT LISTED","Confirm sour-service claim and ISO 15156",IF(O259="NOT LISTED","Obtain manufacturer collapse curve",IF(N259="CORROSION CONTROL","Model CO2 corrosion; review inhibition","Confirm corrosion, cracking, loads and connection"))))))</x:f>
        <x:v>Confirm corrosion, cracking, loads and connection</x:v>
      </x:c>
      <x:c r="T259" t="str">
        <x:v>https://www.tubular.nipponsteel.com/octg-material/application-list/nickel-alloy</x:v>
      </x:c>
    </x:row>
    <x:row r="260" ht="23" customHeight="1">
      <x:c r="A260" t="str">
        <x:v>OCTG-0259</x:v>
      </x:c>
      <x:c r="B260" t="str">
        <x:v>Nippon Steel</x:v>
      </x:c>
      <x:c r="C260" t="str">
        <x:v>SM2550-110</x:v>
      </x:c>
      <x:c r="D260" t="str">
        <x:v>Ni-base CRA</x:v>
      </x:c>
      <x:c r="E260" t="str">
        <x:v>Severe H2S + CO2 + chlorides / high-temperature (confirm material selection envelope)</x:v>
      </x:c>
      <x:c r="F260" s="82" t="n">
        <x:v>110</x:v>
      </x:c>
      <x:c r="G260" t="str">
        <x:v>No</x:v>
      </x:c>
      <x:c r="H260" t="str">
        <x:v>I</x:v>
      </x:c>
      <x:c r="I260" t="str">
        <x:v>Yes</x:v>
      </x:c>
      <x:c r="J260" t="str">
        <x:v>Yes</x:v>
      </x:c>
      <x:c r="K260" t="str">
        <x:v>No</x:v>
      </x:c>
      <x:c r="L260" t="str">
        <x:f>IF(F260="","UNKNOWN",IF(F260&lt;'WELL INPUTS'!$B$11,"BELOW","OK"))</x:f>
        <x:v>OK</x:v>
      </x:c>
      <x:c r="M260" t="str">
        <x:f>IF(AND('WELL INPUTS'!$B$4="Wet",'WELL INPUTS'!$B$5&gt;0),IF(I260="Yes","CATALOG SOUR","NOT LISTED"),"N/A")</x:f>
        <x:v>N/A</x:v>
      </x:c>
      <x:c r="N260" t="str">
        <x:f>IF(AND('WELL INPUTS'!$B$4="Wet",'WELL INPUTS'!$B$6&gt;0),IF(J260="Yes","ALLOY FAMILY","CORROSION CONTROL"),"N/A")</x:f>
        <x:v>ALLOY FAMILY</x:v>
      </x:c>
      <x:c r="O260" t="str">
        <x:f>IF('WELL INPUTS'!$B$12="Yes",IF(G260="Yes","CLAIMED","NOT LISTED"),"N/A")</x:f>
        <x:v>N/A</x:v>
      </x:c>
      <x:c r="P260" t="str">
        <x:f>IF(OR('WELL INPUTS'!$B$13="Unrestricted",CODE(H260)&lt;=CODE('WELL INPUTS'!$B$13)),"WITHIN TIER","OVER CAP")</x:f>
        <x:v>WITHIN TIER</x:v>
      </x:c>
      <x:c r="Q260" t="n">
        <x:f>MAX(0,MIN(100,43+IF(L260="OK",14,-20)+IF(M260="CATALOG SOUR",24,IF(M260="NOT LISTED",-18,0))+IF(N260="ALLOY FAMILY",14,IF(N260="CORROSION CONTROL",-13,0))+IF(O260="CLAIMED",17,IF(O260="NOT LISTED",-14,0))+IF(K260="Yes",-15,0)+IF('WELL INPUTS'!$B$10="Yes",-17,0)))</x:f>
        <x:v>71</x:v>
      </x:c>
      <x:c r="R260" s="83" t="str">
        <x:f>IF(L260="BELOW","EXCLUDE — STRENGTH",IF(P260="OVER CAP","EXCLUDE — COST",IF(K260="Yes",IF('WELL INPUTS'!$B$14="No","EXCLUDE — REFERENCE","REFERENCE ONLY"),IF(OR(L260="UNKNOWN",M260="NOT LISTED",N260="CORROSION CONTROL",O260="NOT LISTED",'WELL INPUTS'!$B$10="Yes",'WELL INPUTS'!$B$4="Unknown"),"REVIEW","CANDIDATE — VERIFY"))))</x:f>
        <x:v>CANDIDATE — VERIFY</x:v>
      </x:c>
      <x:c r="S260" t="str">
        <x:f>IF(L260="BELOW","Increase minimum grade strength",IF(P260="OVER CAP","Relax cost tier or exclude",IF(K260="Yes","Identify qualified manufacturer grade",IF(M260="NOT LISTED","Confirm sour-service claim and ISO 15156",IF(O260="NOT LISTED","Obtain manufacturer collapse curve",IF(N260="CORROSION CONTROL","Model CO2 corrosion; review inhibition","Confirm corrosion, cracking, loads and connection"))))))</x:f>
        <x:v>Confirm corrosion, cracking, loads and connection</x:v>
      </x:c>
      <x:c r="T260" t="str">
        <x:v>https://www.tubular.nipponsteel.com/octg-material/application-list/nickel-alloy</x:v>
      </x:c>
    </x:row>
    <x:row r="261" ht="23" customHeight="1">
      <x:c r="A261" t="str">
        <x:v>OCTG-0260</x:v>
      </x:c>
      <x:c r="B261" t="str">
        <x:v>Nippon Steel</x:v>
      </x:c>
      <x:c r="C261" t="str">
        <x:v>SM2550-125</x:v>
      </x:c>
      <x:c r="D261" t="str">
        <x:v>Ni-base CRA</x:v>
      </x:c>
      <x:c r="E261" t="str">
        <x:v>Severe H2S + CO2 + chlorides / high-temperature (confirm material selection envelope)</x:v>
      </x:c>
      <x:c r="F261" s="82" t="n">
        <x:v>125</x:v>
      </x:c>
      <x:c r="G261" t="str">
        <x:v>No</x:v>
      </x:c>
      <x:c r="H261" t="str">
        <x:v>I</x:v>
      </x:c>
      <x:c r="I261" t="str">
        <x:v>Yes</x:v>
      </x:c>
      <x:c r="J261" t="str">
        <x:v>Yes</x:v>
      </x:c>
      <x:c r="K261" t="str">
        <x:v>No</x:v>
      </x:c>
      <x:c r="L261" t="str">
        <x:f>IF(F261="","UNKNOWN",IF(F261&lt;'WELL INPUTS'!$B$11,"BELOW","OK"))</x:f>
        <x:v>OK</x:v>
      </x:c>
      <x:c r="M261" t="str">
        <x:f>IF(AND('WELL INPUTS'!$B$4="Wet",'WELL INPUTS'!$B$5&gt;0),IF(I261="Yes","CATALOG SOUR","NOT LISTED"),"N/A")</x:f>
        <x:v>N/A</x:v>
      </x:c>
      <x:c r="N261" t="str">
        <x:f>IF(AND('WELL INPUTS'!$B$4="Wet",'WELL INPUTS'!$B$6&gt;0),IF(J261="Yes","ALLOY FAMILY","CORROSION CONTROL"),"N/A")</x:f>
        <x:v>ALLOY FAMILY</x:v>
      </x:c>
      <x:c r="O261" t="str">
        <x:f>IF('WELL INPUTS'!$B$12="Yes",IF(G261="Yes","CLAIMED","NOT LISTED"),"N/A")</x:f>
        <x:v>N/A</x:v>
      </x:c>
      <x:c r="P261" t="str">
        <x:f>IF(OR('WELL INPUTS'!$B$13="Unrestricted",CODE(H261)&lt;=CODE('WELL INPUTS'!$B$13)),"WITHIN TIER","OVER CAP")</x:f>
        <x:v>WITHIN TIER</x:v>
      </x:c>
      <x:c r="Q261" t="n">
        <x:f>MAX(0,MIN(100,43+IF(L261="OK",14,-20)+IF(M261="CATALOG SOUR",24,IF(M261="NOT LISTED",-18,0))+IF(N261="ALLOY FAMILY",14,IF(N261="CORROSION CONTROL",-13,0))+IF(O261="CLAIMED",17,IF(O261="NOT LISTED",-14,0))+IF(K261="Yes",-15,0)+IF('WELL INPUTS'!$B$10="Yes",-17,0)))</x:f>
        <x:v>71</x:v>
      </x:c>
      <x:c r="R261" s="83" t="str">
        <x:f>IF(L261="BELOW","EXCLUDE — STRENGTH",IF(P261="OVER CAP","EXCLUDE — COST",IF(K261="Yes",IF('WELL INPUTS'!$B$14="No","EXCLUDE — REFERENCE","REFERENCE ONLY"),IF(OR(L261="UNKNOWN",M261="NOT LISTED",N261="CORROSION CONTROL",O261="NOT LISTED",'WELL INPUTS'!$B$10="Yes",'WELL INPUTS'!$B$4="Unknown"),"REVIEW","CANDIDATE — VERIFY"))))</x:f>
        <x:v>CANDIDATE — VERIFY</x:v>
      </x:c>
      <x:c r="S261" t="str">
        <x:f>IF(L261="BELOW","Increase minimum grade strength",IF(P261="OVER CAP","Relax cost tier or exclude",IF(K261="Yes","Identify qualified manufacturer grade",IF(M261="NOT LISTED","Confirm sour-service claim and ISO 15156",IF(O261="NOT LISTED","Obtain manufacturer collapse curve",IF(N261="CORROSION CONTROL","Model CO2 corrosion; review inhibition","Confirm corrosion, cracking, loads and connection"))))))</x:f>
        <x:v>Confirm corrosion, cracking, loads and connection</x:v>
      </x:c>
      <x:c r="T261" t="str">
        <x:v>https://www.tubular.nipponsteel.com/octg-material/application-list/nickel-alloy</x:v>
      </x:c>
    </x:row>
    <x:row r="262" ht="23" customHeight="1">
      <x:c r="A262" t="str">
        <x:v>OCTG-0261</x:v>
      </x:c>
      <x:c r="B262" t="str">
        <x:v>Nippon Steel</x:v>
      </x:c>
      <x:c r="C262" t="str">
        <x:v>SMC276-110</x:v>
      </x:c>
      <x:c r="D262" t="str">
        <x:v>Ni-base CRA</x:v>
      </x:c>
      <x:c r="E262" t="str">
        <x:v>Severe H2S + CO2 + chlorides / high-temperature (confirm material selection envelope)</x:v>
      </x:c>
      <x:c r="F262" s="82" t="n">
        <x:v>110</x:v>
      </x:c>
      <x:c r="G262" t="str">
        <x:v>No</x:v>
      </x:c>
      <x:c r="H262" t="str">
        <x:v>I</x:v>
      </x:c>
      <x:c r="I262" t="str">
        <x:v>Yes</x:v>
      </x:c>
      <x:c r="J262" t="str">
        <x:v>Yes</x:v>
      </x:c>
      <x:c r="K262" t="str">
        <x:v>No</x:v>
      </x:c>
      <x:c r="L262" t="str">
        <x:f>IF(F262="","UNKNOWN",IF(F262&lt;'WELL INPUTS'!$B$11,"BELOW","OK"))</x:f>
        <x:v>OK</x:v>
      </x:c>
      <x:c r="M262" t="str">
        <x:f>IF(AND('WELL INPUTS'!$B$4="Wet",'WELL INPUTS'!$B$5&gt;0),IF(I262="Yes","CATALOG SOUR","NOT LISTED"),"N/A")</x:f>
        <x:v>N/A</x:v>
      </x:c>
      <x:c r="N262" t="str">
        <x:f>IF(AND('WELL INPUTS'!$B$4="Wet",'WELL INPUTS'!$B$6&gt;0),IF(J262="Yes","ALLOY FAMILY","CORROSION CONTROL"),"N/A")</x:f>
        <x:v>ALLOY FAMILY</x:v>
      </x:c>
      <x:c r="O262" t="str">
        <x:f>IF('WELL INPUTS'!$B$12="Yes",IF(G262="Yes","CLAIMED","NOT LISTED"),"N/A")</x:f>
        <x:v>N/A</x:v>
      </x:c>
      <x:c r="P262" t="str">
        <x:f>IF(OR('WELL INPUTS'!$B$13="Unrestricted",CODE(H262)&lt;=CODE('WELL INPUTS'!$B$13)),"WITHIN TIER","OVER CAP")</x:f>
        <x:v>WITHIN TIER</x:v>
      </x:c>
      <x:c r="Q262" t="n">
        <x:f>MAX(0,MIN(100,43+IF(L262="OK",14,-20)+IF(M262="CATALOG SOUR",24,IF(M262="NOT LISTED",-18,0))+IF(N262="ALLOY FAMILY",14,IF(N262="CORROSION CONTROL",-13,0))+IF(O262="CLAIMED",17,IF(O262="NOT LISTED",-14,0))+IF(K262="Yes",-15,0)+IF('WELL INPUTS'!$B$10="Yes",-17,0)))</x:f>
        <x:v>71</x:v>
      </x:c>
      <x:c r="R262" s="83" t="str">
        <x:f>IF(L262="BELOW","EXCLUDE — STRENGTH",IF(P262="OVER CAP","EXCLUDE — COST",IF(K262="Yes",IF('WELL INPUTS'!$B$14="No","EXCLUDE — REFERENCE","REFERENCE ONLY"),IF(OR(L262="UNKNOWN",M262="NOT LISTED",N262="CORROSION CONTROL",O262="NOT LISTED",'WELL INPUTS'!$B$10="Yes",'WELL INPUTS'!$B$4="Unknown"),"REVIEW","CANDIDATE — VERIFY"))))</x:f>
        <x:v>CANDIDATE — VERIFY</x:v>
      </x:c>
      <x:c r="S262" t="str">
        <x:f>IF(L262="BELOW","Increase minimum grade strength",IF(P262="OVER CAP","Relax cost tier or exclude",IF(K262="Yes","Identify qualified manufacturer grade",IF(M262="NOT LISTED","Confirm sour-service claim and ISO 15156",IF(O262="NOT LISTED","Obtain manufacturer collapse curve",IF(N262="CORROSION CONTROL","Model CO2 corrosion; review inhibition","Confirm corrosion, cracking, loads and connection"))))))</x:f>
        <x:v>Confirm corrosion, cracking, loads and connection</x:v>
      </x:c>
      <x:c r="T262" t="str">
        <x:v>https://www.tubular.nipponsteel.com/octg-material/application-list/nickel-alloy</x:v>
      </x:c>
    </x:row>
    <x:row r="263" ht="23" customHeight="1">
      <x:c r="A263" t="str">
        <x:v>OCTG-0262</x:v>
      </x:c>
      <x:c r="B263" t="str">
        <x:v>Nippon Steel</x:v>
      </x:c>
      <x:c r="C263" t="str">
        <x:v>SMC276-125</x:v>
      </x:c>
      <x:c r="D263" t="str">
        <x:v>Ni-base CRA</x:v>
      </x:c>
      <x:c r="E263" t="str">
        <x:v>Severe H2S + CO2 + chlorides / high-temperature (confirm material selection envelope)</x:v>
      </x:c>
      <x:c r="F263" s="82" t="n">
        <x:v>125</x:v>
      </x:c>
      <x:c r="G263" t="str">
        <x:v>No</x:v>
      </x:c>
      <x:c r="H263" t="str">
        <x:v>I</x:v>
      </x:c>
      <x:c r="I263" t="str">
        <x:v>Yes</x:v>
      </x:c>
      <x:c r="J263" t="str">
        <x:v>Yes</x:v>
      </x:c>
      <x:c r="K263" t="str">
        <x:v>No</x:v>
      </x:c>
      <x:c r="L263" t="str">
        <x:f>IF(F263="","UNKNOWN",IF(F263&lt;'WELL INPUTS'!$B$11,"BELOW","OK"))</x:f>
        <x:v>OK</x:v>
      </x:c>
      <x:c r="M263" t="str">
        <x:f>IF(AND('WELL INPUTS'!$B$4="Wet",'WELL INPUTS'!$B$5&gt;0),IF(I263="Yes","CATALOG SOUR","NOT LISTED"),"N/A")</x:f>
        <x:v>N/A</x:v>
      </x:c>
      <x:c r="N263" t="str">
        <x:f>IF(AND('WELL INPUTS'!$B$4="Wet",'WELL INPUTS'!$B$6&gt;0),IF(J263="Yes","ALLOY FAMILY","CORROSION CONTROL"),"N/A")</x:f>
        <x:v>ALLOY FAMILY</x:v>
      </x:c>
      <x:c r="O263" t="str">
        <x:f>IF('WELL INPUTS'!$B$12="Yes",IF(G263="Yes","CLAIMED","NOT LISTED"),"N/A")</x:f>
        <x:v>N/A</x:v>
      </x:c>
      <x:c r="P263" t="str">
        <x:f>IF(OR('WELL INPUTS'!$B$13="Unrestricted",CODE(H263)&lt;=CODE('WELL INPUTS'!$B$13)),"WITHIN TIER","OVER CAP")</x:f>
        <x:v>WITHIN TIER</x:v>
      </x:c>
      <x:c r="Q263" t="n">
        <x:f>MAX(0,MIN(100,43+IF(L263="OK",14,-20)+IF(M263="CATALOG SOUR",24,IF(M263="NOT LISTED",-18,0))+IF(N263="ALLOY FAMILY",14,IF(N263="CORROSION CONTROL",-13,0))+IF(O263="CLAIMED",17,IF(O263="NOT LISTED",-14,0))+IF(K263="Yes",-15,0)+IF('WELL INPUTS'!$B$10="Yes",-17,0)))</x:f>
        <x:v>71</x:v>
      </x:c>
      <x:c r="R263" s="83" t="str">
        <x:f>IF(L263="BELOW","EXCLUDE — STRENGTH",IF(P263="OVER CAP","EXCLUDE — COST",IF(K263="Yes",IF('WELL INPUTS'!$B$14="No","EXCLUDE — REFERENCE","REFERENCE ONLY"),IF(OR(L263="UNKNOWN",M263="NOT LISTED",N263="CORROSION CONTROL",O263="NOT LISTED",'WELL INPUTS'!$B$10="Yes",'WELL INPUTS'!$B$4="Unknown"),"REVIEW","CANDIDATE — VERIFY"))))</x:f>
        <x:v>CANDIDATE — VERIFY</x:v>
      </x:c>
      <x:c r="S263" t="str">
        <x:f>IF(L263="BELOW","Increase minimum grade strength",IF(P263="OVER CAP","Relax cost tier or exclude",IF(K263="Yes","Identify qualified manufacturer grade",IF(M263="NOT LISTED","Confirm sour-service claim and ISO 15156",IF(O263="NOT LISTED","Obtain manufacturer collapse curve",IF(N263="CORROSION CONTROL","Model CO2 corrosion; review inhibition","Confirm corrosion, cracking, loads and connection"))))))</x:f>
        <x:v>Confirm corrosion, cracking, loads and connection</x:v>
      </x:c>
      <x:c r="T263" t="str">
        <x:v>https://www.tubular.nipponsteel.com/octg-material/application-list/nickel-alloy</x:v>
      </x:c>
    </x:row>
    <x:row r="264" ht="23" customHeight="1">
      <x:c r="A264" t="str">
        <x:v>OCTG-0263</x:v>
      </x:c>
      <x:c r="B264" t="str">
        <x:v>Nippon Steel</x:v>
      </x:c>
      <x:c r="C264" t="str">
        <x:v>SM25CR-110</x:v>
      </x:c>
      <x:c r="D264" t="str">
        <x:v>Super duplex 25Cr</x:v>
      </x:c>
      <x:c r="E264" t="str">
        <x:v>Wet CO2, high chloride, project-verified H2S</x:v>
      </x:c>
      <x:c r="F264" s="82" t="n">
        <x:v>110</x:v>
      </x:c>
      <x:c r="G264" t="str">
        <x:v>No</x:v>
      </x:c>
      <x:c r="H264" t="str">
        <x:v>G</x:v>
      </x:c>
      <x:c r="I264" t="str">
        <x:v>Yes</x:v>
      </x:c>
      <x:c r="J264" t="str">
        <x:v>Yes</x:v>
      </x:c>
      <x:c r="K264" t="str">
        <x:v>No</x:v>
      </x:c>
      <x:c r="L264" t="str">
        <x:f>IF(F264="","UNKNOWN",IF(F264&lt;'WELL INPUTS'!$B$11,"BELOW","OK"))</x:f>
        <x:v>OK</x:v>
      </x:c>
      <x:c r="M264" t="str">
        <x:f>IF(AND('WELL INPUTS'!$B$4="Wet",'WELL INPUTS'!$B$5&gt;0),IF(I264="Yes","CATALOG SOUR","NOT LISTED"),"N/A")</x:f>
        <x:v>N/A</x:v>
      </x:c>
      <x:c r="N264" t="str">
        <x:f>IF(AND('WELL INPUTS'!$B$4="Wet",'WELL INPUTS'!$B$6&gt;0),IF(J264="Yes","ALLOY FAMILY","CORROSION CONTROL"),"N/A")</x:f>
        <x:v>ALLOY FAMILY</x:v>
      </x:c>
      <x:c r="O264" t="str">
        <x:f>IF('WELL INPUTS'!$B$12="Yes",IF(G264="Yes","CLAIMED","NOT LISTED"),"N/A")</x:f>
        <x:v>N/A</x:v>
      </x:c>
      <x:c r="P264" t="str">
        <x:f>IF(OR('WELL INPUTS'!$B$13="Unrestricted",CODE(H264)&lt;=CODE('WELL INPUTS'!$B$13)),"WITHIN TIER","OVER CAP")</x:f>
        <x:v>WITHIN TIER</x:v>
      </x:c>
      <x:c r="Q264" t="n">
        <x:f>MAX(0,MIN(100,43+IF(L264="OK",14,-20)+IF(M264="CATALOG SOUR",24,IF(M264="NOT LISTED",-18,0))+IF(N264="ALLOY FAMILY",14,IF(N264="CORROSION CONTROL",-13,0))+IF(O264="CLAIMED",17,IF(O264="NOT LISTED",-14,0))+IF(K264="Yes",-15,0)+IF('WELL INPUTS'!$B$10="Yes",-17,0)))</x:f>
        <x:v>71</x:v>
      </x:c>
      <x:c r="R264" s="83" t="str">
        <x:f>IF(L264="BELOW","EXCLUDE — STRENGTH",IF(P264="OVER CAP","EXCLUDE — COST",IF(K264="Yes",IF('WELL INPUTS'!$B$14="No","EXCLUDE — REFERENCE","REFERENCE ONLY"),IF(OR(L264="UNKNOWN",M264="NOT LISTED",N264="CORROSION CONTROL",O264="NOT LISTED",'WELL INPUTS'!$B$10="Yes",'WELL INPUTS'!$B$4="Unknown"),"REVIEW","CANDIDATE — VERIFY"))))</x:f>
        <x:v>CANDIDATE — VERIFY</x:v>
      </x:c>
      <x:c r="S264" t="str">
        <x:f>IF(L264="BELOW","Increase minimum grade strength",IF(P264="OVER CAP","Relax cost tier or exclude",IF(K264="Yes","Identify qualified manufacturer grade",IF(M264="NOT LISTED","Confirm sour-service claim and ISO 15156",IF(O264="NOT LISTED","Obtain manufacturer collapse curve",IF(N264="CORROSION CONTROL","Model CO2 corrosion; review inhibition","Confirm corrosion, cracking, loads and connection"))))))</x:f>
        <x:v>Confirm corrosion, cracking, loads and connection</x:v>
      </x:c>
      <x:c r="T264" t="str">
        <x:v>https://www.tubular.nipponsteel.com/octg-material/application-list/duplex-stainless-steel</x:v>
      </x:c>
    </x:row>
    <x:row r="265" ht="23" customHeight="1">
      <x:c r="A265" t="str">
        <x:v>OCTG-0264</x:v>
      </x:c>
      <x:c r="B265" t="str">
        <x:v>Nippon Steel</x:v>
      </x:c>
      <x:c r="C265" t="str">
        <x:v>SM25CR-125</x:v>
      </x:c>
      <x:c r="D265" t="str">
        <x:v>Super duplex 25Cr</x:v>
      </x:c>
      <x:c r="E265" t="str">
        <x:v>Wet CO2, high chloride, project-verified H2S</x:v>
      </x:c>
      <x:c r="F265" s="82" t="n">
        <x:v>125</x:v>
      </x:c>
      <x:c r="G265" t="str">
        <x:v>No</x:v>
      </x:c>
      <x:c r="H265" t="str">
        <x:v>G</x:v>
      </x:c>
      <x:c r="I265" t="str">
        <x:v>Yes</x:v>
      </x:c>
      <x:c r="J265" t="str">
        <x:v>Yes</x:v>
      </x:c>
      <x:c r="K265" t="str">
        <x:v>No</x:v>
      </x:c>
      <x:c r="L265" t="str">
        <x:f>IF(F265="","UNKNOWN",IF(F265&lt;'WELL INPUTS'!$B$11,"BELOW","OK"))</x:f>
        <x:v>OK</x:v>
      </x:c>
      <x:c r="M265" t="str">
        <x:f>IF(AND('WELL INPUTS'!$B$4="Wet",'WELL INPUTS'!$B$5&gt;0),IF(I265="Yes","CATALOG SOUR","NOT LISTED"),"N/A")</x:f>
        <x:v>N/A</x:v>
      </x:c>
      <x:c r="N265" t="str">
        <x:f>IF(AND('WELL INPUTS'!$B$4="Wet",'WELL INPUTS'!$B$6&gt;0),IF(J265="Yes","ALLOY FAMILY","CORROSION CONTROL"),"N/A")</x:f>
        <x:v>ALLOY FAMILY</x:v>
      </x:c>
      <x:c r="O265" t="str">
        <x:f>IF('WELL INPUTS'!$B$12="Yes",IF(G265="Yes","CLAIMED","NOT LISTED"),"N/A")</x:f>
        <x:v>N/A</x:v>
      </x:c>
      <x:c r="P265" t="str">
        <x:f>IF(OR('WELL INPUTS'!$B$13="Unrestricted",CODE(H265)&lt;=CODE('WELL INPUTS'!$B$13)),"WITHIN TIER","OVER CAP")</x:f>
        <x:v>WITHIN TIER</x:v>
      </x:c>
      <x:c r="Q265" t="n">
        <x:f>MAX(0,MIN(100,43+IF(L265="OK",14,-20)+IF(M265="CATALOG SOUR",24,IF(M265="NOT LISTED",-18,0))+IF(N265="ALLOY FAMILY",14,IF(N265="CORROSION CONTROL",-13,0))+IF(O265="CLAIMED",17,IF(O265="NOT LISTED",-14,0))+IF(K265="Yes",-15,0)+IF('WELL INPUTS'!$B$10="Yes",-17,0)))</x:f>
        <x:v>71</x:v>
      </x:c>
      <x:c r="R265" s="83" t="str">
        <x:f>IF(L265="BELOW","EXCLUDE — STRENGTH",IF(P265="OVER CAP","EXCLUDE — COST",IF(K265="Yes",IF('WELL INPUTS'!$B$14="No","EXCLUDE — REFERENCE","REFERENCE ONLY"),IF(OR(L265="UNKNOWN",M265="NOT LISTED",N265="CORROSION CONTROL",O265="NOT LISTED",'WELL INPUTS'!$B$10="Yes",'WELL INPUTS'!$B$4="Unknown"),"REVIEW","CANDIDATE — VERIFY"))))</x:f>
        <x:v>CANDIDATE — VERIFY</x:v>
      </x:c>
      <x:c r="S265" t="str">
        <x:f>IF(L265="BELOW","Increase minimum grade strength",IF(P265="OVER CAP","Relax cost tier or exclude",IF(K265="Yes","Identify qualified manufacturer grade",IF(M265="NOT LISTED","Confirm sour-service claim and ISO 15156",IF(O265="NOT LISTED","Obtain manufacturer collapse curve",IF(N265="CORROSION CONTROL","Model CO2 corrosion; review inhibition","Confirm corrosion, cracking, loads and connection"))))))</x:f>
        <x:v>Confirm corrosion, cracking, loads and connection</x:v>
      </x:c>
      <x:c r="T265" t="str">
        <x:v>https://www.tubular.nipponsteel.com/octg-material/application-list/duplex-stainless-steel</x:v>
      </x:c>
    </x:row>
    <x:row r="266" ht="23" customHeight="1">
      <x:c r="A266" t="str">
        <x:v>OCTG-0265</x:v>
      </x:c>
      <x:c r="B266" t="str">
        <x:v>Nippon Steel</x:v>
      </x:c>
      <x:c r="C266" t="str">
        <x:v>SM25CRU-80</x:v>
      </x:c>
      <x:c r="D266" t="str">
        <x:v>Super duplex 25Cr</x:v>
      </x:c>
      <x:c r="E266" t="str">
        <x:v>Wet CO2, high chloride, project-verified H2S</x:v>
      </x:c>
      <x:c r="F266" s="82" t="n">
        <x:v>80</x:v>
      </x:c>
      <x:c r="G266" t="str">
        <x:v>No</x:v>
      </x:c>
      <x:c r="H266" t="str">
        <x:v>G</x:v>
      </x:c>
      <x:c r="I266" t="str">
        <x:v>Yes</x:v>
      </x:c>
      <x:c r="J266" t="str">
        <x:v>Yes</x:v>
      </x:c>
      <x:c r="K266" t="str">
        <x:v>No</x:v>
      </x:c>
      <x:c r="L266" t="str">
        <x:f>IF(F266="","UNKNOWN",IF(F266&lt;'WELL INPUTS'!$B$11,"BELOW","OK"))</x:f>
        <x:v>OK</x:v>
      </x:c>
      <x:c r="M266" t="str">
        <x:f>IF(AND('WELL INPUTS'!$B$4="Wet",'WELL INPUTS'!$B$5&gt;0),IF(I266="Yes","CATALOG SOUR","NOT LISTED"),"N/A")</x:f>
        <x:v>N/A</x:v>
      </x:c>
      <x:c r="N266" t="str">
        <x:f>IF(AND('WELL INPUTS'!$B$4="Wet",'WELL INPUTS'!$B$6&gt;0),IF(J266="Yes","ALLOY FAMILY","CORROSION CONTROL"),"N/A")</x:f>
        <x:v>ALLOY FAMILY</x:v>
      </x:c>
      <x:c r="O266" t="str">
        <x:f>IF('WELL INPUTS'!$B$12="Yes",IF(G266="Yes","CLAIMED","NOT LISTED"),"N/A")</x:f>
        <x:v>N/A</x:v>
      </x:c>
      <x:c r="P266" t="str">
        <x:f>IF(OR('WELL INPUTS'!$B$13="Unrestricted",CODE(H266)&lt;=CODE('WELL INPUTS'!$B$13)),"WITHIN TIER","OVER CAP")</x:f>
        <x:v>WITHIN TIER</x:v>
      </x:c>
      <x:c r="Q266" t="n">
        <x:f>MAX(0,MIN(100,43+IF(L266="OK",14,-20)+IF(M266="CATALOG SOUR",24,IF(M266="NOT LISTED",-18,0))+IF(N266="ALLOY FAMILY",14,IF(N266="CORROSION CONTROL",-13,0))+IF(O266="CLAIMED",17,IF(O266="NOT LISTED",-14,0))+IF(K266="Yes",-15,0)+IF('WELL INPUTS'!$B$10="Yes",-17,0)))</x:f>
        <x:v>71</x:v>
      </x:c>
      <x:c r="R266" s="83" t="str">
        <x:f>IF(L266="BELOW","EXCLUDE — STRENGTH",IF(P266="OVER CAP","EXCLUDE — COST",IF(K266="Yes",IF('WELL INPUTS'!$B$14="No","EXCLUDE — REFERENCE","REFERENCE ONLY"),IF(OR(L266="UNKNOWN",M266="NOT LISTED",N266="CORROSION CONTROL",O266="NOT LISTED",'WELL INPUTS'!$B$10="Yes",'WELL INPUTS'!$B$4="Unknown"),"REVIEW","CANDIDATE — VERIFY"))))</x:f>
        <x:v>CANDIDATE — VERIFY</x:v>
      </x:c>
      <x:c r="S266" t="str">
        <x:f>IF(L266="BELOW","Increase minimum grade strength",IF(P266="OVER CAP","Relax cost tier or exclude",IF(K266="Yes","Identify qualified manufacturer grade",IF(M266="NOT LISTED","Confirm sour-service claim and ISO 15156",IF(O266="NOT LISTED","Obtain manufacturer collapse curve",IF(N266="CORROSION CONTROL","Model CO2 corrosion; review inhibition","Confirm corrosion, cracking, loads and connection"))))))</x:f>
        <x:v>Confirm corrosion, cracking, loads and connection</x:v>
      </x:c>
      <x:c r="T266" t="str">
        <x:v>https://www.tubular.nipponsteel.com/octg-material/application-list/duplex-stainless-steel</x:v>
      </x:c>
    </x:row>
    <x:row r="267" ht="23" customHeight="1">
      <x:c r="A267" t="str">
        <x:v>OCTG-0266</x:v>
      </x:c>
      <x:c r="B267" t="str">
        <x:v>Nippon Steel</x:v>
      </x:c>
      <x:c r="C267" t="str">
        <x:v>SM25CRW-125</x:v>
      </x:c>
      <x:c r="D267" t="str">
        <x:v>Super duplex 25Cr</x:v>
      </x:c>
      <x:c r="E267" t="str">
        <x:v>Wet CO2, high chloride, project-verified H2S</x:v>
      </x:c>
      <x:c r="F267" s="82" t="n">
        <x:v>125</x:v>
      </x:c>
      <x:c r="G267" t="str">
        <x:v>No</x:v>
      </x:c>
      <x:c r="H267" t="str">
        <x:v>G</x:v>
      </x:c>
      <x:c r="I267" t="str">
        <x:v>Yes</x:v>
      </x:c>
      <x:c r="J267" t="str">
        <x:v>Yes</x:v>
      </x:c>
      <x:c r="K267" t="str">
        <x:v>No</x:v>
      </x:c>
      <x:c r="L267" t="str">
        <x:f>IF(F267="","UNKNOWN",IF(F267&lt;'WELL INPUTS'!$B$11,"BELOW","OK"))</x:f>
        <x:v>OK</x:v>
      </x:c>
      <x:c r="M267" t="str">
        <x:f>IF(AND('WELL INPUTS'!$B$4="Wet",'WELL INPUTS'!$B$5&gt;0),IF(I267="Yes","CATALOG SOUR","NOT LISTED"),"N/A")</x:f>
        <x:v>N/A</x:v>
      </x:c>
      <x:c r="N267" t="str">
        <x:f>IF(AND('WELL INPUTS'!$B$4="Wet",'WELL INPUTS'!$B$6&gt;0),IF(J267="Yes","ALLOY FAMILY","CORROSION CONTROL"),"N/A")</x:f>
        <x:v>ALLOY FAMILY</x:v>
      </x:c>
      <x:c r="O267" t="str">
        <x:f>IF('WELL INPUTS'!$B$12="Yes",IF(G267="Yes","CLAIMED","NOT LISTED"),"N/A")</x:f>
        <x:v>N/A</x:v>
      </x:c>
      <x:c r="P267" t="str">
        <x:f>IF(OR('WELL INPUTS'!$B$13="Unrestricted",CODE(H267)&lt;=CODE('WELL INPUTS'!$B$13)),"WITHIN TIER","OVER CAP")</x:f>
        <x:v>WITHIN TIER</x:v>
      </x:c>
      <x:c r="Q267" t="n">
        <x:f>MAX(0,MIN(100,43+IF(L267="OK",14,-20)+IF(M267="CATALOG SOUR",24,IF(M267="NOT LISTED",-18,0))+IF(N267="ALLOY FAMILY",14,IF(N267="CORROSION CONTROL",-13,0))+IF(O267="CLAIMED",17,IF(O267="NOT LISTED",-14,0))+IF(K267="Yes",-15,0)+IF('WELL INPUTS'!$B$10="Yes",-17,0)))</x:f>
        <x:v>71</x:v>
      </x:c>
      <x:c r="R267" s="83" t="str">
        <x:f>IF(L267="BELOW","EXCLUDE — STRENGTH",IF(P267="OVER CAP","EXCLUDE — COST",IF(K267="Yes",IF('WELL INPUTS'!$B$14="No","EXCLUDE — REFERENCE","REFERENCE ONLY"),IF(OR(L267="UNKNOWN",M267="NOT LISTED",N267="CORROSION CONTROL",O267="NOT LISTED",'WELL INPUTS'!$B$10="Yes",'WELL INPUTS'!$B$4="Unknown"),"REVIEW","CANDIDATE — VERIFY"))))</x:f>
        <x:v>CANDIDATE — VERIFY</x:v>
      </x:c>
      <x:c r="S267" t="str">
        <x:f>IF(L267="BELOW","Increase minimum grade strength",IF(P267="OVER CAP","Relax cost tier or exclude",IF(K267="Yes","Identify qualified manufacturer grade",IF(M267="NOT LISTED","Confirm sour-service claim and ISO 15156",IF(O267="NOT LISTED","Obtain manufacturer collapse curve",IF(N267="CORROSION CONTROL","Model CO2 corrosion; review inhibition","Confirm corrosion, cracking, loads and connection"))))))</x:f>
        <x:v>Confirm corrosion, cracking, loads and connection</x:v>
      </x:c>
      <x:c r="T267" t="str">
        <x:v>https://www.tubular.nipponsteel.com/octg-material/application-list/duplex-stainless-steel</x:v>
      </x:c>
    </x:row>
    <x:row r="268" ht="23" customHeight="1">
      <x:c r="A268" t="str">
        <x:v>OCTG-0267</x:v>
      </x:c>
      <x:c r="B268" t="str">
        <x:v>JFE Steel</x:v>
      </x:c>
      <x:c r="C268" t="str">
        <x:v>C110-HC</x:v>
      </x:c>
      <x:c r="D268" t="str">
        <x:v>Carbon / low alloy</x:v>
      </x:c>
      <x:c r="E268" t="str">
        <x:v>Sour + high collapse</x:v>
      </x:c>
      <x:c r="F268" s="82" t="n">
        <x:v>110</x:v>
      </x:c>
      <x:c r="G268" t="str">
        <x:v>Yes</x:v>
      </x:c>
      <x:c r="H268" t="str">
        <x:v>A</x:v>
      </x:c>
      <x:c r="I268" t="str">
        <x:v>Yes</x:v>
      </x:c>
      <x:c r="J268" t="str">
        <x:v>No</x:v>
      </x:c>
      <x:c r="K268" t="str">
        <x:v>No</x:v>
      </x:c>
      <x:c r="L268" t="str">
        <x:f>IF(F268="","UNKNOWN",IF(F268&lt;'WELL INPUTS'!$B$11,"BELOW","OK"))</x:f>
        <x:v>OK</x:v>
      </x:c>
      <x:c r="M268" t="str">
        <x:f>IF(AND('WELL INPUTS'!$B$4="Wet",'WELL INPUTS'!$B$5&gt;0),IF(I268="Yes","CATALOG SOUR","NOT LISTED"),"N/A")</x:f>
        <x:v>N/A</x:v>
      </x:c>
      <x:c r="N268" t="str">
        <x:f>IF(AND('WELL INPUTS'!$B$4="Wet",'WELL INPUTS'!$B$6&gt;0),IF(J268="Yes","ALLOY FAMILY","CORROSION CONTROL"),"N/A")</x:f>
        <x:v>CORROSION CONTROL</x:v>
      </x:c>
      <x:c r="O268" t="str">
        <x:f>IF('WELL INPUTS'!$B$12="Yes",IF(G268="Yes","CLAIMED","NOT LISTED"),"N/A")</x:f>
        <x:v>N/A</x:v>
      </x:c>
      <x:c r="P268" t="str">
        <x:f>IF(OR('WELL INPUTS'!$B$13="Unrestricted",CODE(H268)&lt;=CODE('WELL INPUTS'!$B$13)),"WITHIN TIER","OVER CAP")</x:f>
        <x:v>WITHIN TIER</x:v>
      </x:c>
      <x:c r="Q268" t="n">
        <x:f>MAX(0,MIN(100,43+IF(L268="OK",14,-20)+IF(M268="CATALOG SOUR",24,IF(M268="NOT LISTED",-18,0))+IF(N268="ALLOY FAMILY",14,IF(N268="CORROSION CONTROL",-13,0))+IF(O268="CLAIMED",17,IF(O268="NOT LISTED",-14,0))+IF(K268="Yes",-15,0)+IF('WELL INPUTS'!$B$10="Yes",-17,0)))</x:f>
        <x:v>44</x:v>
      </x:c>
      <x:c r="R268" s="83" t="str">
        <x:f>IF(L268="BELOW","EXCLUDE — STRENGTH",IF(P268="OVER CAP","EXCLUDE — COST",IF(K268="Yes",IF('WELL INPUTS'!$B$14="No","EXCLUDE — REFERENCE","REFERENCE ONLY"),IF(OR(L268="UNKNOWN",M268="NOT LISTED",N268="CORROSION CONTROL",O268="NOT LISTED",'WELL INPUTS'!$B$10="Yes",'WELL INPUTS'!$B$4="Unknown"),"REVIEW","CANDIDATE — VERIFY"))))</x:f>
        <x:v>REVIEW</x:v>
      </x:c>
      <x:c r="S268" t="str">
        <x:f>IF(L268="BELOW","Increase minimum grade strength",IF(P268="OVER CAP","Relax cost tier or exclude",IF(K268="Yes","Identify qualified manufacturer grade",IF(M268="NOT LISTED","Confirm sour-service claim and ISO 15156",IF(O268="NOT LISTED","Obtain manufacturer collapse curve",IF(N268="CORROSION CONTROL","Model CO2 corrosion; review inhibition","Confirm corrosion, cracking, loads and connection"))))))</x:f>
        <x:v>Model CO2 corrosion; review inhibition</x:v>
      </x:c>
      <x:c r="T268" t="str">
        <x:v>https://www.jfe-steel.co.jp/en/products/energy/octg/material/grade_table.html</x:v>
      </x:c>
    </x:row>
    <x:row r="269" ht="23" customHeight="1">
      <x:c r="A269" t="str">
        <x:v>OCTG-0268</x:v>
      </x:c>
      <x:c r="B269" t="str">
        <x:v>JFE Steel</x:v>
      </x:c>
      <x:c r="C269" t="str">
        <x:v>C110-HCX</x:v>
      </x:c>
      <x:c r="D269" t="str">
        <x:v>Carbon / low alloy</x:v>
      </x:c>
      <x:c r="E269" t="str">
        <x:v>Sour + high collapse</x:v>
      </x:c>
      <x:c r="F269" s="82" t="n">
        <x:v>110</x:v>
      </x:c>
      <x:c r="G269" t="str">
        <x:v>Yes</x:v>
      </x:c>
      <x:c r="H269" t="str">
        <x:v>A</x:v>
      </x:c>
      <x:c r="I269" t="str">
        <x:v>Yes</x:v>
      </x:c>
      <x:c r="J269" t="str">
        <x:v>No</x:v>
      </x:c>
      <x:c r="K269" t="str">
        <x:v>No</x:v>
      </x:c>
      <x:c r="L269" t="str">
        <x:f>IF(F269="","UNKNOWN",IF(F269&lt;'WELL INPUTS'!$B$11,"BELOW","OK"))</x:f>
        <x:v>OK</x:v>
      </x:c>
      <x:c r="M269" t="str">
        <x:f>IF(AND('WELL INPUTS'!$B$4="Wet",'WELL INPUTS'!$B$5&gt;0),IF(I269="Yes","CATALOG SOUR","NOT LISTED"),"N/A")</x:f>
        <x:v>N/A</x:v>
      </x:c>
      <x:c r="N269" t="str">
        <x:f>IF(AND('WELL INPUTS'!$B$4="Wet",'WELL INPUTS'!$B$6&gt;0),IF(J269="Yes","ALLOY FAMILY","CORROSION CONTROL"),"N/A")</x:f>
        <x:v>CORROSION CONTROL</x:v>
      </x:c>
      <x:c r="O269" t="str">
        <x:f>IF('WELL INPUTS'!$B$12="Yes",IF(G269="Yes","CLAIMED","NOT LISTED"),"N/A")</x:f>
        <x:v>N/A</x:v>
      </x:c>
      <x:c r="P269" t="str">
        <x:f>IF(OR('WELL INPUTS'!$B$13="Unrestricted",CODE(H269)&lt;=CODE('WELL INPUTS'!$B$13)),"WITHIN TIER","OVER CAP")</x:f>
        <x:v>WITHIN TIER</x:v>
      </x:c>
      <x:c r="Q269" t="n">
        <x:f>MAX(0,MIN(100,43+IF(L269="OK",14,-20)+IF(M269="CATALOG SOUR",24,IF(M269="NOT LISTED",-18,0))+IF(N269="ALLOY FAMILY",14,IF(N269="CORROSION CONTROL",-13,0))+IF(O269="CLAIMED",17,IF(O269="NOT LISTED",-14,0))+IF(K269="Yes",-15,0)+IF('WELL INPUTS'!$B$10="Yes",-17,0)))</x:f>
        <x:v>44</x:v>
      </x:c>
      <x:c r="R269" s="83" t="str">
        <x:f>IF(L269="BELOW","EXCLUDE — STRENGTH",IF(P269="OVER CAP","EXCLUDE — COST",IF(K269="Yes",IF('WELL INPUTS'!$B$14="No","EXCLUDE — REFERENCE","REFERENCE ONLY"),IF(OR(L269="UNKNOWN",M269="NOT LISTED",N269="CORROSION CONTROL",O269="NOT LISTED",'WELL INPUTS'!$B$10="Yes",'WELL INPUTS'!$B$4="Unknown"),"REVIEW","CANDIDATE — VERIFY"))))</x:f>
        <x:v>REVIEW</x:v>
      </x:c>
      <x:c r="S269" t="str">
        <x:f>IF(L269="BELOW","Increase minimum grade strength",IF(P269="OVER CAP","Relax cost tier or exclude",IF(K269="Yes","Identify qualified manufacturer grade",IF(M269="NOT LISTED","Confirm sour-service claim and ISO 15156",IF(O269="NOT LISTED","Obtain manufacturer collapse curve",IF(N269="CORROSION CONTROL","Model CO2 corrosion; review inhibition","Confirm corrosion, cracking, loads and connection"))))))</x:f>
        <x:v>Model CO2 corrosion; review inhibition</x:v>
      </x:c>
      <x:c r="T269" t="str">
        <x:v>https://www.jfe-steel.co.jp/en/products/energy/octg/material/grade_table.html</x:v>
      </x:c>
    </x:row>
    <x:row r="270" ht="23" customHeight="1">
      <x:c r="A270" t="str">
        <x:v>OCTG-0269</x:v>
      </x:c>
      <x:c r="B270" t="str">
        <x:v>JFE Steel</x:v>
      </x:c>
      <x:c r="C270" t="str">
        <x:v>C110-XS</x:v>
      </x:c>
      <x:c r="D270" t="str">
        <x:v>Carbon / low alloy</x:v>
      </x:c>
      <x:c r="E270" t="str">
        <x:v>Enhanced / extreme sour</x:v>
      </x:c>
      <x:c r="F270" s="82" t="n">
        <x:v>110</x:v>
      </x:c>
      <x:c r="G270" t="str">
        <x:v>No</x:v>
      </x:c>
      <x:c r="H270" t="str">
        <x:v>A</x:v>
      </x:c>
      <x:c r="I270" t="str">
        <x:v>Yes</x:v>
      </x:c>
      <x:c r="J270" t="str">
        <x:v>No</x:v>
      </x:c>
      <x:c r="K270" t="str">
        <x:v>No</x:v>
      </x:c>
      <x:c r="L270" t="str">
        <x:f>IF(F270="","UNKNOWN",IF(F270&lt;'WELL INPUTS'!$B$11,"BELOW","OK"))</x:f>
        <x:v>OK</x:v>
      </x:c>
      <x:c r="M270" t="str">
        <x:f>IF(AND('WELL INPUTS'!$B$4="Wet",'WELL INPUTS'!$B$5&gt;0),IF(I270="Yes","CATALOG SOUR","NOT LISTED"),"N/A")</x:f>
        <x:v>N/A</x:v>
      </x:c>
      <x:c r="N270" t="str">
        <x:f>IF(AND('WELL INPUTS'!$B$4="Wet",'WELL INPUTS'!$B$6&gt;0),IF(J270="Yes","ALLOY FAMILY","CORROSION CONTROL"),"N/A")</x:f>
        <x:v>CORROSION CONTROL</x:v>
      </x:c>
      <x:c r="O270" t="str">
        <x:f>IF('WELL INPUTS'!$B$12="Yes",IF(G270="Yes","CLAIMED","NOT LISTED"),"N/A")</x:f>
        <x:v>N/A</x:v>
      </x:c>
      <x:c r="P270" t="str">
        <x:f>IF(OR('WELL INPUTS'!$B$13="Unrestricted",CODE(H270)&lt;=CODE('WELL INPUTS'!$B$13)),"WITHIN TIER","OVER CAP")</x:f>
        <x:v>WITHIN TIER</x:v>
      </x:c>
      <x:c r="Q270" t="n">
        <x:f>MAX(0,MIN(100,43+IF(L270="OK",14,-20)+IF(M270="CATALOG SOUR",24,IF(M270="NOT LISTED",-18,0))+IF(N270="ALLOY FAMILY",14,IF(N270="CORROSION CONTROL",-13,0))+IF(O270="CLAIMED",17,IF(O270="NOT LISTED",-14,0))+IF(K270="Yes",-15,0)+IF('WELL INPUTS'!$B$10="Yes",-17,0)))</x:f>
        <x:v>44</x:v>
      </x:c>
      <x:c r="R270" s="83" t="str">
        <x:f>IF(L270="BELOW","EXCLUDE — STRENGTH",IF(P270="OVER CAP","EXCLUDE — COST",IF(K270="Yes",IF('WELL INPUTS'!$B$14="No","EXCLUDE — REFERENCE","REFERENCE ONLY"),IF(OR(L270="UNKNOWN",M270="NOT LISTED",N270="CORROSION CONTROL",O270="NOT LISTED",'WELL INPUTS'!$B$10="Yes",'WELL INPUTS'!$B$4="Unknown"),"REVIEW","CANDIDATE — VERIFY"))))</x:f>
        <x:v>REVIEW</x:v>
      </x:c>
      <x:c r="S270" t="str">
        <x:f>IF(L270="BELOW","Increase minimum grade strength",IF(P270="OVER CAP","Relax cost tier or exclude",IF(K270="Yes","Identify qualified manufacturer grade",IF(M270="NOT LISTED","Confirm sour-service claim and ISO 15156",IF(O270="NOT LISTED","Obtain manufacturer collapse curve",IF(N270="CORROSION CONTROL","Model CO2 corrosion; review inhibition","Confirm corrosion, cracking, loads and connection"))))))</x:f>
        <x:v>Model CO2 corrosion; review inhibition</x:v>
      </x:c>
      <x:c r="T270" t="str">
        <x:v>https://www.jfe-steel.co.jp/en/products/energy/octg/material/grade_table.html</x:v>
      </x:c>
    </x:row>
    <x:row r="271" ht="23" customHeight="1">
      <x:c r="A271" t="str">
        <x:v>OCTG-0270</x:v>
      </x:c>
      <x:c r="B271" t="str">
        <x:v>JFE Steel</x:v>
      </x:c>
      <x:c r="C271" t="str">
        <x:v>C110-XSHC</x:v>
      </x:c>
      <x:c r="D271" t="str">
        <x:v>Carbon / low alloy</x:v>
      </x:c>
      <x:c r="E271" t="str">
        <x:v>Sour + high collapse</x:v>
      </x:c>
      <x:c r="F271" s="82" t="n">
        <x:v>110</x:v>
      </x:c>
      <x:c r="G271" t="str">
        <x:v>Yes</x:v>
      </x:c>
      <x:c r="H271" t="str">
        <x:v>A</x:v>
      </x:c>
      <x:c r="I271" t="str">
        <x:v>Yes</x:v>
      </x:c>
      <x:c r="J271" t="str">
        <x:v>No</x:v>
      </x:c>
      <x:c r="K271" t="str">
        <x:v>No</x:v>
      </x:c>
      <x:c r="L271" t="str">
        <x:f>IF(F271="","UNKNOWN",IF(F271&lt;'WELL INPUTS'!$B$11,"BELOW","OK"))</x:f>
        <x:v>OK</x:v>
      </x:c>
      <x:c r="M271" t="str">
        <x:f>IF(AND('WELL INPUTS'!$B$4="Wet",'WELL INPUTS'!$B$5&gt;0),IF(I271="Yes","CATALOG SOUR","NOT LISTED"),"N/A")</x:f>
        <x:v>N/A</x:v>
      </x:c>
      <x:c r="N271" t="str">
        <x:f>IF(AND('WELL INPUTS'!$B$4="Wet",'WELL INPUTS'!$B$6&gt;0),IF(J271="Yes","ALLOY FAMILY","CORROSION CONTROL"),"N/A")</x:f>
        <x:v>CORROSION CONTROL</x:v>
      </x:c>
      <x:c r="O271" t="str">
        <x:f>IF('WELL INPUTS'!$B$12="Yes",IF(G271="Yes","CLAIMED","NOT LISTED"),"N/A")</x:f>
        <x:v>N/A</x:v>
      </x:c>
      <x:c r="P271" t="str">
        <x:f>IF(OR('WELL INPUTS'!$B$13="Unrestricted",CODE(H271)&lt;=CODE('WELL INPUTS'!$B$13)),"WITHIN TIER","OVER CAP")</x:f>
        <x:v>WITHIN TIER</x:v>
      </x:c>
      <x:c r="Q271" t="n">
        <x:f>MAX(0,MIN(100,43+IF(L271="OK",14,-20)+IF(M271="CATALOG SOUR",24,IF(M271="NOT LISTED",-18,0))+IF(N271="ALLOY FAMILY",14,IF(N271="CORROSION CONTROL",-13,0))+IF(O271="CLAIMED",17,IF(O271="NOT LISTED",-14,0))+IF(K271="Yes",-15,0)+IF('WELL INPUTS'!$B$10="Yes",-17,0)))</x:f>
        <x:v>44</x:v>
      </x:c>
      <x:c r="R271" s="83" t="str">
        <x:f>IF(L271="BELOW","EXCLUDE — STRENGTH",IF(P271="OVER CAP","EXCLUDE — COST",IF(K271="Yes",IF('WELL INPUTS'!$B$14="No","EXCLUDE — REFERENCE","REFERENCE ONLY"),IF(OR(L271="UNKNOWN",M271="NOT LISTED",N271="CORROSION CONTROL",O271="NOT LISTED",'WELL INPUTS'!$B$10="Yes",'WELL INPUTS'!$B$4="Unknown"),"REVIEW","CANDIDATE — VERIFY"))))</x:f>
        <x:v>REVIEW</x:v>
      </x:c>
      <x:c r="S271" t="str">
        <x:f>IF(L271="BELOW","Increase minimum grade strength",IF(P271="OVER CAP","Relax cost tier or exclude",IF(K271="Yes","Identify qualified manufacturer grade",IF(M271="NOT LISTED","Confirm sour-service claim and ISO 15156",IF(O271="NOT LISTED","Obtain manufacturer collapse curve",IF(N271="CORROSION CONTROL","Model CO2 corrosion; review inhibition","Confirm corrosion, cracking, loads and connection"))))))</x:f>
        <x:v>Model CO2 corrosion; review inhibition</x:v>
      </x:c>
      <x:c r="T271" t="str">
        <x:v>https://www.jfe-steel.co.jp/en/products/energy/octg/material/grade_table.html</x:v>
      </x:c>
    </x:row>
    <x:row r="272" ht="23" customHeight="1">
      <x:c r="A272" t="str">
        <x:v>OCTG-0271</x:v>
      </x:c>
      <x:c r="B272" t="str">
        <x:v>JFE Steel</x:v>
      </x:c>
      <x:c r="C272" t="str">
        <x:v>C110-XSHCX</x:v>
      </x:c>
      <x:c r="D272" t="str">
        <x:v>Carbon / low alloy</x:v>
      </x:c>
      <x:c r="E272" t="str">
        <x:v>Sour + high collapse</x:v>
      </x:c>
      <x:c r="F272" s="82" t="n">
        <x:v>110</x:v>
      </x:c>
      <x:c r="G272" t="str">
        <x:v>Yes</x:v>
      </x:c>
      <x:c r="H272" t="str">
        <x:v>A</x:v>
      </x:c>
      <x:c r="I272" t="str">
        <x:v>Yes</x:v>
      </x:c>
      <x:c r="J272" t="str">
        <x:v>No</x:v>
      </x:c>
      <x:c r="K272" t="str">
        <x:v>No</x:v>
      </x:c>
      <x:c r="L272" t="str">
        <x:f>IF(F272="","UNKNOWN",IF(F272&lt;'WELL INPUTS'!$B$11,"BELOW","OK"))</x:f>
        <x:v>OK</x:v>
      </x:c>
      <x:c r="M272" t="str">
        <x:f>IF(AND('WELL INPUTS'!$B$4="Wet",'WELL INPUTS'!$B$5&gt;0),IF(I272="Yes","CATALOG SOUR","NOT LISTED"),"N/A")</x:f>
        <x:v>N/A</x:v>
      </x:c>
      <x:c r="N272" t="str">
        <x:f>IF(AND('WELL INPUTS'!$B$4="Wet",'WELL INPUTS'!$B$6&gt;0),IF(J272="Yes","ALLOY FAMILY","CORROSION CONTROL"),"N/A")</x:f>
        <x:v>CORROSION CONTROL</x:v>
      </x:c>
      <x:c r="O272" t="str">
        <x:f>IF('WELL INPUTS'!$B$12="Yes",IF(G272="Yes","CLAIMED","NOT LISTED"),"N/A")</x:f>
        <x:v>N/A</x:v>
      </x:c>
      <x:c r="P272" t="str">
        <x:f>IF(OR('WELL INPUTS'!$B$13="Unrestricted",CODE(H272)&lt;=CODE('WELL INPUTS'!$B$13)),"WITHIN TIER","OVER CAP")</x:f>
        <x:v>WITHIN TIER</x:v>
      </x:c>
      <x:c r="Q272" t="n">
        <x:f>MAX(0,MIN(100,43+IF(L272="OK",14,-20)+IF(M272="CATALOG SOUR",24,IF(M272="NOT LISTED",-18,0))+IF(N272="ALLOY FAMILY",14,IF(N272="CORROSION CONTROL",-13,0))+IF(O272="CLAIMED",17,IF(O272="NOT LISTED",-14,0))+IF(K272="Yes",-15,0)+IF('WELL INPUTS'!$B$10="Yes",-17,0)))</x:f>
        <x:v>44</x:v>
      </x:c>
      <x:c r="R272" s="83" t="str">
        <x:f>IF(L272="BELOW","EXCLUDE — STRENGTH",IF(P272="OVER CAP","EXCLUDE — COST",IF(K272="Yes",IF('WELL INPUTS'!$B$14="No","EXCLUDE — REFERENCE","REFERENCE ONLY"),IF(OR(L272="UNKNOWN",M272="NOT LISTED",N272="CORROSION CONTROL",O272="NOT LISTED",'WELL INPUTS'!$B$10="Yes",'WELL INPUTS'!$B$4="Unknown"),"REVIEW","CANDIDATE — VERIFY"))))</x:f>
        <x:v>REVIEW</x:v>
      </x:c>
      <x:c r="S272" t="str">
        <x:f>IF(L272="BELOW","Increase minimum grade strength",IF(P272="OVER CAP","Relax cost tier or exclude",IF(K272="Yes","Identify qualified manufacturer grade",IF(M272="NOT LISTED","Confirm sour-service claim and ISO 15156",IF(O272="NOT LISTED","Obtain manufacturer collapse curve",IF(N272="CORROSION CONTROL","Model CO2 corrosion; review inhibition","Confirm corrosion, cracking, loads and connection"))))))</x:f>
        <x:v>Model CO2 corrosion; review inhibition</x:v>
      </x:c>
      <x:c r="T272" t="str">
        <x:v>https://www.jfe-steel.co.jp/en/products/energy/octg/material/grade_table.html</x:v>
      </x:c>
    </x:row>
    <x:row r="273" ht="23" customHeight="1">
      <x:c r="A273" t="str">
        <x:v>OCTG-0272</x:v>
      </x:c>
      <x:c r="B273" t="str">
        <x:v>JFE Steel</x:v>
      </x:c>
      <x:c r="C273" t="str">
        <x:v>JFE-110S</x:v>
      </x:c>
      <x:c r="D273" t="str">
        <x:v>Carbon / low alloy</x:v>
      </x:c>
      <x:c r="E273" t="str">
        <x:v>Manufacturer sour-service series; 125S is mild sour</x:v>
      </x:c>
      <x:c r="F273" s="82" t="n">
        <x:v>110</x:v>
      </x:c>
      <x:c r="G273" t="str">
        <x:v>No</x:v>
      </x:c>
      <x:c r="H273" t="str">
        <x:v>A</x:v>
      </x:c>
      <x:c r="I273" t="str">
        <x:v>Yes</x:v>
      </x:c>
      <x:c r="J273" t="str">
        <x:v>No</x:v>
      </x:c>
      <x:c r="K273" t="str">
        <x:v>No</x:v>
      </x:c>
      <x:c r="L273" t="str">
        <x:f>IF(F273="","UNKNOWN",IF(F273&lt;'WELL INPUTS'!$B$11,"BELOW","OK"))</x:f>
        <x:v>OK</x:v>
      </x:c>
      <x:c r="M273" t="str">
        <x:f>IF(AND('WELL INPUTS'!$B$4="Wet",'WELL INPUTS'!$B$5&gt;0),IF(I273="Yes","CATALOG SOUR","NOT LISTED"),"N/A")</x:f>
        <x:v>N/A</x:v>
      </x:c>
      <x:c r="N273" t="str">
        <x:f>IF(AND('WELL INPUTS'!$B$4="Wet",'WELL INPUTS'!$B$6&gt;0),IF(J273="Yes","ALLOY FAMILY","CORROSION CONTROL"),"N/A")</x:f>
        <x:v>CORROSION CONTROL</x:v>
      </x:c>
      <x:c r="O273" t="str">
        <x:f>IF('WELL INPUTS'!$B$12="Yes",IF(G273="Yes","CLAIMED","NOT LISTED"),"N/A")</x:f>
        <x:v>N/A</x:v>
      </x:c>
      <x:c r="P273" t="str">
        <x:f>IF(OR('WELL INPUTS'!$B$13="Unrestricted",CODE(H273)&lt;=CODE('WELL INPUTS'!$B$13)),"WITHIN TIER","OVER CAP")</x:f>
        <x:v>WITHIN TIER</x:v>
      </x:c>
      <x:c r="Q273" t="n">
        <x:f>MAX(0,MIN(100,43+IF(L273="OK",14,-20)+IF(M273="CATALOG SOUR",24,IF(M273="NOT LISTED",-18,0))+IF(N273="ALLOY FAMILY",14,IF(N273="CORROSION CONTROL",-13,0))+IF(O273="CLAIMED",17,IF(O273="NOT LISTED",-14,0))+IF(K273="Yes",-15,0)+IF('WELL INPUTS'!$B$10="Yes",-17,0)))</x:f>
        <x:v>44</x:v>
      </x:c>
      <x:c r="R273" s="83" t="str">
        <x:f>IF(L273="BELOW","EXCLUDE — STRENGTH",IF(P273="OVER CAP","EXCLUDE — COST",IF(K273="Yes",IF('WELL INPUTS'!$B$14="No","EXCLUDE — REFERENCE","REFERENCE ONLY"),IF(OR(L273="UNKNOWN",M273="NOT LISTED",N273="CORROSION CONTROL",O273="NOT LISTED",'WELL INPUTS'!$B$10="Yes",'WELL INPUTS'!$B$4="Unknown"),"REVIEW","CANDIDATE — VERIFY"))))</x:f>
        <x:v>REVIEW</x:v>
      </x:c>
      <x:c r="S273" t="str">
        <x:f>IF(L273="BELOW","Increase minimum grade strength",IF(P273="OVER CAP","Relax cost tier or exclude",IF(K273="Yes","Identify qualified manufacturer grade",IF(M273="NOT LISTED","Confirm sour-service claim and ISO 15156",IF(O273="NOT LISTED","Obtain manufacturer collapse curve",IF(N273="CORROSION CONTROL","Model CO2 corrosion; review inhibition","Confirm corrosion, cracking, loads and connection"))))))</x:f>
        <x:v>Model CO2 corrosion; review inhibition</x:v>
      </x:c>
      <x:c r="T273" t="str">
        <x:v>https://www.jfe-steel.co.jp/en/products/energy/octg/material/grade_table.html</x:v>
      </x:c>
    </x:row>
    <x:row r="274" ht="23" customHeight="1">
      <x:c r="A274" t="str">
        <x:v>OCTG-0273</x:v>
      </x:c>
      <x:c r="B274" t="str">
        <x:v>JFE Steel</x:v>
      </x:c>
      <x:c r="C274" t="str">
        <x:v>JFE-110SS</x:v>
      </x:c>
      <x:c r="D274" t="str">
        <x:v>Carbon / low alloy</x:v>
      </x:c>
      <x:c r="E274" t="str">
        <x:v>Manufacturer sour-service series; 125S is mild sour</x:v>
      </x:c>
      <x:c r="F274" s="82" t="n">
        <x:v>110</x:v>
      </x:c>
      <x:c r="G274" t="str">
        <x:v>No</x:v>
      </x:c>
      <x:c r="H274" t="str">
        <x:v>A</x:v>
      </x:c>
      <x:c r="I274" t="str">
        <x:v>Yes</x:v>
      </x:c>
      <x:c r="J274" t="str">
        <x:v>No</x:v>
      </x:c>
      <x:c r="K274" t="str">
        <x:v>No</x:v>
      </x:c>
      <x:c r="L274" t="str">
        <x:f>IF(F274="","UNKNOWN",IF(F274&lt;'WELL INPUTS'!$B$11,"BELOW","OK"))</x:f>
        <x:v>OK</x:v>
      </x:c>
      <x:c r="M274" t="str">
        <x:f>IF(AND('WELL INPUTS'!$B$4="Wet",'WELL INPUTS'!$B$5&gt;0),IF(I274="Yes","CATALOG SOUR","NOT LISTED"),"N/A")</x:f>
        <x:v>N/A</x:v>
      </x:c>
      <x:c r="N274" t="str">
        <x:f>IF(AND('WELL INPUTS'!$B$4="Wet",'WELL INPUTS'!$B$6&gt;0),IF(J274="Yes","ALLOY FAMILY","CORROSION CONTROL"),"N/A")</x:f>
        <x:v>CORROSION CONTROL</x:v>
      </x:c>
      <x:c r="O274" t="str">
        <x:f>IF('WELL INPUTS'!$B$12="Yes",IF(G274="Yes","CLAIMED","NOT LISTED"),"N/A")</x:f>
        <x:v>N/A</x:v>
      </x:c>
      <x:c r="P274" t="str">
        <x:f>IF(OR('WELL INPUTS'!$B$13="Unrestricted",CODE(H274)&lt;=CODE('WELL INPUTS'!$B$13)),"WITHIN TIER","OVER CAP")</x:f>
        <x:v>WITHIN TIER</x:v>
      </x:c>
      <x:c r="Q274" t="n">
        <x:f>MAX(0,MIN(100,43+IF(L274="OK",14,-20)+IF(M274="CATALOG SOUR",24,IF(M274="NOT LISTED",-18,0))+IF(N274="ALLOY FAMILY",14,IF(N274="CORROSION CONTROL",-13,0))+IF(O274="CLAIMED",17,IF(O274="NOT LISTED",-14,0))+IF(K274="Yes",-15,0)+IF('WELL INPUTS'!$B$10="Yes",-17,0)))</x:f>
        <x:v>44</x:v>
      </x:c>
      <x:c r="R274" s="83" t="str">
        <x:f>IF(L274="BELOW","EXCLUDE — STRENGTH",IF(P274="OVER CAP","EXCLUDE — COST",IF(K274="Yes",IF('WELL INPUTS'!$B$14="No","EXCLUDE — REFERENCE","REFERENCE ONLY"),IF(OR(L274="UNKNOWN",M274="NOT LISTED",N274="CORROSION CONTROL",O274="NOT LISTED",'WELL INPUTS'!$B$10="Yes",'WELL INPUTS'!$B$4="Unknown"),"REVIEW","CANDIDATE — VERIFY"))))</x:f>
        <x:v>REVIEW</x:v>
      </x:c>
      <x:c r="S274" t="str">
        <x:f>IF(L274="BELOW","Increase minimum grade strength",IF(P274="OVER CAP","Relax cost tier or exclude",IF(K274="Yes","Identify qualified manufacturer grade",IF(M274="NOT LISTED","Confirm sour-service claim and ISO 15156",IF(O274="NOT LISTED","Obtain manufacturer collapse curve",IF(N274="CORROSION CONTROL","Model CO2 corrosion; review inhibition","Confirm corrosion, cracking, loads and connection"))))))</x:f>
        <x:v>Model CO2 corrosion; review inhibition</x:v>
      </x:c>
      <x:c r="T274" t="str">
        <x:v>https://www.jfe-steel.co.jp/en/products/energy/octg/material/grade_table.html</x:v>
      </x:c>
    </x:row>
    <x:row r="275" ht="23" customHeight="1">
      <x:c r="A275" t="str">
        <x:v>OCTG-0274</x:v>
      </x:c>
      <x:c r="B275" t="str">
        <x:v>JFE Steel</x:v>
      </x:c>
      <x:c r="C275" t="str">
        <x:v>JFE-125S</x:v>
      </x:c>
      <x:c r="D275" t="str">
        <x:v>Carbon / low alloy</x:v>
      </x:c>
      <x:c r="E275" t="str">
        <x:v>Manufacturer sour-service series; 125S is mild sour</x:v>
      </x:c>
      <x:c r="F275" s="82" t="n">
        <x:v>125</x:v>
      </x:c>
      <x:c r="G275" t="str">
        <x:v>No</x:v>
      </x:c>
      <x:c r="H275" t="str">
        <x:v>A</x:v>
      </x:c>
      <x:c r="I275" t="str">
        <x:v>Yes</x:v>
      </x:c>
      <x:c r="J275" t="str">
        <x:v>No</x:v>
      </x:c>
      <x:c r="K275" t="str">
        <x:v>No</x:v>
      </x:c>
      <x:c r="L275" t="str">
        <x:f>IF(F275="","UNKNOWN",IF(F275&lt;'WELL INPUTS'!$B$11,"BELOW","OK"))</x:f>
        <x:v>OK</x:v>
      </x:c>
      <x:c r="M275" t="str">
        <x:f>IF(AND('WELL INPUTS'!$B$4="Wet",'WELL INPUTS'!$B$5&gt;0),IF(I275="Yes","CATALOG SOUR","NOT LISTED"),"N/A")</x:f>
        <x:v>N/A</x:v>
      </x:c>
      <x:c r="N275" t="str">
        <x:f>IF(AND('WELL INPUTS'!$B$4="Wet",'WELL INPUTS'!$B$6&gt;0),IF(J275="Yes","ALLOY FAMILY","CORROSION CONTROL"),"N/A")</x:f>
        <x:v>CORROSION CONTROL</x:v>
      </x:c>
      <x:c r="O275" t="str">
        <x:f>IF('WELL INPUTS'!$B$12="Yes",IF(G275="Yes","CLAIMED","NOT LISTED"),"N/A")</x:f>
        <x:v>N/A</x:v>
      </x:c>
      <x:c r="P275" t="str">
        <x:f>IF(OR('WELL INPUTS'!$B$13="Unrestricted",CODE(H275)&lt;=CODE('WELL INPUTS'!$B$13)),"WITHIN TIER","OVER CAP")</x:f>
        <x:v>WITHIN TIER</x:v>
      </x:c>
      <x:c r="Q275" t="n">
        <x:f>MAX(0,MIN(100,43+IF(L275="OK",14,-20)+IF(M275="CATALOG SOUR",24,IF(M275="NOT LISTED",-18,0))+IF(N275="ALLOY FAMILY",14,IF(N275="CORROSION CONTROL",-13,0))+IF(O275="CLAIMED",17,IF(O275="NOT LISTED",-14,0))+IF(K275="Yes",-15,0)+IF('WELL INPUTS'!$B$10="Yes",-17,0)))</x:f>
        <x:v>44</x:v>
      </x:c>
      <x:c r="R275" s="83" t="str">
        <x:f>IF(L275="BELOW","EXCLUDE — STRENGTH",IF(P275="OVER CAP","EXCLUDE — COST",IF(K275="Yes",IF('WELL INPUTS'!$B$14="No","EXCLUDE — REFERENCE","REFERENCE ONLY"),IF(OR(L275="UNKNOWN",M275="NOT LISTED",N275="CORROSION CONTROL",O275="NOT LISTED",'WELL INPUTS'!$B$10="Yes",'WELL INPUTS'!$B$4="Unknown"),"REVIEW","CANDIDATE — VERIFY"))))</x:f>
        <x:v>REVIEW</x:v>
      </x:c>
      <x:c r="S275" t="str">
        <x:f>IF(L275="BELOW","Increase minimum grade strength",IF(P275="OVER CAP","Relax cost tier or exclude",IF(K275="Yes","Identify qualified manufacturer grade",IF(M275="NOT LISTED","Confirm sour-service claim and ISO 15156",IF(O275="NOT LISTED","Obtain manufacturer collapse curve",IF(N275="CORROSION CONTROL","Model CO2 corrosion; review inhibition","Confirm corrosion, cracking, loads and connection"))))))</x:f>
        <x:v>Model CO2 corrosion; review inhibition</x:v>
      </x:c>
      <x:c r="T275" t="str">
        <x:v>https://www.jfe-steel.co.jp/en/products/energy/octg/material/grade_table.html</x:v>
      </x:c>
    </x:row>
    <x:row r="276" ht="23" customHeight="1">
      <x:c r="A276" t="str">
        <x:v>OCTG-0275</x:v>
      </x:c>
      <x:c r="B276" t="str">
        <x:v>JFE Steel</x:v>
      </x:c>
      <x:c r="C276" t="str">
        <x:v>JFE-80S</x:v>
      </x:c>
      <x:c r="D276" t="str">
        <x:v>Carbon / low alloy</x:v>
      </x:c>
      <x:c r="E276" t="str">
        <x:v>Manufacturer sour-service series; 125S is mild sour</x:v>
      </x:c>
      <x:c r="F276" s="82" t="n">
        <x:v>80</x:v>
      </x:c>
      <x:c r="G276" t="str">
        <x:v>No</x:v>
      </x:c>
      <x:c r="H276" t="str">
        <x:v>A</x:v>
      </x:c>
      <x:c r="I276" t="str">
        <x:v>Yes</x:v>
      </x:c>
      <x:c r="J276" t="str">
        <x:v>No</x:v>
      </x:c>
      <x:c r="K276" t="str">
        <x:v>No</x:v>
      </x:c>
      <x:c r="L276" t="str">
        <x:f>IF(F276="","UNKNOWN",IF(F276&lt;'WELL INPUTS'!$B$11,"BELOW","OK"))</x:f>
        <x:v>OK</x:v>
      </x:c>
      <x:c r="M276" t="str">
        <x:f>IF(AND('WELL INPUTS'!$B$4="Wet",'WELL INPUTS'!$B$5&gt;0),IF(I276="Yes","CATALOG SOUR","NOT LISTED"),"N/A")</x:f>
        <x:v>N/A</x:v>
      </x:c>
      <x:c r="N276" t="str">
        <x:f>IF(AND('WELL INPUTS'!$B$4="Wet",'WELL INPUTS'!$B$6&gt;0),IF(J276="Yes","ALLOY FAMILY","CORROSION CONTROL"),"N/A")</x:f>
        <x:v>CORROSION CONTROL</x:v>
      </x:c>
      <x:c r="O276" t="str">
        <x:f>IF('WELL INPUTS'!$B$12="Yes",IF(G276="Yes","CLAIMED","NOT LISTED"),"N/A")</x:f>
        <x:v>N/A</x:v>
      </x:c>
      <x:c r="P276" t="str">
        <x:f>IF(OR('WELL INPUTS'!$B$13="Unrestricted",CODE(H276)&lt;=CODE('WELL INPUTS'!$B$13)),"WITHIN TIER","OVER CAP")</x:f>
        <x:v>WITHIN TIER</x:v>
      </x:c>
      <x:c r="Q276" t="n">
        <x:f>MAX(0,MIN(100,43+IF(L276="OK",14,-20)+IF(M276="CATALOG SOUR",24,IF(M276="NOT LISTED",-18,0))+IF(N276="ALLOY FAMILY",14,IF(N276="CORROSION CONTROL",-13,0))+IF(O276="CLAIMED",17,IF(O276="NOT LISTED",-14,0))+IF(K276="Yes",-15,0)+IF('WELL INPUTS'!$B$10="Yes",-17,0)))</x:f>
        <x:v>44</x:v>
      </x:c>
      <x:c r="R276" s="83" t="str">
        <x:f>IF(L276="BELOW","EXCLUDE — STRENGTH",IF(P276="OVER CAP","EXCLUDE — COST",IF(K276="Yes",IF('WELL INPUTS'!$B$14="No","EXCLUDE — REFERENCE","REFERENCE ONLY"),IF(OR(L276="UNKNOWN",M276="NOT LISTED",N276="CORROSION CONTROL",O276="NOT LISTED",'WELL INPUTS'!$B$10="Yes",'WELL INPUTS'!$B$4="Unknown"),"REVIEW","CANDIDATE — VERIFY"))))</x:f>
        <x:v>REVIEW</x:v>
      </x:c>
      <x:c r="S276" t="str">
        <x:f>IF(L276="BELOW","Increase minimum grade strength",IF(P276="OVER CAP","Relax cost tier or exclude",IF(K276="Yes","Identify qualified manufacturer grade",IF(M276="NOT LISTED","Confirm sour-service claim and ISO 15156",IF(O276="NOT LISTED","Obtain manufacturer collapse curve",IF(N276="CORROSION CONTROL","Model CO2 corrosion; review inhibition","Confirm corrosion, cracking, loads and connection"))))))</x:f>
        <x:v>Model CO2 corrosion; review inhibition</x:v>
      </x:c>
      <x:c r="T276" t="str">
        <x:v>https://www.jfe-steel.co.jp/en/products/energy/octg/material/grade_table.html</x:v>
      </x:c>
    </x:row>
    <x:row r="277" ht="23" customHeight="1">
      <x:c r="A277" t="str">
        <x:v>OCTG-0276</x:v>
      </x:c>
      <x:c r="B277" t="str">
        <x:v>JFE Steel</x:v>
      </x:c>
      <x:c r="C277" t="str">
        <x:v>JFE-85S</x:v>
      </x:c>
      <x:c r="D277" t="str">
        <x:v>Carbon / low alloy</x:v>
      </x:c>
      <x:c r="E277" t="str">
        <x:v>Manufacturer sour-service series; 125S is mild sour</x:v>
      </x:c>
      <x:c r="F277" s="82" t="n">
        <x:v>85</x:v>
      </x:c>
      <x:c r="G277" t="str">
        <x:v>No</x:v>
      </x:c>
      <x:c r="H277" t="str">
        <x:v>A</x:v>
      </x:c>
      <x:c r="I277" t="str">
        <x:v>Yes</x:v>
      </x:c>
      <x:c r="J277" t="str">
        <x:v>No</x:v>
      </x:c>
      <x:c r="K277" t="str">
        <x:v>No</x:v>
      </x:c>
      <x:c r="L277" t="str">
        <x:f>IF(F277="","UNKNOWN",IF(F277&lt;'WELL INPUTS'!$B$11,"BELOW","OK"))</x:f>
        <x:v>OK</x:v>
      </x:c>
      <x:c r="M277" t="str">
        <x:f>IF(AND('WELL INPUTS'!$B$4="Wet",'WELL INPUTS'!$B$5&gt;0),IF(I277="Yes","CATALOG SOUR","NOT LISTED"),"N/A")</x:f>
        <x:v>N/A</x:v>
      </x:c>
      <x:c r="N277" t="str">
        <x:f>IF(AND('WELL INPUTS'!$B$4="Wet",'WELL INPUTS'!$B$6&gt;0),IF(J277="Yes","ALLOY FAMILY","CORROSION CONTROL"),"N/A")</x:f>
        <x:v>CORROSION CONTROL</x:v>
      </x:c>
      <x:c r="O277" t="str">
        <x:f>IF('WELL INPUTS'!$B$12="Yes",IF(G277="Yes","CLAIMED","NOT LISTED"),"N/A")</x:f>
        <x:v>N/A</x:v>
      </x:c>
      <x:c r="P277" t="str">
        <x:f>IF(OR('WELL INPUTS'!$B$13="Unrestricted",CODE(H277)&lt;=CODE('WELL INPUTS'!$B$13)),"WITHIN TIER","OVER CAP")</x:f>
        <x:v>WITHIN TIER</x:v>
      </x:c>
      <x:c r="Q277" t="n">
        <x:f>MAX(0,MIN(100,43+IF(L277="OK",14,-20)+IF(M277="CATALOG SOUR",24,IF(M277="NOT LISTED",-18,0))+IF(N277="ALLOY FAMILY",14,IF(N277="CORROSION CONTROL",-13,0))+IF(O277="CLAIMED",17,IF(O277="NOT LISTED",-14,0))+IF(K277="Yes",-15,0)+IF('WELL INPUTS'!$B$10="Yes",-17,0)))</x:f>
        <x:v>44</x:v>
      </x:c>
      <x:c r="R277" s="83" t="str">
        <x:f>IF(L277="BELOW","EXCLUDE — STRENGTH",IF(P277="OVER CAP","EXCLUDE — COST",IF(K277="Yes",IF('WELL INPUTS'!$B$14="No","EXCLUDE — REFERENCE","REFERENCE ONLY"),IF(OR(L277="UNKNOWN",M277="NOT LISTED",N277="CORROSION CONTROL",O277="NOT LISTED",'WELL INPUTS'!$B$10="Yes",'WELL INPUTS'!$B$4="Unknown"),"REVIEW","CANDIDATE — VERIFY"))))</x:f>
        <x:v>REVIEW</x:v>
      </x:c>
      <x:c r="S277" t="str">
        <x:f>IF(L277="BELOW","Increase minimum grade strength",IF(P277="OVER CAP","Relax cost tier or exclude",IF(K277="Yes","Identify qualified manufacturer grade",IF(M277="NOT LISTED","Confirm sour-service claim and ISO 15156",IF(O277="NOT LISTED","Obtain manufacturer collapse curve",IF(N277="CORROSION CONTROL","Model CO2 corrosion; review inhibition","Confirm corrosion, cracking, loads and connection"))))))</x:f>
        <x:v>Model CO2 corrosion; review inhibition</x:v>
      </x:c>
      <x:c r="T277" t="str">
        <x:v>https://www.jfe-steel.co.jp/en/products/energy/octg/material/grade_table.html</x:v>
      </x:c>
    </x:row>
    <x:row r="278" ht="23" customHeight="1">
      <x:c r="A278" t="str">
        <x:v>OCTG-0277</x:v>
      </x:c>
      <x:c r="B278" t="str">
        <x:v>JFE Steel</x:v>
      </x:c>
      <x:c r="C278" t="str">
        <x:v>JFE-85SS</x:v>
      </x:c>
      <x:c r="D278" t="str">
        <x:v>Carbon / low alloy</x:v>
      </x:c>
      <x:c r="E278" t="str">
        <x:v>Manufacturer sour-service series; 125S is mild sour</x:v>
      </x:c>
      <x:c r="F278" s="82" t="n">
        <x:v>85</x:v>
      </x:c>
      <x:c r="G278" t="str">
        <x:v>No</x:v>
      </x:c>
      <x:c r="H278" t="str">
        <x:v>A</x:v>
      </x:c>
      <x:c r="I278" t="str">
        <x:v>Yes</x:v>
      </x:c>
      <x:c r="J278" t="str">
        <x:v>No</x:v>
      </x:c>
      <x:c r="K278" t="str">
        <x:v>No</x:v>
      </x:c>
      <x:c r="L278" t="str">
        <x:f>IF(F278="","UNKNOWN",IF(F278&lt;'WELL INPUTS'!$B$11,"BELOW","OK"))</x:f>
        <x:v>OK</x:v>
      </x:c>
      <x:c r="M278" t="str">
        <x:f>IF(AND('WELL INPUTS'!$B$4="Wet",'WELL INPUTS'!$B$5&gt;0),IF(I278="Yes","CATALOG SOUR","NOT LISTED"),"N/A")</x:f>
        <x:v>N/A</x:v>
      </x:c>
      <x:c r="N278" t="str">
        <x:f>IF(AND('WELL INPUTS'!$B$4="Wet",'WELL INPUTS'!$B$6&gt;0),IF(J278="Yes","ALLOY FAMILY","CORROSION CONTROL"),"N/A")</x:f>
        <x:v>CORROSION CONTROL</x:v>
      </x:c>
      <x:c r="O278" t="str">
        <x:f>IF('WELL INPUTS'!$B$12="Yes",IF(G278="Yes","CLAIMED","NOT LISTED"),"N/A")</x:f>
        <x:v>N/A</x:v>
      </x:c>
      <x:c r="P278" t="str">
        <x:f>IF(OR('WELL INPUTS'!$B$13="Unrestricted",CODE(H278)&lt;=CODE('WELL INPUTS'!$B$13)),"WITHIN TIER","OVER CAP")</x:f>
        <x:v>WITHIN TIER</x:v>
      </x:c>
      <x:c r="Q278" t="n">
        <x:f>MAX(0,MIN(100,43+IF(L278="OK",14,-20)+IF(M278="CATALOG SOUR",24,IF(M278="NOT LISTED",-18,0))+IF(N278="ALLOY FAMILY",14,IF(N278="CORROSION CONTROL",-13,0))+IF(O278="CLAIMED",17,IF(O278="NOT LISTED",-14,0))+IF(K278="Yes",-15,0)+IF('WELL INPUTS'!$B$10="Yes",-17,0)))</x:f>
        <x:v>44</x:v>
      </x:c>
      <x:c r="R278" s="83" t="str">
        <x:f>IF(L278="BELOW","EXCLUDE — STRENGTH",IF(P278="OVER CAP","EXCLUDE — COST",IF(K278="Yes",IF('WELL INPUTS'!$B$14="No","EXCLUDE — REFERENCE","REFERENCE ONLY"),IF(OR(L278="UNKNOWN",M278="NOT LISTED",N278="CORROSION CONTROL",O278="NOT LISTED",'WELL INPUTS'!$B$10="Yes",'WELL INPUTS'!$B$4="Unknown"),"REVIEW","CANDIDATE — VERIFY"))))</x:f>
        <x:v>REVIEW</x:v>
      </x:c>
      <x:c r="S278" t="str">
        <x:f>IF(L278="BELOW","Increase minimum grade strength",IF(P278="OVER CAP","Relax cost tier or exclude",IF(K278="Yes","Identify qualified manufacturer grade",IF(M278="NOT LISTED","Confirm sour-service claim and ISO 15156",IF(O278="NOT LISTED","Obtain manufacturer collapse curve",IF(N278="CORROSION CONTROL","Model CO2 corrosion; review inhibition","Confirm corrosion, cracking, loads and connection"))))))</x:f>
        <x:v>Model CO2 corrosion; review inhibition</x:v>
      </x:c>
      <x:c r="T278" t="str">
        <x:v>https://www.jfe-steel.co.jp/en/products/energy/octg/material/grade_table.html</x:v>
      </x:c>
    </x:row>
    <x:row r="279" ht="23" customHeight="1">
      <x:c r="A279" t="str">
        <x:v>OCTG-0278</x:v>
      </x:c>
      <x:c r="B279" t="str">
        <x:v>JFE Steel</x:v>
      </x:c>
      <x:c r="C279" t="str">
        <x:v>JFE-90S</x:v>
      </x:c>
      <x:c r="D279" t="str">
        <x:v>Carbon / low alloy</x:v>
      </x:c>
      <x:c r="E279" t="str">
        <x:v>Manufacturer sour-service series; 125S is mild sour</x:v>
      </x:c>
      <x:c r="F279" s="82" t="n">
        <x:v>90</x:v>
      </x:c>
      <x:c r="G279" t="str">
        <x:v>No</x:v>
      </x:c>
      <x:c r="H279" t="str">
        <x:v>A</x:v>
      </x:c>
      <x:c r="I279" t="str">
        <x:v>Yes</x:v>
      </x:c>
      <x:c r="J279" t="str">
        <x:v>No</x:v>
      </x:c>
      <x:c r="K279" t="str">
        <x:v>No</x:v>
      </x:c>
      <x:c r="L279" t="str">
        <x:f>IF(F279="","UNKNOWN",IF(F279&lt;'WELL INPUTS'!$B$11,"BELOW","OK"))</x:f>
        <x:v>OK</x:v>
      </x:c>
      <x:c r="M279" t="str">
        <x:f>IF(AND('WELL INPUTS'!$B$4="Wet",'WELL INPUTS'!$B$5&gt;0),IF(I279="Yes","CATALOG SOUR","NOT LISTED"),"N/A")</x:f>
        <x:v>N/A</x:v>
      </x:c>
      <x:c r="N279" t="str">
        <x:f>IF(AND('WELL INPUTS'!$B$4="Wet",'WELL INPUTS'!$B$6&gt;0),IF(J279="Yes","ALLOY FAMILY","CORROSION CONTROL"),"N/A")</x:f>
        <x:v>CORROSION CONTROL</x:v>
      </x:c>
      <x:c r="O279" t="str">
        <x:f>IF('WELL INPUTS'!$B$12="Yes",IF(G279="Yes","CLAIMED","NOT LISTED"),"N/A")</x:f>
        <x:v>N/A</x:v>
      </x:c>
      <x:c r="P279" t="str">
        <x:f>IF(OR('WELL INPUTS'!$B$13="Unrestricted",CODE(H279)&lt;=CODE('WELL INPUTS'!$B$13)),"WITHIN TIER","OVER CAP")</x:f>
        <x:v>WITHIN TIER</x:v>
      </x:c>
      <x:c r="Q279" t="n">
        <x:f>MAX(0,MIN(100,43+IF(L279="OK",14,-20)+IF(M279="CATALOG SOUR",24,IF(M279="NOT LISTED",-18,0))+IF(N279="ALLOY FAMILY",14,IF(N279="CORROSION CONTROL",-13,0))+IF(O279="CLAIMED",17,IF(O279="NOT LISTED",-14,0))+IF(K279="Yes",-15,0)+IF('WELL INPUTS'!$B$10="Yes",-17,0)))</x:f>
        <x:v>44</x:v>
      </x:c>
      <x:c r="R279" s="83" t="str">
        <x:f>IF(L279="BELOW","EXCLUDE — STRENGTH",IF(P279="OVER CAP","EXCLUDE — COST",IF(K279="Yes",IF('WELL INPUTS'!$B$14="No","EXCLUDE — REFERENCE","REFERENCE ONLY"),IF(OR(L279="UNKNOWN",M279="NOT LISTED",N279="CORROSION CONTROL",O279="NOT LISTED",'WELL INPUTS'!$B$10="Yes",'WELL INPUTS'!$B$4="Unknown"),"REVIEW","CANDIDATE — VERIFY"))))</x:f>
        <x:v>REVIEW</x:v>
      </x:c>
      <x:c r="S279" t="str">
        <x:f>IF(L279="BELOW","Increase minimum grade strength",IF(P279="OVER CAP","Relax cost tier or exclude",IF(K279="Yes","Identify qualified manufacturer grade",IF(M279="NOT LISTED","Confirm sour-service claim and ISO 15156",IF(O279="NOT LISTED","Obtain manufacturer collapse curve",IF(N279="CORROSION CONTROL","Model CO2 corrosion; review inhibition","Confirm corrosion, cracking, loads and connection"))))))</x:f>
        <x:v>Model CO2 corrosion; review inhibition</x:v>
      </x:c>
      <x:c r="T279" t="str">
        <x:v>https://www.jfe-steel.co.jp/en/products/energy/octg/material/grade_table.html</x:v>
      </x:c>
    </x:row>
    <x:row r="280" ht="23" customHeight="1">
      <x:c r="A280" t="str">
        <x:v>OCTG-0279</x:v>
      </x:c>
      <x:c r="B280" t="str">
        <x:v>JFE Steel</x:v>
      </x:c>
      <x:c r="C280" t="str">
        <x:v>JFE-90SS</x:v>
      </x:c>
      <x:c r="D280" t="str">
        <x:v>Carbon / low alloy</x:v>
      </x:c>
      <x:c r="E280" t="str">
        <x:v>Manufacturer sour-service series; 125S is mild sour</x:v>
      </x:c>
      <x:c r="F280" s="82" t="n">
        <x:v>90</x:v>
      </x:c>
      <x:c r="G280" t="str">
        <x:v>No</x:v>
      </x:c>
      <x:c r="H280" t="str">
        <x:v>A</x:v>
      </x:c>
      <x:c r="I280" t="str">
        <x:v>Yes</x:v>
      </x:c>
      <x:c r="J280" t="str">
        <x:v>No</x:v>
      </x:c>
      <x:c r="K280" t="str">
        <x:v>No</x:v>
      </x:c>
      <x:c r="L280" t="str">
        <x:f>IF(F280="","UNKNOWN",IF(F280&lt;'WELL INPUTS'!$B$11,"BELOW","OK"))</x:f>
        <x:v>OK</x:v>
      </x:c>
      <x:c r="M280" t="str">
        <x:f>IF(AND('WELL INPUTS'!$B$4="Wet",'WELL INPUTS'!$B$5&gt;0),IF(I280="Yes","CATALOG SOUR","NOT LISTED"),"N/A")</x:f>
        <x:v>N/A</x:v>
      </x:c>
      <x:c r="N280" t="str">
        <x:f>IF(AND('WELL INPUTS'!$B$4="Wet",'WELL INPUTS'!$B$6&gt;0),IF(J280="Yes","ALLOY FAMILY","CORROSION CONTROL"),"N/A")</x:f>
        <x:v>CORROSION CONTROL</x:v>
      </x:c>
      <x:c r="O280" t="str">
        <x:f>IF('WELL INPUTS'!$B$12="Yes",IF(G280="Yes","CLAIMED","NOT LISTED"),"N/A")</x:f>
        <x:v>N/A</x:v>
      </x:c>
      <x:c r="P280" t="str">
        <x:f>IF(OR('WELL INPUTS'!$B$13="Unrestricted",CODE(H280)&lt;=CODE('WELL INPUTS'!$B$13)),"WITHIN TIER","OVER CAP")</x:f>
        <x:v>WITHIN TIER</x:v>
      </x:c>
      <x:c r="Q280" t="n">
        <x:f>MAX(0,MIN(100,43+IF(L280="OK",14,-20)+IF(M280="CATALOG SOUR",24,IF(M280="NOT LISTED",-18,0))+IF(N280="ALLOY FAMILY",14,IF(N280="CORROSION CONTROL",-13,0))+IF(O280="CLAIMED",17,IF(O280="NOT LISTED",-14,0))+IF(K280="Yes",-15,0)+IF('WELL INPUTS'!$B$10="Yes",-17,0)))</x:f>
        <x:v>44</x:v>
      </x:c>
      <x:c r="R280" s="83" t="str">
        <x:f>IF(L280="BELOW","EXCLUDE — STRENGTH",IF(P280="OVER CAP","EXCLUDE — COST",IF(K280="Yes",IF('WELL INPUTS'!$B$14="No","EXCLUDE — REFERENCE","REFERENCE ONLY"),IF(OR(L280="UNKNOWN",M280="NOT LISTED",N280="CORROSION CONTROL",O280="NOT LISTED",'WELL INPUTS'!$B$10="Yes",'WELL INPUTS'!$B$4="Unknown"),"REVIEW","CANDIDATE — VERIFY"))))</x:f>
        <x:v>REVIEW</x:v>
      </x:c>
      <x:c r="S280" t="str">
        <x:f>IF(L280="BELOW","Increase minimum grade strength",IF(P280="OVER CAP","Relax cost tier or exclude",IF(K280="Yes","Identify qualified manufacturer grade",IF(M280="NOT LISTED","Confirm sour-service claim and ISO 15156",IF(O280="NOT LISTED","Obtain manufacturer collapse curve",IF(N280="CORROSION CONTROL","Model CO2 corrosion; review inhibition","Confirm corrosion, cracking, loads and connection"))))))</x:f>
        <x:v>Model CO2 corrosion; review inhibition</x:v>
      </x:c>
      <x:c r="T280" t="str">
        <x:v>https://www.jfe-steel.co.jp/en/products/energy/octg/material/grade_table.html</x:v>
      </x:c>
    </x:row>
    <x:row r="281" ht="23" customHeight="1">
      <x:c r="A281" t="str">
        <x:v>OCTG-0280</x:v>
      </x:c>
      <x:c r="B281" t="str">
        <x:v>JFE Steel</x:v>
      </x:c>
      <x:c r="C281" t="str">
        <x:v>JFE-95S</x:v>
      </x:c>
      <x:c r="D281" t="str">
        <x:v>Carbon / low alloy</x:v>
      </x:c>
      <x:c r="E281" t="str">
        <x:v>Manufacturer sour-service series; 125S is mild sour</x:v>
      </x:c>
      <x:c r="F281" s="82" t="n">
        <x:v>95</x:v>
      </x:c>
      <x:c r="G281" t="str">
        <x:v>No</x:v>
      </x:c>
      <x:c r="H281" t="str">
        <x:v>A</x:v>
      </x:c>
      <x:c r="I281" t="str">
        <x:v>Yes</x:v>
      </x:c>
      <x:c r="J281" t="str">
        <x:v>No</x:v>
      </x:c>
      <x:c r="K281" t="str">
        <x:v>No</x:v>
      </x:c>
      <x:c r="L281" t="str">
        <x:f>IF(F281="","UNKNOWN",IF(F281&lt;'WELL INPUTS'!$B$11,"BELOW","OK"))</x:f>
        <x:v>OK</x:v>
      </x:c>
      <x:c r="M281" t="str">
        <x:f>IF(AND('WELL INPUTS'!$B$4="Wet",'WELL INPUTS'!$B$5&gt;0),IF(I281="Yes","CATALOG SOUR","NOT LISTED"),"N/A")</x:f>
        <x:v>N/A</x:v>
      </x:c>
      <x:c r="N281" t="str">
        <x:f>IF(AND('WELL INPUTS'!$B$4="Wet",'WELL INPUTS'!$B$6&gt;0),IF(J281="Yes","ALLOY FAMILY","CORROSION CONTROL"),"N/A")</x:f>
        <x:v>CORROSION CONTROL</x:v>
      </x:c>
      <x:c r="O281" t="str">
        <x:f>IF('WELL INPUTS'!$B$12="Yes",IF(G281="Yes","CLAIMED","NOT LISTED"),"N/A")</x:f>
        <x:v>N/A</x:v>
      </x:c>
      <x:c r="P281" t="str">
        <x:f>IF(OR('WELL INPUTS'!$B$13="Unrestricted",CODE(H281)&lt;=CODE('WELL INPUTS'!$B$13)),"WITHIN TIER","OVER CAP")</x:f>
        <x:v>WITHIN TIER</x:v>
      </x:c>
      <x:c r="Q281" t="n">
        <x:f>MAX(0,MIN(100,43+IF(L281="OK",14,-20)+IF(M281="CATALOG SOUR",24,IF(M281="NOT LISTED",-18,0))+IF(N281="ALLOY FAMILY",14,IF(N281="CORROSION CONTROL",-13,0))+IF(O281="CLAIMED",17,IF(O281="NOT LISTED",-14,0))+IF(K281="Yes",-15,0)+IF('WELL INPUTS'!$B$10="Yes",-17,0)))</x:f>
        <x:v>44</x:v>
      </x:c>
      <x:c r="R281" s="83" t="str">
        <x:f>IF(L281="BELOW","EXCLUDE — STRENGTH",IF(P281="OVER CAP","EXCLUDE — COST",IF(K281="Yes",IF('WELL INPUTS'!$B$14="No","EXCLUDE — REFERENCE","REFERENCE ONLY"),IF(OR(L281="UNKNOWN",M281="NOT LISTED",N281="CORROSION CONTROL",O281="NOT LISTED",'WELL INPUTS'!$B$10="Yes",'WELL INPUTS'!$B$4="Unknown"),"REVIEW","CANDIDATE — VERIFY"))))</x:f>
        <x:v>REVIEW</x:v>
      </x:c>
      <x:c r="S281" t="str">
        <x:f>IF(L281="BELOW","Increase minimum grade strength",IF(P281="OVER CAP","Relax cost tier or exclude",IF(K281="Yes","Identify qualified manufacturer grade",IF(M281="NOT LISTED","Confirm sour-service claim and ISO 15156",IF(O281="NOT LISTED","Obtain manufacturer collapse curve",IF(N281="CORROSION CONTROL","Model CO2 corrosion; review inhibition","Confirm corrosion, cracking, loads and connection"))))))</x:f>
        <x:v>Model CO2 corrosion; review inhibition</x:v>
      </x:c>
      <x:c r="T281" t="str">
        <x:v>https://www.jfe-steel.co.jp/en/products/energy/octg/material/grade_table.html</x:v>
      </x:c>
    </x:row>
    <x:row r="282" ht="23" customHeight="1">
      <x:c r="A282" t="str">
        <x:v>OCTG-0281</x:v>
      </x:c>
      <x:c r="B282" t="str">
        <x:v>JFE Steel</x:v>
      </x:c>
      <x:c r="C282" t="str">
        <x:v>JFE-95SS</x:v>
      </x:c>
      <x:c r="D282" t="str">
        <x:v>Carbon / low alloy</x:v>
      </x:c>
      <x:c r="E282" t="str">
        <x:v>Manufacturer sour-service series; 125S is mild sour</x:v>
      </x:c>
      <x:c r="F282" s="82" t="n">
        <x:v>95</x:v>
      </x:c>
      <x:c r="G282" t="str">
        <x:v>No</x:v>
      </x:c>
      <x:c r="H282" t="str">
        <x:v>A</x:v>
      </x:c>
      <x:c r="I282" t="str">
        <x:v>Yes</x:v>
      </x:c>
      <x:c r="J282" t="str">
        <x:v>No</x:v>
      </x:c>
      <x:c r="K282" t="str">
        <x:v>No</x:v>
      </x:c>
      <x:c r="L282" t="str">
        <x:f>IF(F282="","UNKNOWN",IF(F282&lt;'WELL INPUTS'!$B$11,"BELOW","OK"))</x:f>
        <x:v>OK</x:v>
      </x:c>
      <x:c r="M282" t="str">
        <x:f>IF(AND('WELL INPUTS'!$B$4="Wet",'WELL INPUTS'!$B$5&gt;0),IF(I282="Yes","CATALOG SOUR","NOT LISTED"),"N/A")</x:f>
        <x:v>N/A</x:v>
      </x:c>
      <x:c r="N282" t="str">
        <x:f>IF(AND('WELL INPUTS'!$B$4="Wet",'WELL INPUTS'!$B$6&gt;0),IF(J282="Yes","ALLOY FAMILY","CORROSION CONTROL"),"N/A")</x:f>
        <x:v>CORROSION CONTROL</x:v>
      </x:c>
      <x:c r="O282" t="str">
        <x:f>IF('WELL INPUTS'!$B$12="Yes",IF(G282="Yes","CLAIMED","NOT LISTED"),"N/A")</x:f>
        <x:v>N/A</x:v>
      </x:c>
      <x:c r="P282" t="str">
        <x:f>IF(OR('WELL INPUTS'!$B$13="Unrestricted",CODE(H282)&lt;=CODE('WELL INPUTS'!$B$13)),"WITHIN TIER","OVER CAP")</x:f>
        <x:v>WITHIN TIER</x:v>
      </x:c>
      <x:c r="Q282" t="n">
        <x:f>MAX(0,MIN(100,43+IF(L282="OK",14,-20)+IF(M282="CATALOG SOUR",24,IF(M282="NOT LISTED",-18,0))+IF(N282="ALLOY FAMILY",14,IF(N282="CORROSION CONTROL",-13,0))+IF(O282="CLAIMED",17,IF(O282="NOT LISTED",-14,0))+IF(K282="Yes",-15,0)+IF('WELL INPUTS'!$B$10="Yes",-17,0)))</x:f>
        <x:v>44</x:v>
      </x:c>
      <x:c r="R282" s="83" t="str">
        <x:f>IF(L282="BELOW","EXCLUDE — STRENGTH",IF(P282="OVER CAP","EXCLUDE — COST",IF(K282="Yes",IF('WELL INPUTS'!$B$14="No","EXCLUDE — REFERENCE","REFERENCE ONLY"),IF(OR(L282="UNKNOWN",M282="NOT LISTED",N282="CORROSION CONTROL",O282="NOT LISTED",'WELL INPUTS'!$B$10="Yes",'WELL INPUTS'!$B$4="Unknown"),"REVIEW","CANDIDATE — VERIFY"))))</x:f>
        <x:v>REVIEW</x:v>
      </x:c>
      <x:c r="S282" t="str">
        <x:f>IF(L282="BELOW","Increase minimum grade strength",IF(P282="OVER CAP","Relax cost tier or exclude",IF(K282="Yes","Identify qualified manufacturer grade",IF(M282="NOT LISTED","Confirm sour-service claim and ISO 15156",IF(O282="NOT LISTED","Obtain manufacturer collapse curve",IF(N282="CORROSION CONTROL","Model CO2 corrosion; review inhibition","Confirm corrosion, cracking, loads and connection"))))))</x:f>
        <x:v>Model CO2 corrosion; review inhibition</x:v>
      </x:c>
      <x:c r="T282" t="str">
        <x:v>https://www.jfe-steel.co.jp/en/products/energy/octg/material/grade_table.html</x:v>
      </x:c>
    </x:row>
    <x:row r="283" ht="23" customHeight="1">
      <x:c r="A283" t="str">
        <x:v>OCTG-0282</x:v>
      </x:c>
      <x:c r="B283" t="str">
        <x:v>JFE Steel</x:v>
      </x:c>
      <x:c r="C283" t="str">
        <x:v>P110-HC</x:v>
      </x:c>
      <x:c r="D283" t="str">
        <x:v>Carbon / low alloy</x:v>
      </x:c>
      <x:c r="E283" t="str">
        <x:v>High collapse</x:v>
      </x:c>
      <x:c r="F283" s="82" t="n">
        <x:v>110</x:v>
      </x:c>
      <x:c r="G283" t="str">
        <x:v>Yes</x:v>
      </x:c>
      <x:c r="H283" t="str">
        <x:v>A</x:v>
      </x:c>
      <x:c r="I283" t="str">
        <x:v>No</x:v>
      </x:c>
      <x:c r="J283" t="str">
        <x:v>No</x:v>
      </x:c>
      <x:c r="K283" t="str">
        <x:v>No</x:v>
      </x:c>
      <x:c r="L283" t="str">
        <x:f>IF(F283="","UNKNOWN",IF(F283&lt;'WELL INPUTS'!$B$11,"BELOW","OK"))</x:f>
        <x:v>OK</x:v>
      </x:c>
      <x:c r="M283" t="str">
        <x:f>IF(AND('WELL INPUTS'!$B$4="Wet",'WELL INPUTS'!$B$5&gt;0),IF(I283="Yes","CATALOG SOUR","NOT LISTED"),"N/A")</x:f>
        <x:v>N/A</x:v>
      </x:c>
      <x:c r="N283" t="str">
        <x:f>IF(AND('WELL INPUTS'!$B$4="Wet",'WELL INPUTS'!$B$6&gt;0),IF(J283="Yes","ALLOY FAMILY","CORROSION CONTROL"),"N/A")</x:f>
        <x:v>CORROSION CONTROL</x:v>
      </x:c>
      <x:c r="O283" t="str">
        <x:f>IF('WELL INPUTS'!$B$12="Yes",IF(G283="Yes","CLAIMED","NOT LISTED"),"N/A")</x:f>
        <x:v>N/A</x:v>
      </x:c>
      <x:c r="P283" t="str">
        <x:f>IF(OR('WELL INPUTS'!$B$13="Unrestricted",CODE(H283)&lt;=CODE('WELL INPUTS'!$B$13)),"WITHIN TIER","OVER CAP")</x:f>
        <x:v>WITHIN TIER</x:v>
      </x:c>
      <x:c r="Q283" t="n">
        <x:f>MAX(0,MIN(100,43+IF(L283="OK",14,-20)+IF(M283="CATALOG SOUR",24,IF(M283="NOT LISTED",-18,0))+IF(N283="ALLOY FAMILY",14,IF(N283="CORROSION CONTROL",-13,0))+IF(O283="CLAIMED",17,IF(O283="NOT LISTED",-14,0))+IF(K283="Yes",-15,0)+IF('WELL INPUTS'!$B$10="Yes",-17,0)))</x:f>
        <x:v>44</x:v>
      </x:c>
      <x:c r="R283" s="83" t="str">
        <x:f>IF(L283="BELOW","EXCLUDE — STRENGTH",IF(P283="OVER CAP","EXCLUDE — COST",IF(K283="Yes",IF('WELL INPUTS'!$B$14="No","EXCLUDE — REFERENCE","REFERENCE ONLY"),IF(OR(L283="UNKNOWN",M283="NOT LISTED",N283="CORROSION CONTROL",O283="NOT LISTED",'WELL INPUTS'!$B$10="Yes",'WELL INPUTS'!$B$4="Unknown"),"REVIEW","CANDIDATE — VERIFY"))))</x:f>
        <x:v>REVIEW</x:v>
      </x:c>
      <x:c r="S283" t="str">
        <x:f>IF(L283="BELOW","Increase minimum grade strength",IF(P283="OVER CAP","Relax cost tier or exclude",IF(K283="Yes","Identify qualified manufacturer grade",IF(M283="NOT LISTED","Confirm sour-service claim and ISO 15156",IF(O283="NOT LISTED","Obtain manufacturer collapse curve",IF(N283="CORROSION CONTROL","Model CO2 corrosion; review inhibition","Confirm corrosion, cracking, loads and connection"))))))</x:f>
        <x:v>Model CO2 corrosion; review inhibition</x:v>
      </x:c>
      <x:c r="T283" t="str">
        <x:v>https://www.jfe-steel.co.jp/en/products/energy/octg/material/grade_table.html</x:v>
      </x:c>
    </x:row>
    <x:row r="284" ht="23" customHeight="1">
      <x:c r="A284" t="str">
        <x:v>OCTG-0283</x:v>
      </x:c>
      <x:c r="B284" t="str">
        <x:v>JFE Steel</x:v>
      </x:c>
      <x:c r="C284" t="str">
        <x:v>P110-HCX</x:v>
      </x:c>
      <x:c r="D284" t="str">
        <x:v>Carbon / low alloy</x:v>
      </x:c>
      <x:c r="E284" t="str">
        <x:v>High collapse</x:v>
      </x:c>
      <x:c r="F284" s="82" t="n">
        <x:v>110</x:v>
      </x:c>
      <x:c r="G284" t="str">
        <x:v>Yes</x:v>
      </x:c>
      <x:c r="H284" t="str">
        <x:v>A</x:v>
      </x:c>
      <x:c r="I284" t="str">
        <x:v>No</x:v>
      </x:c>
      <x:c r="J284" t="str">
        <x:v>No</x:v>
      </x:c>
      <x:c r="K284" t="str">
        <x:v>No</x:v>
      </x:c>
      <x:c r="L284" t="str">
        <x:f>IF(F284="","UNKNOWN",IF(F284&lt;'WELL INPUTS'!$B$11,"BELOW","OK"))</x:f>
        <x:v>OK</x:v>
      </x:c>
      <x:c r="M284" t="str">
        <x:f>IF(AND('WELL INPUTS'!$B$4="Wet",'WELL INPUTS'!$B$5&gt;0),IF(I284="Yes","CATALOG SOUR","NOT LISTED"),"N/A")</x:f>
        <x:v>N/A</x:v>
      </x:c>
      <x:c r="N284" t="str">
        <x:f>IF(AND('WELL INPUTS'!$B$4="Wet",'WELL INPUTS'!$B$6&gt;0),IF(J284="Yes","ALLOY FAMILY","CORROSION CONTROL"),"N/A")</x:f>
        <x:v>CORROSION CONTROL</x:v>
      </x:c>
      <x:c r="O284" t="str">
        <x:f>IF('WELL INPUTS'!$B$12="Yes",IF(G284="Yes","CLAIMED","NOT LISTED"),"N/A")</x:f>
        <x:v>N/A</x:v>
      </x:c>
      <x:c r="P284" t="str">
        <x:f>IF(OR('WELL INPUTS'!$B$13="Unrestricted",CODE(H284)&lt;=CODE('WELL INPUTS'!$B$13)),"WITHIN TIER","OVER CAP")</x:f>
        <x:v>WITHIN TIER</x:v>
      </x:c>
      <x:c r="Q284" t="n">
        <x:f>MAX(0,MIN(100,43+IF(L284="OK",14,-20)+IF(M284="CATALOG SOUR",24,IF(M284="NOT LISTED",-18,0))+IF(N284="ALLOY FAMILY",14,IF(N284="CORROSION CONTROL",-13,0))+IF(O284="CLAIMED",17,IF(O284="NOT LISTED",-14,0))+IF(K284="Yes",-15,0)+IF('WELL INPUTS'!$B$10="Yes",-17,0)))</x:f>
        <x:v>44</x:v>
      </x:c>
      <x:c r="R284" s="83" t="str">
        <x:f>IF(L284="BELOW","EXCLUDE — STRENGTH",IF(P284="OVER CAP","EXCLUDE — COST",IF(K284="Yes",IF('WELL INPUTS'!$B$14="No","EXCLUDE — REFERENCE","REFERENCE ONLY"),IF(OR(L284="UNKNOWN",M284="NOT LISTED",N284="CORROSION CONTROL",O284="NOT LISTED",'WELL INPUTS'!$B$10="Yes",'WELL INPUTS'!$B$4="Unknown"),"REVIEW","CANDIDATE — VERIFY"))))</x:f>
        <x:v>REVIEW</x:v>
      </x:c>
      <x:c r="S284" t="str">
        <x:f>IF(L284="BELOW","Increase minimum grade strength",IF(P284="OVER CAP","Relax cost tier or exclude",IF(K284="Yes","Identify qualified manufacturer grade",IF(M284="NOT LISTED","Confirm sour-service claim and ISO 15156",IF(O284="NOT LISTED","Obtain manufacturer collapse curve",IF(N284="CORROSION CONTROL","Model CO2 corrosion; review inhibition","Confirm corrosion, cracking, loads and connection"))))))</x:f>
        <x:v>Model CO2 corrosion; review inhibition</x:v>
      </x:c>
      <x:c r="T284" t="str">
        <x:v>https://www.jfe-steel.co.jp/en/products/energy/octg/material/grade_table.html</x:v>
      </x:c>
    </x:row>
    <x:row r="285" ht="23" customHeight="1">
      <x:c r="A285" t="str">
        <x:v>OCTG-0284</x:v>
      </x:c>
      <x:c r="B285" t="str">
        <x:v>JFE Steel</x:v>
      </x:c>
      <x:c r="C285" t="str">
        <x:v>P110-MS</x:v>
      </x:c>
      <x:c r="D285" t="str">
        <x:v>Carbon / low alloy</x:v>
      </x:c>
      <x:c r="E285" t="str">
        <x:v>Mild sour</x:v>
      </x:c>
      <x:c r="F285" s="82" t="n">
        <x:v>110</x:v>
      </x:c>
      <x:c r="G285" t="str">
        <x:v>No</x:v>
      </x:c>
      <x:c r="H285" t="str">
        <x:v>A</x:v>
      </x:c>
      <x:c r="I285" t="str">
        <x:v>Yes</x:v>
      </x:c>
      <x:c r="J285" t="str">
        <x:v>No</x:v>
      </x:c>
      <x:c r="K285" t="str">
        <x:v>No</x:v>
      </x:c>
      <x:c r="L285" t="str">
        <x:f>IF(F285="","UNKNOWN",IF(F285&lt;'WELL INPUTS'!$B$11,"BELOW","OK"))</x:f>
        <x:v>OK</x:v>
      </x:c>
      <x:c r="M285" t="str">
        <x:f>IF(AND('WELL INPUTS'!$B$4="Wet",'WELL INPUTS'!$B$5&gt;0),IF(I285="Yes","CATALOG SOUR","NOT LISTED"),"N/A")</x:f>
        <x:v>N/A</x:v>
      </x:c>
      <x:c r="N285" t="str">
        <x:f>IF(AND('WELL INPUTS'!$B$4="Wet",'WELL INPUTS'!$B$6&gt;0),IF(J285="Yes","ALLOY FAMILY","CORROSION CONTROL"),"N/A")</x:f>
        <x:v>CORROSION CONTROL</x:v>
      </x:c>
      <x:c r="O285" t="str">
        <x:f>IF('WELL INPUTS'!$B$12="Yes",IF(G285="Yes","CLAIMED","NOT LISTED"),"N/A")</x:f>
        <x:v>N/A</x:v>
      </x:c>
      <x:c r="P285" t="str">
        <x:f>IF(OR('WELL INPUTS'!$B$13="Unrestricted",CODE(H285)&lt;=CODE('WELL INPUTS'!$B$13)),"WITHIN TIER","OVER CAP")</x:f>
        <x:v>WITHIN TIER</x:v>
      </x:c>
      <x:c r="Q285" t="n">
        <x:f>MAX(0,MIN(100,43+IF(L285="OK",14,-20)+IF(M285="CATALOG SOUR",24,IF(M285="NOT LISTED",-18,0))+IF(N285="ALLOY FAMILY",14,IF(N285="CORROSION CONTROL",-13,0))+IF(O285="CLAIMED",17,IF(O285="NOT LISTED",-14,0))+IF(K285="Yes",-15,0)+IF('WELL INPUTS'!$B$10="Yes",-17,0)))</x:f>
        <x:v>44</x:v>
      </x:c>
      <x:c r="R285" s="83" t="str">
        <x:f>IF(L285="BELOW","EXCLUDE — STRENGTH",IF(P285="OVER CAP","EXCLUDE — COST",IF(K285="Yes",IF('WELL INPUTS'!$B$14="No","EXCLUDE — REFERENCE","REFERENCE ONLY"),IF(OR(L285="UNKNOWN",M285="NOT LISTED",N285="CORROSION CONTROL",O285="NOT LISTED",'WELL INPUTS'!$B$10="Yes",'WELL INPUTS'!$B$4="Unknown"),"REVIEW","CANDIDATE — VERIFY"))))</x:f>
        <x:v>REVIEW</x:v>
      </x:c>
      <x:c r="S285" t="str">
        <x:f>IF(L285="BELOW","Increase minimum grade strength",IF(P285="OVER CAP","Relax cost tier or exclude",IF(K285="Yes","Identify qualified manufacturer grade",IF(M285="NOT LISTED","Confirm sour-service claim and ISO 15156",IF(O285="NOT LISTED","Obtain manufacturer collapse curve",IF(N285="CORROSION CONTROL","Model CO2 corrosion; review inhibition","Confirm corrosion, cracking, loads and connection"))))))</x:f>
        <x:v>Model CO2 corrosion; review inhibition</x:v>
      </x:c>
      <x:c r="T285" t="str">
        <x:v>https://www.jfe-steel.co.jp/en/products/energy/octg/material/grade_table.html</x:v>
      </x:c>
    </x:row>
    <x:row r="286" ht="23" customHeight="1">
      <x:c r="A286" t="str">
        <x:v>OCTG-0285</x:v>
      </x:c>
      <x:c r="B286" t="str">
        <x:v>JFE Steel</x:v>
      </x:c>
      <x:c r="C286" t="str">
        <x:v>P110E</x:v>
      </x:c>
      <x:c r="D286" t="str">
        <x:v>Carbon / low alloy</x:v>
      </x:c>
      <x:c r="E286" t="str">
        <x:v>Restricted/enhanced yield</x:v>
      </x:c>
      <x:c r="F286" s="82" t="n">
        <x:v>110</x:v>
      </x:c>
      <x:c r="G286" t="str">
        <x:v>No</x:v>
      </x:c>
      <x:c r="H286" t="str">
        <x:v>A</x:v>
      </x:c>
      <x:c r="I286" t="str">
        <x:v>No</x:v>
      </x:c>
      <x:c r="J286" t="str">
        <x:v>No</x:v>
      </x:c>
      <x:c r="K286" t="str">
        <x:v>No</x:v>
      </x:c>
      <x:c r="L286" t="str">
        <x:f>IF(F286="","UNKNOWN",IF(F286&lt;'WELL INPUTS'!$B$11,"BELOW","OK"))</x:f>
        <x:v>OK</x:v>
      </x:c>
      <x:c r="M286" t="str">
        <x:f>IF(AND('WELL INPUTS'!$B$4="Wet",'WELL INPUTS'!$B$5&gt;0),IF(I286="Yes","CATALOG SOUR","NOT LISTED"),"N/A")</x:f>
        <x:v>N/A</x:v>
      </x:c>
      <x:c r="N286" t="str">
        <x:f>IF(AND('WELL INPUTS'!$B$4="Wet",'WELL INPUTS'!$B$6&gt;0),IF(J286="Yes","ALLOY FAMILY","CORROSION CONTROL"),"N/A")</x:f>
        <x:v>CORROSION CONTROL</x:v>
      </x:c>
      <x:c r="O286" t="str">
        <x:f>IF('WELL INPUTS'!$B$12="Yes",IF(G286="Yes","CLAIMED","NOT LISTED"),"N/A")</x:f>
        <x:v>N/A</x:v>
      </x:c>
      <x:c r="P286" t="str">
        <x:f>IF(OR('WELL INPUTS'!$B$13="Unrestricted",CODE(H286)&lt;=CODE('WELL INPUTS'!$B$13)),"WITHIN TIER","OVER CAP")</x:f>
        <x:v>WITHIN TIER</x:v>
      </x:c>
      <x:c r="Q286" t="n">
        <x:f>MAX(0,MIN(100,43+IF(L286="OK",14,-20)+IF(M286="CATALOG SOUR",24,IF(M286="NOT LISTED",-18,0))+IF(N286="ALLOY FAMILY",14,IF(N286="CORROSION CONTROL",-13,0))+IF(O286="CLAIMED",17,IF(O286="NOT LISTED",-14,0))+IF(K286="Yes",-15,0)+IF('WELL INPUTS'!$B$10="Yes",-17,0)))</x:f>
        <x:v>44</x:v>
      </x:c>
      <x:c r="R286" s="83" t="str">
        <x:f>IF(L286="BELOW","EXCLUDE — STRENGTH",IF(P286="OVER CAP","EXCLUDE — COST",IF(K286="Yes",IF('WELL INPUTS'!$B$14="No","EXCLUDE — REFERENCE","REFERENCE ONLY"),IF(OR(L286="UNKNOWN",M286="NOT LISTED",N286="CORROSION CONTROL",O286="NOT LISTED",'WELL INPUTS'!$B$10="Yes",'WELL INPUTS'!$B$4="Unknown"),"REVIEW","CANDIDATE — VERIFY"))))</x:f>
        <x:v>REVIEW</x:v>
      </x:c>
      <x:c r="S286" t="str">
        <x:f>IF(L286="BELOW","Increase minimum grade strength",IF(P286="OVER CAP","Relax cost tier or exclude",IF(K286="Yes","Identify qualified manufacturer grade",IF(M286="NOT LISTED","Confirm sour-service claim and ISO 15156",IF(O286="NOT LISTED","Obtain manufacturer collapse curve",IF(N286="CORROSION CONTROL","Model CO2 corrosion; review inhibition","Confirm corrosion, cracking, loads and connection"))))))</x:f>
        <x:v>Model CO2 corrosion; review inhibition</x:v>
      </x:c>
      <x:c r="T286" t="str">
        <x:v>https://www.jfe-steel.co.jp/en/products/energy/octg/material/grade_table.html</x:v>
      </x:c>
    </x:row>
    <x:row r="287" ht="23" customHeight="1">
      <x:c r="A287" t="str">
        <x:v>OCTG-0286</x:v>
      </x:c>
      <x:c r="B287" t="str">
        <x:v>JFE Steel</x:v>
      </x:c>
      <x:c r="C287" t="str">
        <x:v>Q125-HC</x:v>
      </x:c>
      <x:c r="D287" t="str">
        <x:v>Carbon / low alloy</x:v>
      </x:c>
      <x:c r="E287" t="str">
        <x:v>High collapse</x:v>
      </x:c>
      <x:c r="F287" s="82" t="n">
        <x:v>125</x:v>
      </x:c>
      <x:c r="G287" t="str">
        <x:v>Yes</x:v>
      </x:c>
      <x:c r="H287" t="str">
        <x:v>A</x:v>
      </x:c>
      <x:c r="I287" t="str">
        <x:v>No</x:v>
      </x:c>
      <x:c r="J287" t="str">
        <x:v>No</x:v>
      </x:c>
      <x:c r="K287" t="str">
        <x:v>No</x:v>
      </x:c>
      <x:c r="L287" t="str">
        <x:f>IF(F287="","UNKNOWN",IF(F287&lt;'WELL INPUTS'!$B$11,"BELOW","OK"))</x:f>
        <x:v>OK</x:v>
      </x:c>
      <x:c r="M287" t="str">
        <x:f>IF(AND('WELL INPUTS'!$B$4="Wet",'WELL INPUTS'!$B$5&gt;0),IF(I287="Yes","CATALOG SOUR","NOT LISTED"),"N/A")</x:f>
        <x:v>N/A</x:v>
      </x:c>
      <x:c r="N287" t="str">
        <x:f>IF(AND('WELL INPUTS'!$B$4="Wet",'WELL INPUTS'!$B$6&gt;0),IF(J287="Yes","ALLOY FAMILY","CORROSION CONTROL"),"N/A")</x:f>
        <x:v>CORROSION CONTROL</x:v>
      </x:c>
      <x:c r="O287" t="str">
        <x:f>IF('WELL INPUTS'!$B$12="Yes",IF(G287="Yes","CLAIMED","NOT LISTED"),"N/A")</x:f>
        <x:v>N/A</x:v>
      </x:c>
      <x:c r="P287" t="str">
        <x:f>IF(OR('WELL INPUTS'!$B$13="Unrestricted",CODE(H287)&lt;=CODE('WELL INPUTS'!$B$13)),"WITHIN TIER","OVER CAP")</x:f>
        <x:v>WITHIN TIER</x:v>
      </x:c>
      <x:c r="Q287" t="n">
        <x:f>MAX(0,MIN(100,43+IF(L287="OK",14,-20)+IF(M287="CATALOG SOUR",24,IF(M287="NOT LISTED",-18,0))+IF(N287="ALLOY FAMILY",14,IF(N287="CORROSION CONTROL",-13,0))+IF(O287="CLAIMED",17,IF(O287="NOT LISTED",-14,0))+IF(K287="Yes",-15,0)+IF('WELL INPUTS'!$B$10="Yes",-17,0)))</x:f>
        <x:v>44</x:v>
      </x:c>
      <x:c r="R287" s="83" t="str">
        <x:f>IF(L287="BELOW","EXCLUDE — STRENGTH",IF(P287="OVER CAP","EXCLUDE — COST",IF(K287="Yes",IF('WELL INPUTS'!$B$14="No","EXCLUDE — REFERENCE","REFERENCE ONLY"),IF(OR(L287="UNKNOWN",M287="NOT LISTED",N287="CORROSION CONTROL",O287="NOT LISTED",'WELL INPUTS'!$B$10="Yes",'WELL INPUTS'!$B$4="Unknown"),"REVIEW","CANDIDATE — VERIFY"))))</x:f>
        <x:v>REVIEW</x:v>
      </x:c>
      <x:c r="S287" t="str">
        <x:f>IF(L287="BELOW","Increase minimum grade strength",IF(P287="OVER CAP","Relax cost tier or exclude",IF(K287="Yes","Identify qualified manufacturer grade",IF(M287="NOT LISTED","Confirm sour-service claim and ISO 15156",IF(O287="NOT LISTED","Obtain manufacturer collapse curve",IF(N287="CORROSION CONTROL","Model CO2 corrosion; review inhibition","Confirm corrosion, cracking, loads and connection"))))))</x:f>
        <x:v>Model CO2 corrosion; review inhibition</x:v>
      </x:c>
      <x:c r="T287" t="str">
        <x:v>https://www.jfe-steel.co.jp/en/products/energy/octg/material/grade_table.html</x:v>
      </x:c>
    </x:row>
    <x:row r="288" ht="23" customHeight="1">
      <x:c r="A288" t="str">
        <x:v>OCTG-0287</x:v>
      </x:c>
      <x:c r="B288" t="str">
        <x:v>JFE Steel</x:v>
      </x:c>
      <x:c r="C288" t="str">
        <x:v>Q125-HCX</x:v>
      </x:c>
      <x:c r="D288" t="str">
        <x:v>Carbon / low alloy</x:v>
      </x:c>
      <x:c r="E288" t="str">
        <x:v>High collapse</x:v>
      </x:c>
      <x:c r="F288" s="82" t="n">
        <x:v>125</x:v>
      </x:c>
      <x:c r="G288" t="str">
        <x:v>Yes</x:v>
      </x:c>
      <x:c r="H288" t="str">
        <x:v>A</x:v>
      </x:c>
      <x:c r="I288" t="str">
        <x:v>No</x:v>
      </x:c>
      <x:c r="J288" t="str">
        <x:v>No</x:v>
      </x:c>
      <x:c r="K288" t="str">
        <x:v>No</x:v>
      </x:c>
      <x:c r="L288" t="str">
        <x:f>IF(F288="","UNKNOWN",IF(F288&lt;'WELL INPUTS'!$B$11,"BELOW","OK"))</x:f>
        <x:v>OK</x:v>
      </x:c>
      <x:c r="M288" t="str">
        <x:f>IF(AND('WELL INPUTS'!$B$4="Wet",'WELL INPUTS'!$B$5&gt;0),IF(I288="Yes","CATALOG SOUR","NOT LISTED"),"N/A")</x:f>
        <x:v>N/A</x:v>
      </x:c>
      <x:c r="N288" t="str">
        <x:f>IF(AND('WELL INPUTS'!$B$4="Wet",'WELL INPUTS'!$B$6&gt;0),IF(J288="Yes","ALLOY FAMILY","CORROSION CONTROL"),"N/A")</x:f>
        <x:v>CORROSION CONTROL</x:v>
      </x:c>
      <x:c r="O288" t="str">
        <x:f>IF('WELL INPUTS'!$B$12="Yes",IF(G288="Yes","CLAIMED","NOT LISTED"),"N/A")</x:f>
        <x:v>N/A</x:v>
      </x:c>
      <x:c r="P288" t="str">
        <x:f>IF(OR('WELL INPUTS'!$B$13="Unrestricted",CODE(H288)&lt;=CODE('WELL INPUTS'!$B$13)),"WITHIN TIER","OVER CAP")</x:f>
        <x:v>WITHIN TIER</x:v>
      </x:c>
      <x:c r="Q288" t="n">
        <x:f>MAX(0,MIN(100,43+IF(L288="OK",14,-20)+IF(M288="CATALOG SOUR",24,IF(M288="NOT LISTED",-18,0))+IF(N288="ALLOY FAMILY",14,IF(N288="CORROSION CONTROL",-13,0))+IF(O288="CLAIMED",17,IF(O288="NOT LISTED",-14,0))+IF(K288="Yes",-15,0)+IF('WELL INPUTS'!$B$10="Yes",-17,0)))</x:f>
        <x:v>44</x:v>
      </x:c>
      <x:c r="R288" s="83" t="str">
        <x:f>IF(L288="BELOW","EXCLUDE — STRENGTH",IF(P288="OVER CAP","EXCLUDE — COST",IF(K288="Yes",IF('WELL INPUTS'!$B$14="No","EXCLUDE — REFERENCE","REFERENCE ONLY"),IF(OR(L288="UNKNOWN",M288="NOT LISTED",N288="CORROSION CONTROL",O288="NOT LISTED",'WELL INPUTS'!$B$10="Yes",'WELL INPUTS'!$B$4="Unknown"),"REVIEW","CANDIDATE — VERIFY"))))</x:f>
        <x:v>REVIEW</x:v>
      </x:c>
      <x:c r="S288" t="str">
        <x:f>IF(L288="BELOW","Increase minimum grade strength",IF(P288="OVER CAP","Relax cost tier or exclude",IF(K288="Yes","Identify qualified manufacturer grade",IF(M288="NOT LISTED","Confirm sour-service claim and ISO 15156",IF(O288="NOT LISTED","Obtain manufacturer collapse curve",IF(N288="CORROSION CONTROL","Model CO2 corrosion; review inhibition","Confirm corrosion, cracking, loads and connection"))))))</x:f>
        <x:v>Model CO2 corrosion; review inhibition</x:v>
      </x:c>
      <x:c r="T288" t="str">
        <x:v>https://www.jfe-steel.co.jp/en/products/energy/octg/material/grade_table.html</x:v>
      </x:c>
    </x:row>
    <x:row r="289" ht="23" customHeight="1">
      <x:c r="A289" t="str">
        <x:v>OCTG-0288</x:v>
      </x:c>
      <x:c r="B289" t="str">
        <x:v>JFE Steel</x:v>
      </x:c>
      <x:c r="C289" t="str">
        <x:v>T95-HC</x:v>
      </x:c>
      <x:c r="D289" t="str">
        <x:v>Carbon / low alloy</x:v>
      </x:c>
      <x:c r="E289" t="str">
        <x:v>Sour + high collapse</x:v>
      </x:c>
      <x:c r="F289" s="82" t="n">
        <x:v>95</x:v>
      </x:c>
      <x:c r="G289" t="str">
        <x:v>Yes</x:v>
      </x:c>
      <x:c r="H289" t="str">
        <x:v>A</x:v>
      </x:c>
      <x:c r="I289" t="str">
        <x:v>Yes</x:v>
      </x:c>
      <x:c r="J289" t="str">
        <x:v>No</x:v>
      </x:c>
      <x:c r="K289" t="str">
        <x:v>No</x:v>
      </x:c>
      <x:c r="L289" t="str">
        <x:f>IF(F289="","UNKNOWN",IF(F289&lt;'WELL INPUTS'!$B$11,"BELOW","OK"))</x:f>
        <x:v>OK</x:v>
      </x:c>
      <x:c r="M289" t="str">
        <x:f>IF(AND('WELL INPUTS'!$B$4="Wet",'WELL INPUTS'!$B$5&gt;0),IF(I289="Yes","CATALOG SOUR","NOT LISTED"),"N/A")</x:f>
        <x:v>N/A</x:v>
      </x:c>
      <x:c r="N289" t="str">
        <x:f>IF(AND('WELL INPUTS'!$B$4="Wet",'WELL INPUTS'!$B$6&gt;0),IF(J289="Yes","ALLOY FAMILY","CORROSION CONTROL"),"N/A")</x:f>
        <x:v>CORROSION CONTROL</x:v>
      </x:c>
      <x:c r="O289" t="str">
        <x:f>IF('WELL INPUTS'!$B$12="Yes",IF(G289="Yes","CLAIMED","NOT LISTED"),"N/A")</x:f>
        <x:v>N/A</x:v>
      </x:c>
      <x:c r="P289" t="str">
        <x:f>IF(OR('WELL INPUTS'!$B$13="Unrestricted",CODE(H289)&lt;=CODE('WELL INPUTS'!$B$13)),"WITHIN TIER","OVER CAP")</x:f>
        <x:v>WITHIN TIER</x:v>
      </x:c>
      <x:c r="Q289" t="n">
        <x:f>MAX(0,MIN(100,43+IF(L289="OK",14,-20)+IF(M289="CATALOG SOUR",24,IF(M289="NOT LISTED",-18,0))+IF(N289="ALLOY FAMILY",14,IF(N289="CORROSION CONTROL",-13,0))+IF(O289="CLAIMED",17,IF(O289="NOT LISTED",-14,0))+IF(K289="Yes",-15,0)+IF('WELL INPUTS'!$B$10="Yes",-17,0)))</x:f>
        <x:v>44</x:v>
      </x:c>
      <x:c r="R289" s="83" t="str">
        <x:f>IF(L289="BELOW","EXCLUDE — STRENGTH",IF(P289="OVER CAP","EXCLUDE — COST",IF(K289="Yes",IF('WELL INPUTS'!$B$14="No","EXCLUDE — REFERENCE","REFERENCE ONLY"),IF(OR(L289="UNKNOWN",M289="NOT LISTED",N289="CORROSION CONTROL",O289="NOT LISTED",'WELL INPUTS'!$B$10="Yes",'WELL INPUTS'!$B$4="Unknown"),"REVIEW","CANDIDATE — VERIFY"))))</x:f>
        <x:v>REVIEW</x:v>
      </x:c>
      <x:c r="S289" t="str">
        <x:f>IF(L289="BELOW","Increase minimum grade strength",IF(P289="OVER CAP","Relax cost tier or exclude",IF(K289="Yes","Identify qualified manufacturer grade",IF(M289="NOT LISTED","Confirm sour-service claim and ISO 15156",IF(O289="NOT LISTED","Obtain manufacturer collapse curve",IF(N289="CORROSION CONTROL","Model CO2 corrosion; review inhibition","Confirm corrosion, cracking, loads and connection"))))))</x:f>
        <x:v>Model CO2 corrosion; review inhibition</x:v>
      </x:c>
      <x:c r="T289" t="str">
        <x:v>https://www.jfe-steel.co.jp/en/products/energy/octg/material/grade_table.html</x:v>
      </x:c>
    </x:row>
    <x:row r="290" ht="23" customHeight="1">
      <x:c r="A290" t="str">
        <x:v>OCTG-0289</x:v>
      </x:c>
      <x:c r="B290" t="str">
        <x:v>JFE Steel</x:v>
      </x:c>
      <x:c r="C290" t="str">
        <x:v>T95-HCX</x:v>
      </x:c>
      <x:c r="D290" t="str">
        <x:v>Carbon / low alloy</x:v>
      </x:c>
      <x:c r="E290" t="str">
        <x:v>Sour + high collapse</x:v>
      </x:c>
      <x:c r="F290" s="82" t="n">
        <x:v>95</x:v>
      </x:c>
      <x:c r="G290" t="str">
        <x:v>Yes</x:v>
      </x:c>
      <x:c r="H290" t="str">
        <x:v>A</x:v>
      </x:c>
      <x:c r="I290" t="str">
        <x:v>Yes</x:v>
      </x:c>
      <x:c r="J290" t="str">
        <x:v>No</x:v>
      </x:c>
      <x:c r="K290" t="str">
        <x:v>No</x:v>
      </x:c>
      <x:c r="L290" t="str">
        <x:f>IF(F290="","UNKNOWN",IF(F290&lt;'WELL INPUTS'!$B$11,"BELOW","OK"))</x:f>
        <x:v>OK</x:v>
      </x:c>
      <x:c r="M290" t="str">
        <x:f>IF(AND('WELL INPUTS'!$B$4="Wet",'WELL INPUTS'!$B$5&gt;0),IF(I290="Yes","CATALOG SOUR","NOT LISTED"),"N/A")</x:f>
        <x:v>N/A</x:v>
      </x:c>
      <x:c r="N290" t="str">
        <x:f>IF(AND('WELL INPUTS'!$B$4="Wet",'WELL INPUTS'!$B$6&gt;0),IF(J290="Yes","ALLOY FAMILY","CORROSION CONTROL"),"N/A")</x:f>
        <x:v>CORROSION CONTROL</x:v>
      </x:c>
      <x:c r="O290" t="str">
        <x:f>IF('WELL INPUTS'!$B$12="Yes",IF(G290="Yes","CLAIMED","NOT LISTED"),"N/A")</x:f>
        <x:v>N/A</x:v>
      </x:c>
      <x:c r="P290" t="str">
        <x:f>IF(OR('WELL INPUTS'!$B$13="Unrestricted",CODE(H290)&lt;=CODE('WELL INPUTS'!$B$13)),"WITHIN TIER","OVER CAP")</x:f>
        <x:v>WITHIN TIER</x:v>
      </x:c>
      <x:c r="Q290" t="n">
        <x:f>MAX(0,MIN(100,43+IF(L290="OK",14,-20)+IF(M290="CATALOG SOUR",24,IF(M290="NOT LISTED",-18,0))+IF(N290="ALLOY FAMILY",14,IF(N290="CORROSION CONTROL",-13,0))+IF(O290="CLAIMED",17,IF(O290="NOT LISTED",-14,0))+IF(K290="Yes",-15,0)+IF('WELL INPUTS'!$B$10="Yes",-17,0)))</x:f>
        <x:v>44</x:v>
      </x:c>
      <x:c r="R290" s="83" t="str">
        <x:f>IF(L290="BELOW","EXCLUDE — STRENGTH",IF(P290="OVER CAP","EXCLUDE — COST",IF(K290="Yes",IF('WELL INPUTS'!$B$14="No","EXCLUDE — REFERENCE","REFERENCE ONLY"),IF(OR(L290="UNKNOWN",M290="NOT LISTED",N290="CORROSION CONTROL",O290="NOT LISTED",'WELL INPUTS'!$B$10="Yes",'WELL INPUTS'!$B$4="Unknown"),"REVIEW","CANDIDATE — VERIFY"))))</x:f>
        <x:v>REVIEW</x:v>
      </x:c>
      <x:c r="S290" t="str">
        <x:f>IF(L290="BELOW","Increase minimum grade strength",IF(P290="OVER CAP","Relax cost tier or exclude",IF(K290="Yes","Identify qualified manufacturer grade",IF(M290="NOT LISTED","Confirm sour-service claim and ISO 15156",IF(O290="NOT LISTED","Obtain manufacturer collapse curve",IF(N290="CORROSION CONTROL","Model CO2 corrosion; review inhibition","Confirm corrosion, cracking, loads and connection"))))))</x:f>
        <x:v>Model CO2 corrosion; review inhibition</x:v>
      </x:c>
      <x:c r="T290" t="str">
        <x:v>https://www.jfe-steel.co.jp/en/products/energy/octg/material/grade_table.html</x:v>
      </x:c>
    </x:row>
    <x:row r="291" ht="23" customHeight="1">
      <x:c r="A291" t="str">
        <x:v>OCTG-0290</x:v>
      </x:c>
      <x:c r="B291" t="str">
        <x:v>JFE Steel</x:v>
      </x:c>
      <x:c r="C291" t="str">
        <x:v>T95E</x:v>
      </x:c>
      <x:c r="D291" t="str">
        <x:v>Carbon / low alloy</x:v>
      </x:c>
      <x:c r="E291" t="str">
        <x:v>Restricted/enhanced yield</x:v>
      </x:c>
      <x:c r="F291" s="82" t="n">
        <x:v>95</x:v>
      </x:c>
      <x:c r="G291" t="str">
        <x:v>No</x:v>
      </x:c>
      <x:c r="H291" t="str">
        <x:v>A</x:v>
      </x:c>
      <x:c r="I291" t="str">
        <x:v>No</x:v>
      </x:c>
      <x:c r="J291" t="str">
        <x:v>No</x:v>
      </x:c>
      <x:c r="K291" t="str">
        <x:v>No</x:v>
      </x:c>
      <x:c r="L291" t="str">
        <x:f>IF(F291="","UNKNOWN",IF(F291&lt;'WELL INPUTS'!$B$11,"BELOW","OK"))</x:f>
        <x:v>OK</x:v>
      </x:c>
      <x:c r="M291" t="str">
        <x:f>IF(AND('WELL INPUTS'!$B$4="Wet",'WELL INPUTS'!$B$5&gt;0),IF(I291="Yes","CATALOG SOUR","NOT LISTED"),"N/A")</x:f>
        <x:v>N/A</x:v>
      </x:c>
      <x:c r="N291" t="str">
        <x:f>IF(AND('WELL INPUTS'!$B$4="Wet",'WELL INPUTS'!$B$6&gt;0),IF(J291="Yes","ALLOY FAMILY","CORROSION CONTROL"),"N/A")</x:f>
        <x:v>CORROSION CONTROL</x:v>
      </x:c>
      <x:c r="O291" t="str">
        <x:f>IF('WELL INPUTS'!$B$12="Yes",IF(G291="Yes","CLAIMED","NOT LISTED"),"N/A")</x:f>
        <x:v>N/A</x:v>
      </x:c>
      <x:c r="P291" t="str">
        <x:f>IF(OR('WELL INPUTS'!$B$13="Unrestricted",CODE(H291)&lt;=CODE('WELL INPUTS'!$B$13)),"WITHIN TIER","OVER CAP")</x:f>
        <x:v>WITHIN TIER</x:v>
      </x:c>
      <x:c r="Q291" t="n">
        <x:f>MAX(0,MIN(100,43+IF(L291="OK",14,-20)+IF(M291="CATALOG SOUR",24,IF(M291="NOT LISTED",-18,0))+IF(N291="ALLOY FAMILY",14,IF(N291="CORROSION CONTROL",-13,0))+IF(O291="CLAIMED",17,IF(O291="NOT LISTED",-14,0))+IF(K291="Yes",-15,0)+IF('WELL INPUTS'!$B$10="Yes",-17,0)))</x:f>
        <x:v>44</x:v>
      </x:c>
      <x:c r="R291" s="83" t="str">
        <x:f>IF(L291="BELOW","EXCLUDE — STRENGTH",IF(P291="OVER CAP","EXCLUDE — COST",IF(K291="Yes",IF('WELL INPUTS'!$B$14="No","EXCLUDE — REFERENCE","REFERENCE ONLY"),IF(OR(L291="UNKNOWN",M291="NOT LISTED",N291="CORROSION CONTROL",O291="NOT LISTED",'WELL INPUTS'!$B$10="Yes",'WELL INPUTS'!$B$4="Unknown"),"REVIEW","CANDIDATE — VERIFY"))))</x:f>
        <x:v>REVIEW</x:v>
      </x:c>
      <x:c r="S291" t="str">
        <x:f>IF(L291="BELOW","Increase minimum grade strength",IF(P291="OVER CAP","Relax cost tier or exclude",IF(K291="Yes","Identify qualified manufacturer grade",IF(M291="NOT LISTED","Confirm sour-service claim and ISO 15156",IF(O291="NOT LISTED","Obtain manufacturer collapse curve",IF(N291="CORROSION CONTROL","Model CO2 corrosion; review inhibition","Confirm corrosion, cracking, loads and connection"))))))</x:f>
        <x:v>Model CO2 corrosion; review inhibition</x:v>
      </x:c>
      <x:c r="T291" t="str">
        <x:v>https://www.jfe-steel.co.jp/en/products/energy/octg/material/grade_table.html</x:v>
      </x:c>
    </x:row>
    <x:row r="292" ht="23" customHeight="1">
      <x:c r="A292" t="str">
        <x:v>OCTG-0291</x:v>
      </x:c>
      <x:c r="B292" t="str">
        <x:v>JFE Steel</x:v>
      </x:c>
      <x:c r="C292" t="str">
        <x:v>JFE-13CR-80</x:v>
      </x:c>
      <x:c r="D292" t="str">
        <x:v>Martensitic 13Cr</x:v>
      </x:c>
      <x:c r="E292" t="str">
        <x:v>Sweet wet CO2</x:v>
      </x:c>
      <x:c r="F292" s="82" t="n">
        <x:v>80</x:v>
      </x:c>
      <x:c r="G292" t="str">
        <x:v>No</x:v>
      </x:c>
      <x:c r="H292" t="str">
        <x:v>D</x:v>
      </x:c>
      <x:c r="I292" t="str">
        <x:v>No</x:v>
      </x:c>
      <x:c r="J292" t="str">
        <x:v>Yes</x:v>
      </x:c>
      <x:c r="K292" t="str">
        <x:v>No</x:v>
      </x:c>
      <x:c r="L292" t="str">
        <x:f>IF(F292="","UNKNOWN",IF(F292&lt;'WELL INPUTS'!$B$11,"BELOW","OK"))</x:f>
        <x:v>OK</x:v>
      </x:c>
      <x:c r="M292" t="str">
        <x:f>IF(AND('WELL INPUTS'!$B$4="Wet",'WELL INPUTS'!$B$5&gt;0),IF(I292="Yes","CATALOG SOUR","NOT LISTED"),"N/A")</x:f>
        <x:v>N/A</x:v>
      </x:c>
      <x:c r="N292" t="str">
        <x:f>IF(AND('WELL INPUTS'!$B$4="Wet",'WELL INPUTS'!$B$6&gt;0),IF(J292="Yes","ALLOY FAMILY","CORROSION CONTROL"),"N/A")</x:f>
        <x:v>ALLOY FAMILY</x:v>
      </x:c>
      <x:c r="O292" t="str">
        <x:f>IF('WELL INPUTS'!$B$12="Yes",IF(G292="Yes","CLAIMED","NOT LISTED"),"N/A")</x:f>
        <x:v>N/A</x:v>
      </x:c>
      <x:c r="P292" t="str">
        <x:f>IF(OR('WELL INPUTS'!$B$13="Unrestricted",CODE(H292)&lt;=CODE('WELL INPUTS'!$B$13)),"WITHIN TIER","OVER CAP")</x:f>
        <x:v>WITHIN TIER</x:v>
      </x:c>
      <x:c r="Q292" t="n">
        <x:f>MAX(0,MIN(100,43+IF(L292="OK",14,-20)+IF(M292="CATALOG SOUR",24,IF(M292="NOT LISTED",-18,0))+IF(N292="ALLOY FAMILY",14,IF(N292="CORROSION CONTROL",-13,0))+IF(O292="CLAIMED",17,IF(O292="NOT LISTED",-14,0))+IF(K292="Yes",-15,0)+IF('WELL INPUTS'!$B$10="Yes",-17,0)))</x:f>
        <x:v>71</x:v>
      </x:c>
      <x:c r="R292" s="83" t="str">
        <x:f>IF(L292="BELOW","EXCLUDE — STRENGTH",IF(P292="OVER CAP","EXCLUDE — COST",IF(K292="Yes",IF('WELL INPUTS'!$B$14="No","EXCLUDE — REFERENCE","REFERENCE ONLY"),IF(OR(L292="UNKNOWN",M292="NOT LISTED",N292="CORROSION CONTROL",O292="NOT LISTED",'WELL INPUTS'!$B$10="Yes",'WELL INPUTS'!$B$4="Unknown"),"REVIEW","CANDIDATE — VERIFY"))))</x:f>
        <x:v>CANDIDATE — VERIFY</x:v>
      </x:c>
      <x:c r="S292" t="str">
        <x:f>IF(L292="BELOW","Increase minimum grade strength",IF(P292="OVER CAP","Relax cost tier or exclude",IF(K292="Yes","Identify qualified manufacturer grade",IF(M292="NOT LISTED","Confirm sour-service claim and ISO 15156",IF(O292="NOT LISTED","Obtain manufacturer collapse curve",IF(N292="CORROSION CONTROL","Model CO2 corrosion; review inhibition","Confirm corrosion, cracking, loads and connection"))))))</x:f>
        <x:v>Confirm corrosion, cracking, loads and connection</x:v>
      </x:c>
      <x:c r="T292" t="str">
        <x:v>https://www.jfe-steel.co.jp/en/products/energy/octg/material/13cr_ms.html</x:v>
      </x:c>
    </x:row>
    <x:row r="293" ht="23" customHeight="1">
      <x:c r="A293" t="str">
        <x:v>OCTG-0292</x:v>
      </x:c>
      <x:c r="B293" t="str">
        <x:v>JFE Steel</x:v>
      </x:c>
      <x:c r="C293" t="str">
        <x:v>JFE-13CR-85</x:v>
      </x:c>
      <x:c r="D293" t="str">
        <x:v>Martensitic 13Cr</x:v>
      </x:c>
      <x:c r="E293" t="str">
        <x:v>Sweet wet CO2</x:v>
      </x:c>
      <x:c r="F293" s="82" t="n">
        <x:v>85</x:v>
      </x:c>
      <x:c r="G293" t="str">
        <x:v>No</x:v>
      </x:c>
      <x:c r="H293" t="str">
        <x:v>D</x:v>
      </x:c>
      <x:c r="I293" t="str">
        <x:v>No</x:v>
      </x:c>
      <x:c r="J293" t="str">
        <x:v>Yes</x:v>
      </x:c>
      <x:c r="K293" t="str">
        <x:v>No</x:v>
      </x:c>
      <x:c r="L293" t="str">
        <x:f>IF(F293="","UNKNOWN",IF(F293&lt;'WELL INPUTS'!$B$11,"BELOW","OK"))</x:f>
        <x:v>OK</x:v>
      </x:c>
      <x:c r="M293" t="str">
        <x:f>IF(AND('WELL INPUTS'!$B$4="Wet",'WELL INPUTS'!$B$5&gt;0),IF(I293="Yes","CATALOG SOUR","NOT LISTED"),"N/A")</x:f>
        <x:v>N/A</x:v>
      </x:c>
      <x:c r="N293" t="str">
        <x:f>IF(AND('WELL INPUTS'!$B$4="Wet",'WELL INPUTS'!$B$6&gt;0),IF(J293="Yes","ALLOY FAMILY","CORROSION CONTROL"),"N/A")</x:f>
        <x:v>ALLOY FAMILY</x:v>
      </x:c>
      <x:c r="O293" t="str">
        <x:f>IF('WELL INPUTS'!$B$12="Yes",IF(G293="Yes","CLAIMED","NOT LISTED"),"N/A")</x:f>
        <x:v>N/A</x:v>
      </x:c>
      <x:c r="P293" t="str">
        <x:f>IF(OR('WELL INPUTS'!$B$13="Unrestricted",CODE(H293)&lt;=CODE('WELL INPUTS'!$B$13)),"WITHIN TIER","OVER CAP")</x:f>
        <x:v>WITHIN TIER</x:v>
      </x:c>
      <x:c r="Q293" t="n">
        <x:f>MAX(0,MIN(100,43+IF(L293="OK",14,-20)+IF(M293="CATALOG SOUR",24,IF(M293="NOT LISTED",-18,0))+IF(N293="ALLOY FAMILY",14,IF(N293="CORROSION CONTROL",-13,0))+IF(O293="CLAIMED",17,IF(O293="NOT LISTED",-14,0))+IF(K293="Yes",-15,0)+IF('WELL INPUTS'!$B$10="Yes",-17,0)))</x:f>
        <x:v>71</x:v>
      </x:c>
      <x:c r="R293" s="83" t="str">
        <x:f>IF(L293="BELOW","EXCLUDE — STRENGTH",IF(P293="OVER CAP","EXCLUDE — COST",IF(K293="Yes",IF('WELL INPUTS'!$B$14="No","EXCLUDE — REFERENCE","REFERENCE ONLY"),IF(OR(L293="UNKNOWN",M293="NOT LISTED",N293="CORROSION CONTROL",O293="NOT LISTED",'WELL INPUTS'!$B$10="Yes",'WELL INPUTS'!$B$4="Unknown"),"REVIEW","CANDIDATE — VERIFY"))))</x:f>
        <x:v>CANDIDATE — VERIFY</x:v>
      </x:c>
      <x:c r="S293" t="str">
        <x:f>IF(L293="BELOW","Increase minimum grade strength",IF(P293="OVER CAP","Relax cost tier or exclude",IF(K293="Yes","Identify qualified manufacturer grade",IF(M293="NOT LISTED","Confirm sour-service claim and ISO 15156",IF(O293="NOT LISTED","Obtain manufacturer collapse curve",IF(N293="CORROSION CONTROL","Model CO2 corrosion; review inhibition","Confirm corrosion, cracking, loads and connection"))))))</x:f>
        <x:v>Confirm corrosion, cracking, loads and connection</x:v>
      </x:c>
      <x:c r="T293" t="str">
        <x:v>https://www.jfe-steel.co.jp/en/products/energy/octg/material/13cr_ms.html</x:v>
      </x:c>
    </x:row>
    <x:row r="294" ht="23" customHeight="1">
      <x:c r="A294" t="str">
        <x:v>OCTG-0293</x:v>
      </x:c>
      <x:c r="B294" t="str">
        <x:v>JFE Steel</x:v>
      </x:c>
      <x:c r="C294" t="str">
        <x:v>JFE-13CR-95</x:v>
      </x:c>
      <x:c r="D294" t="str">
        <x:v>Martensitic 13Cr</x:v>
      </x:c>
      <x:c r="E294" t="str">
        <x:v>Sweet wet CO2</x:v>
      </x:c>
      <x:c r="F294" s="82" t="n">
        <x:v>95</x:v>
      </x:c>
      <x:c r="G294" t="str">
        <x:v>No</x:v>
      </x:c>
      <x:c r="H294" t="str">
        <x:v>D</x:v>
      </x:c>
      <x:c r="I294" t="str">
        <x:v>No</x:v>
      </x:c>
      <x:c r="J294" t="str">
        <x:v>Yes</x:v>
      </x:c>
      <x:c r="K294" t="str">
        <x:v>No</x:v>
      </x:c>
      <x:c r="L294" t="str">
        <x:f>IF(F294="","UNKNOWN",IF(F294&lt;'WELL INPUTS'!$B$11,"BELOW","OK"))</x:f>
        <x:v>OK</x:v>
      </x:c>
      <x:c r="M294" t="str">
        <x:f>IF(AND('WELL INPUTS'!$B$4="Wet",'WELL INPUTS'!$B$5&gt;0),IF(I294="Yes","CATALOG SOUR","NOT LISTED"),"N/A")</x:f>
        <x:v>N/A</x:v>
      </x:c>
      <x:c r="N294" t="str">
        <x:f>IF(AND('WELL INPUTS'!$B$4="Wet",'WELL INPUTS'!$B$6&gt;0),IF(J294="Yes","ALLOY FAMILY","CORROSION CONTROL"),"N/A")</x:f>
        <x:v>ALLOY FAMILY</x:v>
      </x:c>
      <x:c r="O294" t="str">
        <x:f>IF('WELL INPUTS'!$B$12="Yes",IF(G294="Yes","CLAIMED","NOT LISTED"),"N/A")</x:f>
        <x:v>N/A</x:v>
      </x:c>
      <x:c r="P294" t="str">
        <x:f>IF(OR('WELL INPUTS'!$B$13="Unrestricted",CODE(H294)&lt;=CODE('WELL INPUTS'!$B$13)),"WITHIN TIER","OVER CAP")</x:f>
        <x:v>WITHIN TIER</x:v>
      </x:c>
      <x:c r="Q294" t="n">
        <x:f>MAX(0,MIN(100,43+IF(L294="OK",14,-20)+IF(M294="CATALOG SOUR",24,IF(M294="NOT LISTED",-18,0))+IF(N294="ALLOY FAMILY",14,IF(N294="CORROSION CONTROL",-13,0))+IF(O294="CLAIMED",17,IF(O294="NOT LISTED",-14,0))+IF(K294="Yes",-15,0)+IF('WELL INPUTS'!$B$10="Yes",-17,0)))</x:f>
        <x:v>71</x:v>
      </x:c>
      <x:c r="R294" s="83" t="str">
        <x:f>IF(L294="BELOW","EXCLUDE — STRENGTH",IF(P294="OVER CAP","EXCLUDE — COST",IF(K294="Yes",IF('WELL INPUTS'!$B$14="No","EXCLUDE — REFERENCE","REFERENCE ONLY"),IF(OR(L294="UNKNOWN",M294="NOT LISTED",N294="CORROSION CONTROL",O294="NOT LISTED",'WELL INPUTS'!$B$10="Yes",'WELL INPUTS'!$B$4="Unknown"),"REVIEW","CANDIDATE — VERIFY"))))</x:f>
        <x:v>CANDIDATE — VERIFY</x:v>
      </x:c>
      <x:c r="S294" t="str">
        <x:f>IF(L294="BELOW","Increase minimum grade strength",IF(P294="OVER CAP","Relax cost tier or exclude",IF(K294="Yes","Identify qualified manufacturer grade",IF(M294="NOT LISTED","Confirm sour-service claim and ISO 15156",IF(O294="NOT LISTED","Obtain manufacturer collapse curve",IF(N294="CORROSION CONTROL","Model CO2 corrosion; review inhibition","Confirm corrosion, cracking, loads and connection"))))))</x:f>
        <x:v>Confirm corrosion, cracking, loads and connection</x:v>
      </x:c>
      <x:c r="T294" t="str">
        <x:v>https://www.jfe-steel.co.jp/en/products/energy/octg/material/13cr_ms.html</x:v>
      </x:c>
    </x:row>
    <x:row r="295" ht="23" customHeight="1">
      <x:c r="A295" t="str">
        <x:v>OCTG-0294</x:v>
      </x:c>
      <x:c r="B295" t="str">
        <x:v>JFE Steel</x:v>
      </x:c>
      <x:c r="C295" t="str">
        <x:v>JFE-HP1-13CR-110</x:v>
      </x:c>
      <x:c r="D295" t="str">
        <x:v>Modified / super 13Cr</x:v>
      </x:c>
      <x:c r="E295" t="str">
        <x:v>Wet CO2 / mild sour</x:v>
      </x:c>
      <x:c r="F295" s="82" t="n">
        <x:v>110</x:v>
      </x:c>
      <x:c r="G295" t="str">
        <x:v>No</x:v>
      </x:c>
      <x:c r="H295" t="str">
        <x:v>E</x:v>
      </x:c>
      <x:c r="I295" t="str">
        <x:v>Yes</x:v>
      </x:c>
      <x:c r="J295" t="str">
        <x:v>Yes</x:v>
      </x:c>
      <x:c r="K295" t="str">
        <x:v>No</x:v>
      </x:c>
      <x:c r="L295" t="str">
        <x:f>IF(F295="","UNKNOWN",IF(F295&lt;'WELL INPUTS'!$B$11,"BELOW","OK"))</x:f>
        <x:v>OK</x:v>
      </x:c>
      <x:c r="M295" t="str">
        <x:f>IF(AND('WELL INPUTS'!$B$4="Wet",'WELL INPUTS'!$B$5&gt;0),IF(I295="Yes","CATALOG SOUR","NOT LISTED"),"N/A")</x:f>
        <x:v>N/A</x:v>
      </x:c>
      <x:c r="N295" t="str">
        <x:f>IF(AND('WELL INPUTS'!$B$4="Wet",'WELL INPUTS'!$B$6&gt;0),IF(J295="Yes","ALLOY FAMILY","CORROSION CONTROL"),"N/A")</x:f>
        <x:v>ALLOY FAMILY</x:v>
      </x:c>
      <x:c r="O295" t="str">
        <x:f>IF('WELL INPUTS'!$B$12="Yes",IF(G295="Yes","CLAIMED","NOT LISTED"),"N/A")</x:f>
        <x:v>N/A</x:v>
      </x:c>
      <x:c r="P295" t="str">
        <x:f>IF(OR('WELL INPUTS'!$B$13="Unrestricted",CODE(H295)&lt;=CODE('WELL INPUTS'!$B$13)),"WITHIN TIER","OVER CAP")</x:f>
        <x:v>WITHIN TIER</x:v>
      </x:c>
      <x:c r="Q295" t="n">
        <x:f>MAX(0,MIN(100,43+IF(L295="OK",14,-20)+IF(M295="CATALOG SOUR",24,IF(M295="NOT LISTED",-18,0))+IF(N295="ALLOY FAMILY",14,IF(N295="CORROSION CONTROL",-13,0))+IF(O295="CLAIMED",17,IF(O295="NOT LISTED",-14,0))+IF(K295="Yes",-15,0)+IF('WELL INPUTS'!$B$10="Yes",-17,0)))</x:f>
        <x:v>71</x:v>
      </x:c>
      <x:c r="R295" s="83" t="str">
        <x:f>IF(L295="BELOW","EXCLUDE — STRENGTH",IF(P295="OVER CAP","EXCLUDE — COST",IF(K295="Yes",IF('WELL INPUTS'!$B$14="No","EXCLUDE — REFERENCE","REFERENCE ONLY"),IF(OR(L295="UNKNOWN",M295="NOT LISTED",N295="CORROSION CONTROL",O295="NOT LISTED",'WELL INPUTS'!$B$10="Yes",'WELL INPUTS'!$B$4="Unknown"),"REVIEW","CANDIDATE — VERIFY"))))</x:f>
        <x:v>CANDIDATE — VERIFY</x:v>
      </x:c>
      <x:c r="S295" t="str">
        <x:f>IF(L295="BELOW","Increase minimum grade strength",IF(P295="OVER CAP","Relax cost tier or exclude",IF(K295="Yes","Identify qualified manufacturer grade",IF(M295="NOT LISTED","Confirm sour-service claim and ISO 15156",IF(O295="NOT LISTED","Obtain manufacturer collapse curve",IF(N295="CORROSION CONTROL","Model CO2 corrosion; review inhibition","Confirm corrosion, cracking, loads and connection"))))))</x:f>
        <x:v>Confirm corrosion, cracking, loads and connection</x:v>
      </x:c>
      <x:c r="T295" t="str">
        <x:v>https://www.jfe-steel.co.jp/en/products/energy/octg/material/13cr_ms.html</x:v>
      </x:c>
    </x:row>
    <x:row r="296" ht="23" customHeight="1">
      <x:c r="A296" t="str">
        <x:v>OCTG-0295</x:v>
      </x:c>
      <x:c r="B296" t="str">
        <x:v>JFE Steel</x:v>
      </x:c>
      <x:c r="C296" t="str">
        <x:v>JFE-HP1-13CR-95</x:v>
      </x:c>
      <x:c r="D296" t="str">
        <x:v>Modified / super 13Cr</x:v>
      </x:c>
      <x:c r="E296" t="str">
        <x:v>Wet CO2 / mild sour</x:v>
      </x:c>
      <x:c r="F296" s="82" t="n">
        <x:v>95</x:v>
      </x:c>
      <x:c r="G296" t="str">
        <x:v>No</x:v>
      </x:c>
      <x:c r="H296" t="str">
        <x:v>E</x:v>
      </x:c>
      <x:c r="I296" t="str">
        <x:v>Yes</x:v>
      </x:c>
      <x:c r="J296" t="str">
        <x:v>Yes</x:v>
      </x:c>
      <x:c r="K296" t="str">
        <x:v>No</x:v>
      </x:c>
      <x:c r="L296" t="str">
        <x:f>IF(F296="","UNKNOWN",IF(F296&lt;'WELL INPUTS'!$B$11,"BELOW","OK"))</x:f>
        <x:v>OK</x:v>
      </x:c>
      <x:c r="M296" t="str">
        <x:f>IF(AND('WELL INPUTS'!$B$4="Wet",'WELL INPUTS'!$B$5&gt;0),IF(I296="Yes","CATALOG SOUR","NOT LISTED"),"N/A")</x:f>
        <x:v>N/A</x:v>
      </x:c>
      <x:c r="N296" t="str">
        <x:f>IF(AND('WELL INPUTS'!$B$4="Wet",'WELL INPUTS'!$B$6&gt;0),IF(J296="Yes","ALLOY FAMILY","CORROSION CONTROL"),"N/A")</x:f>
        <x:v>ALLOY FAMILY</x:v>
      </x:c>
      <x:c r="O296" t="str">
        <x:f>IF('WELL INPUTS'!$B$12="Yes",IF(G296="Yes","CLAIMED","NOT LISTED"),"N/A")</x:f>
        <x:v>N/A</x:v>
      </x:c>
      <x:c r="P296" t="str">
        <x:f>IF(OR('WELL INPUTS'!$B$13="Unrestricted",CODE(H296)&lt;=CODE('WELL INPUTS'!$B$13)),"WITHIN TIER","OVER CAP")</x:f>
        <x:v>WITHIN TIER</x:v>
      </x:c>
      <x:c r="Q296" t="n">
        <x:f>MAX(0,MIN(100,43+IF(L296="OK",14,-20)+IF(M296="CATALOG SOUR",24,IF(M296="NOT LISTED",-18,0))+IF(N296="ALLOY FAMILY",14,IF(N296="CORROSION CONTROL",-13,0))+IF(O296="CLAIMED",17,IF(O296="NOT LISTED",-14,0))+IF(K296="Yes",-15,0)+IF('WELL INPUTS'!$B$10="Yes",-17,0)))</x:f>
        <x:v>71</x:v>
      </x:c>
      <x:c r="R296" s="83" t="str">
        <x:f>IF(L296="BELOW","EXCLUDE — STRENGTH",IF(P296="OVER CAP","EXCLUDE — COST",IF(K296="Yes",IF('WELL INPUTS'!$B$14="No","EXCLUDE — REFERENCE","REFERENCE ONLY"),IF(OR(L296="UNKNOWN",M296="NOT LISTED",N296="CORROSION CONTROL",O296="NOT LISTED",'WELL INPUTS'!$B$10="Yes",'WELL INPUTS'!$B$4="Unknown"),"REVIEW","CANDIDATE — VERIFY"))))</x:f>
        <x:v>CANDIDATE — VERIFY</x:v>
      </x:c>
      <x:c r="S296" t="str">
        <x:f>IF(L296="BELOW","Increase minimum grade strength",IF(P296="OVER CAP","Relax cost tier or exclude",IF(K296="Yes","Identify qualified manufacturer grade",IF(M296="NOT LISTED","Confirm sour-service claim and ISO 15156",IF(O296="NOT LISTED","Obtain manufacturer collapse curve",IF(N296="CORROSION CONTROL","Model CO2 corrosion; review inhibition","Confirm corrosion, cracking, loads and connection"))))))</x:f>
        <x:v>Confirm corrosion, cracking, loads and connection</x:v>
      </x:c>
      <x:c r="T296" t="str">
        <x:v>https://www.jfe-steel.co.jp/en/products/energy/octg/material/13cr_ms.html</x:v>
      </x:c>
    </x:row>
    <x:row r="297" ht="23" customHeight="1">
      <x:c r="A297" t="str">
        <x:v>OCTG-0296</x:v>
      </x:c>
      <x:c r="B297" t="str">
        <x:v>JFE Steel</x:v>
      </x:c>
      <x:c r="C297" t="str">
        <x:v>JFE-HP2-13CR-110CRA</x:v>
      </x:c>
      <x:c r="D297" t="str">
        <x:v>Modified / super 13Cr</x:v>
      </x:c>
      <x:c r="E297" t="str">
        <x:v>Wet CO2 / mild sour</x:v>
      </x:c>
      <x:c r="F297" s="82" t="n">
        <x:v>110</x:v>
      </x:c>
      <x:c r="G297" t="str">
        <x:v>No</x:v>
      </x:c>
      <x:c r="H297" t="str">
        <x:v>E</x:v>
      </x:c>
      <x:c r="I297" t="str">
        <x:v>Yes</x:v>
      </x:c>
      <x:c r="J297" t="str">
        <x:v>Yes</x:v>
      </x:c>
      <x:c r="K297" t="str">
        <x:v>No</x:v>
      </x:c>
      <x:c r="L297" t="str">
        <x:f>IF(F297="","UNKNOWN",IF(F297&lt;'WELL INPUTS'!$B$11,"BELOW","OK"))</x:f>
        <x:v>OK</x:v>
      </x:c>
      <x:c r="M297" t="str">
        <x:f>IF(AND('WELL INPUTS'!$B$4="Wet",'WELL INPUTS'!$B$5&gt;0),IF(I297="Yes","CATALOG SOUR","NOT LISTED"),"N/A")</x:f>
        <x:v>N/A</x:v>
      </x:c>
      <x:c r="N297" t="str">
        <x:f>IF(AND('WELL INPUTS'!$B$4="Wet",'WELL INPUTS'!$B$6&gt;0),IF(J297="Yes","ALLOY FAMILY","CORROSION CONTROL"),"N/A")</x:f>
        <x:v>ALLOY FAMILY</x:v>
      </x:c>
      <x:c r="O297" t="str">
        <x:f>IF('WELL INPUTS'!$B$12="Yes",IF(G297="Yes","CLAIMED","NOT LISTED"),"N/A")</x:f>
        <x:v>N/A</x:v>
      </x:c>
      <x:c r="P297" t="str">
        <x:f>IF(OR('WELL INPUTS'!$B$13="Unrestricted",CODE(H297)&lt;=CODE('WELL INPUTS'!$B$13)),"WITHIN TIER","OVER CAP")</x:f>
        <x:v>WITHIN TIER</x:v>
      </x:c>
      <x:c r="Q297" t="n">
        <x:f>MAX(0,MIN(100,43+IF(L297="OK",14,-20)+IF(M297="CATALOG SOUR",24,IF(M297="NOT LISTED",-18,0))+IF(N297="ALLOY FAMILY",14,IF(N297="CORROSION CONTROL",-13,0))+IF(O297="CLAIMED",17,IF(O297="NOT LISTED",-14,0))+IF(K297="Yes",-15,0)+IF('WELL INPUTS'!$B$10="Yes",-17,0)))</x:f>
        <x:v>71</x:v>
      </x:c>
      <x:c r="R297" s="83" t="str">
        <x:f>IF(L297="BELOW","EXCLUDE — STRENGTH",IF(P297="OVER CAP","EXCLUDE — COST",IF(K297="Yes",IF('WELL INPUTS'!$B$14="No","EXCLUDE — REFERENCE","REFERENCE ONLY"),IF(OR(L297="UNKNOWN",M297="NOT LISTED",N297="CORROSION CONTROL",O297="NOT LISTED",'WELL INPUTS'!$B$10="Yes",'WELL INPUTS'!$B$4="Unknown"),"REVIEW","CANDIDATE — VERIFY"))))</x:f>
        <x:v>CANDIDATE — VERIFY</x:v>
      </x:c>
      <x:c r="S297" t="str">
        <x:f>IF(L297="BELOW","Increase minimum grade strength",IF(P297="OVER CAP","Relax cost tier or exclude",IF(K297="Yes","Identify qualified manufacturer grade",IF(M297="NOT LISTED","Confirm sour-service claim and ISO 15156",IF(O297="NOT LISTED","Obtain manufacturer collapse curve",IF(N297="CORROSION CONTROL","Model CO2 corrosion; review inhibition","Confirm corrosion, cracking, loads and connection"))))))</x:f>
        <x:v>Confirm corrosion, cracking, loads and connection</x:v>
      </x:c>
      <x:c r="T297" t="str">
        <x:v>https://www.jfe-steel.co.jp/en/products/energy/octg/material/13cr_ms.html</x:v>
      </x:c>
    </x:row>
    <x:row r="298" ht="23" customHeight="1">
      <x:c r="A298" t="str">
        <x:v>OCTG-0297</x:v>
      </x:c>
      <x:c r="B298" t="str">
        <x:v>JFE Steel</x:v>
      </x:c>
      <x:c r="C298" t="str">
        <x:v>JFE-HP2-13CR-110M</x:v>
      </x:c>
      <x:c r="D298" t="str">
        <x:v>Modified / super 13Cr</x:v>
      </x:c>
      <x:c r="E298" t="str">
        <x:v>Wet CO2 / mild sour</x:v>
      </x:c>
      <x:c r="F298" s="82" t="n">
        <x:v>110</x:v>
      </x:c>
      <x:c r="G298" t="str">
        <x:v>No</x:v>
      </x:c>
      <x:c r="H298" t="str">
        <x:v>E</x:v>
      </x:c>
      <x:c r="I298" t="str">
        <x:v>Yes</x:v>
      </x:c>
      <x:c r="J298" t="str">
        <x:v>Yes</x:v>
      </x:c>
      <x:c r="K298" t="str">
        <x:v>No</x:v>
      </x:c>
      <x:c r="L298" t="str">
        <x:f>IF(F298="","UNKNOWN",IF(F298&lt;'WELL INPUTS'!$B$11,"BELOW","OK"))</x:f>
        <x:v>OK</x:v>
      </x:c>
      <x:c r="M298" t="str">
        <x:f>IF(AND('WELL INPUTS'!$B$4="Wet",'WELL INPUTS'!$B$5&gt;0),IF(I298="Yes","CATALOG SOUR","NOT LISTED"),"N/A")</x:f>
        <x:v>N/A</x:v>
      </x:c>
      <x:c r="N298" t="str">
        <x:f>IF(AND('WELL INPUTS'!$B$4="Wet",'WELL INPUTS'!$B$6&gt;0),IF(J298="Yes","ALLOY FAMILY","CORROSION CONTROL"),"N/A")</x:f>
        <x:v>ALLOY FAMILY</x:v>
      </x:c>
      <x:c r="O298" t="str">
        <x:f>IF('WELL INPUTS'!$B$12="Yes",IF(G298="Yes","CLAIMED","NOT LISTED"),"N/A")</x:f>
        <x:v>N/A</x:v>
      </x:c>
      <x:c r="P298" t="str">
        <x:f>IF(OR('WELL INPUTS'!$B$13="Unrestricted",CODE(H298)&lt;=CODE('WELL INPUTS'!$B$13)),"WITHIN TIER","OVER CAP")</x:f>
        <x:v>WITHIN TIER</x:v>
      </x:c>
      <x:c r="Q298" t="n">
        <x:f>MAX(0,MIN(100,43+IF(L298="OK",14,-20)+IF(M298="CATALOG SOUR",24,IF(M298="NOT LISTED",-18,0))+IF(N298="ALLOY FAMILY",14,IF(N298="CORROSION CONTROL",-13,0))+IF(O298="CLAIMED",17,IF(O298="NOT LISTED",-14,0))+IF(K298="Yes",-15,0)+IF('WELL INPUTS'!$B$10="Yes",-17,0)))</x:f>
        <x:v>71</x:v>
      </x:c>
      <x:c r="R298" s="83" t="str">
        <x:f>IF(L298="BELOW","EXCLUDE — STRENGTH",IF(P298="OVER CAP","EXCLUDE — COST",IF(K298="Yes",IF('WELL INPUTS'!$B$14="No","EXCLUDE — REFERENCE","REFERENCE ONLY"),IF(OR(L298="UNKNOWN",M298="NOT LISTED",N298="CORROSION CONTROL",O298="NOT LISTED",'WELL INPUTS'!$B$10="Yes",'WELL INPUTS'!$B$4="Unknown"),"REVIEW","CANDIDATE — VERIFY"))))</x:f>
        <x:v>CANDIDATE — VERIFY</x:v>
      </x:c>
      <x:c r="S298" t="str">
        <x:f>IF(L298="BELOW","Increase minimum grade strength",IF(P298="OVER CAP","Relax cost tier or exclude",IF(K298="Yes","Identify qualified manufacturer grade",IF(M298="NOT LISTED","Confirm sour-service claim and ISO 15156",IF(O298="NOT LISTED","Obtain manufacturer collapse curve",IF(N298="CORROSION CONTROL","Model CO2 corrosion; review inhibition","Confirm corrosion, cracking, loads and connection"))))))</x:f>
        <x:v>Confirm corrosion, cracking, loads and connection</x:v>
      </x:c>
      <x:c r="T298" t="str">
        <x:v>https://www.jfe-steel.co.jp/en/products/energy/octg/material/13cr_ms.html</x:v>
      </x:c>
    </x:row>
    <x:row r="299" ht="23" customHeight="1">
      <x:c r="A299" t="str">
        <x:v>OCTG-0298</x:v>
      </x:c>
      <x:c r="B299" t="str">
        <x:v>JFE Steel</x:v>
      </x:c>
      <x:c r="C299" t="str">
        <x:v>JFE-HP2-13CR-95CRA</x:v>
      </x:c>
      <x:c r="D299" t="str">
        <x:v>Modified / super 13Cr</x:v>
      </x:c>
      <x:c r="E299" t="str">
        <x:v>Wet CO2 / mild sour</x:v>
      </x:c>
      <x:c r="F299" s="82" t="n">
        <x:v>95</x:v>
      </x:c>
      <x:c r="G299" t="str">
        <x:v>No</x:v>
      </x:c>
      <x:c r="H299" t="str">
        <x:v>E</x:v>
      </x:c>
      <x:c r="I299" t="str">
        <x:v>Yes</x:v>
      </x:c>
      <x:c r="J299" t="str">
        <x:v>Yes</x:v>
      </x:c>
      <x:c r="K299" t="str">
        <x:v>No</x:v>
      </x:c>
      <x:c r="L299" t="str">
        <x:f>IF(F299="","UNKNOWN",IF(F299&lt;'WELL INPUTS'!$B$11,"BELOW","OK"))</x:f>
        <x:v>OK</x:v>
      </x:c>
      <x:c r="M299" t="str">
        <x:f>IF(AND('WELL INPUTS'!$B$4="Wet",'WELL INPUTS'!$B$5&gt;0),IF(I299="Yes","CATALOG SOUR","NOT LISTED"),"N/A")</x:f>
        <x:v>N/A</x:v>
      </x:c>
      <x:c r="N299" t="str">
        <x:f>IF(AND('WELL INPUTS'!$B$4="Wet",'WELL INPUTS'!$B$6&gt;0),IF(J299="Yes","ALLOY FAMILY","CORROSION CONTROL"),"N/A")</x:f>
        <x:v>ALLOY FAMILY</x:v>
      </x:c>
      <x:c r="O299" t="str">
        <x:f>IF('WELL INPUTS'!$B$12="Yes",IF(G299="Yes","CLAIMED","NOT LISTED"),"N/A")</x:f>
        <x:v>N/A</x:v>
      </x:c>
      <x:c r="P299" t="str">
        <x:f>IF(OR('WELL INPUTS'!$B$13="Unrestricted",CODE(H299)&lt;=CODE('WELL INPUTS'!$B$13)),"WITHIN TIER","OVER CAP")</x:f>
        <x:v>WITHIN TIER</x:v>
      </x:c>
      <x:c r="Q299" t="n">
        <x:f>MAX(0,MIN(100,43+IF(L299="OK",14,-20)+IF(M299="CATALOG SOUR",24,IF(M299="NOT LISTED",-18,0))+IF(N299="ALLOY FAMILY",14,IF(N299="CORROSION CONTROL",-13,0))+IF(O299="CLAIMED",17,IF(O299="NOT LISTED",-14,0))+IF(K299="Yes",-15,0)+IF('WELL INPUTS'!$B$10="Yes",-17,0)))</x:f>
        <x:v>71</x:v>
      </x:c>
      <x:c r="R299" s="83" t="str">
        <x:f>IF(L299="BELOW","EXCLUDE — STRENGTH",IF(P299="OVER CAP","EXCLUDE — COST",IF(K299="Yes",IF('WELL INPUTS'!$B$14="No","EXCLUDE — REFERENCE","REFERENCE ONLY"),IF(OR(L299="UNKNOWN",M299="NOT LISTED",N299="CORROSION CONTROL",O299="NOT LISTED",'WELL INPUTS'!$B$10="Yes",'WELL INPUTS'!$B$4="Unknown"),"REVIEW","CANDIDATE — VERIFY"))))</x:f>
        <x:v>CANDIDATE — VERIFY</x:v>
      </x:c>
      <x:c r="S299" t="str">
        <x:f>IF(L299="BELOW","Increase minimum grade strength",IF(P299="OVER CAP","Relax cost tier or exclude",IF(K299="Yes","Identify qualified manufacturer grade",IF(M299="NOT LISTED","Confirm sour-service claim and ISO 15156",IF(O299="NOT LISTED","Obtain manufacturer collapse curve",IF(N299="CORROSION CONTROL","Model CO2 corrosion; review inhibition","Confirm corrosion, cracking, loads and connection"))))))</x:f>
        <x:v>Confirm corrosion, cracking, loads and connection</x:v>
      </x:c>
      <x:c r="T299" t="str">
        <x:v>https://www.jfe-steel.co.jp/en/products/energy/octg/material/13cr_ms.html</x:v>
      </x:c>
    </x:row>
    <x:row r="300" ht="23" customHeight="1">
      <x:c r="A300" t="str">
        <x:v>OCTG-0299</x:v>
      </x:c>
      <x:c r="B300" t="str">
        <x:v>JFE Steel</x:v>
      </x:c>
      <x:c r="C300" t="str">
        <x:v>JFE-HP2-13CR-95M</x:v>
      </x:c>
      <x:c r="D300" t="str">
        <x:v>Modified / super 13Cr</x:v>
      </x:c>
      <x:c r="E300" t="str">
        <x:v>Wet CO2 / mild sour</x:v>
      </x:c>
      <x:c r="F300" s="82" t="n">
        <x:v>95</x:v>
      </x:c>
      <x:c r="G300" t="str">
        <x:v>No</x:v>
      </x:c>
      <x:c r="H300" t="str">
        <x:v>E</x:v>
      </x:c>
      <x:c r="I300" t="str">
        <x:v>Yes</x:v>
      </x:c>
      <x:c r="J300" t="str">
        <x:v>Yes</x:v>
      </x:c>
      <x:c r="K300" t="str">
        <x:v>No</x:v>
      </x:c>
      <x:c r="L300" t="str">
        <x:f>IF(F300="","UNKNOWN",IF(F300&lt;'WELL INPUTS'!$B$11,"BELOW","OK"))</x:f>
        <x:v>OK</x:v>
      </x:c>
      <x:c r="M300" t="str">
        <x:f>IF(AND('WELL INPUTS'!$B$4="Wet",'WELL INPUTS'!$B$5&gt;0),IF(I300="Yes","CATALOG SOUR","NOT LISTED"),"N/A")</x:f>
        <x:v>N/A</x:v>
      </x:c>
      <x:c r="N300" t="str">
        <x:f>IF(AND('WELL INPUTS'!$B$4="Wet",'WELL INPUTS'!$B$6&gt;0),IF(J300="Yes","ALLOY FAMILY","CORROSION CONTROL"),"N/A")</x:f>
        <x:v>ALLOY FAMILY</x:v>
      </x:c>
      <x:c r="O300" t="str">
        <x:f>IF('WELL INPUTS'!$B$12="Yes",IF(G300="Yes","CLAIMED","NOT LISTED"),"N/A")</x:f>
        <x:v>N/A</x:v>
      </x:c>
      <x:c r="P300" t="str">
        <x:f>IF(OR('WELL INPUTS'!$B$13="Unrestricted",CODE(H300)&lt;=CODE('WELL INPUTS'!$B$13)),"WITHIN TIER","OVER CAP")</x:f>
        <x:v>WITHIN TIER</x:v>
      </x:c>
      <x:c r="Q300" t="n">
        <x:f>MAX(0,MIN(100,43+IF(L300="OK",14,-20)+IF(M300="CATALOG SOUR",24,IF(M300="NOT LISTED",-18,0))+IF(N300="ALLOY FAMILY",14,IF(N300="CORROSION CONTROL",-13,0))+IF(O300="CLAIMED",17,IF(O300="NOT LISTED",-14,0))+IF(K300="Yes",-15,0)+IF('WELL INPUTS'!$B$10="Yes",-17,0)))</x:f>
        <x:v>71</x:v>
      </x:c>
      <x:c r="R300" s="83" t="str">
        <x:f>IF(L300="BELOW","EXCLUDE — STRENGTH",IF(P300="OVER CAP","EXCLUDE — COST",IF(K300="Yes",IF('WELL INPUTS'!$B$14="No","EXCLUDE — REFERENCE","REFERENCE ONLY"),IF(OR(L300="UNKNOWN",M300="NOT LISTED",N300="CORROSION CONTROL",O300="NOT LISTED",'WELL INPUTS'!$B$10="Yes",'WELL INPUTS'!$B$4="Unknown"),"REVIEW","CANDIDATE — VERIFY"))))</x:f>
        <x:v>CANDIDATE — VERIFY</x:v>
      </x:c>
      <x:c r="S300" t="str">
        <x:f>IF(L300="BELOW","Increase minimum grade strength",IF(P300="OVER CAP","Relax cost tier or exclude",IF(K300="Yes","Identify qualified manufacturer grade",IF(M300="NOT LISTED","Confirm sour-service claim and ISO 15156",IF(O300="NOT LISTED","Obtain manufacturer collapse curve",IF(N300="CORROSION CONTROL","Model CO2 corrosion; review inhibition","Confirm corrosion, cracking, loads and connection"))))))</x:f>
        <x:v>Confirm corrosion, cracking, loads and connection</x:v>
      </x:c>
      <x:c r="T300" t="str">
        <x:v>https://www.jfe-steel.co.jp/en/products/energy/octg/material/13cr_ms.html</x:v>
      </x:c>
    </x:row>
    <x:row r="301" ht="23" customHeight="1">
      <x:c r="A301" t="str">
        <x:v>OCTG-0300</x:v>
      </x:c>
      <x:c r="B301" t="str">
        <x:v>JFE Steel</x:v>
      </x:c>
      <x:c r="C301" t="str">
        <x:v>JFE-UHP-15CR-125</x:v>
      </x:c>
      <x:c r="D301" t="str">
        <x:v>Modified / super 13Cr</x:v>
      </x:c>
      <x:c r="E301" t="str">
        <x:v>HPHT / severe wet CO2 / mild sour</x:v>
      </x:c>
      <x:c r="F301" s="82" t="n">
        <x:v>125</x:v>
      </x:c>
      <x:c r="G301" t="str">
        <x:v>No</x:v>
      </x:c>
      <x:c r="H301" t="str">
        <x:v>E</x:v>
      </x:c>
      <x:c r="I301" t="str">
        <x:v>Yes</x:v>
      </x:c>
      <x:c r="J301" t="str">
        <x:v>Yes</x:v>
      </x:c>
      <x:c r="K301" t="str">
        <x:v>No</x:v>
      </x:c>
      <x:c r="L301" t="str">
        <x:f>IF(F301="","UNKNOWN",IF(F301&lt;'WELL INPUTS'!$B$11,"BELOW","OK"))</x:f>
        <x:v>OK</x:v>
      </x:c>
      <x:c r="M301" t="str">
        <x:f>IF(AND('WELL INPUTS'!$B$4="Wet",'WELL INPUTS'!$B$5&gt;0),IF(I301="Yes","CATALOG SOUR","NOT LISTED"),"N/A")</x:f>
        <x:v>N/A</x:v>
      </x:c>
      <x:c r="N301" t="str">
        <x:f>IF(AND('WELL INPUTS'!$B$4="Wet",'WELL INPUTS'!$B$6&gt;0),IF(J301="Yes","ALLOY FAMILY","CORROSION CONTROL"),"N/A")</x:f>
        <x:v>ALLOY FAMILY</x:v>
      </x:c>
      <x:c r="O301" t="str">
        <x:f>IF('WELL INPUTS'!$B$12="Yes",IF(G301="Yes","CLAIMED","NOT LISTED"),"N/A")</x:f>
        <x:v>N/A</x:v>
      </x:c>
      <x:c r="P301" t="str">
        <x:f>IF(OR('WELL INPUTS'!$B$13="Unrestricted",CODE(H301)&lt;=CODE('WELL INPUTS'!$B$13)),"WITHIN TIER","OVER CAP")</x:f>
        <x:v>WITHIN TIER</x:v>
      </x:c>
      <x:c r="Q301" t="n">
        <x:f>MAX(0,MIN(100,43+IF(L301="OK",14,-20)+IF(M301="CATALOG SOUR",24,IF(M301="NOT LISTED",-18,0))+IF(N301="ALLOY FAMILY",14,IF(N301="CORROSION CONTROL",-13,0))+IF(O301="CLAIMED",17,IF(O301="NOT LISTED",-14,0))+IF(K301="Yes",-15,0)+IF('WELL INPUTS'!$B$10="Yes",-17,0)))</x:f>
        <x:v>71</x:v>
      </x:c>
      <x:c r="R301" s="83" t="str">
        <x:f>IF(L301="BELOW","EXCLUDE — STRENGTH",IF(P301="OVER CAP","EXCLUDE — COST",IF(K301="Yes",IF('WELL INPUTS'!$B$14="No","EXCLUDE — REFERENCE","REFERENCE ONLY"),IF(OR(L301="UNKNOWN",M301="NOT LISTED",N301="CORROSION CONTROL",O301="NOT LISTED",'WELL INPUTS'!$B$10="Yes",'WELL INPUTS'!$B$4="Unknown"),"REVIEW","CANDIDATE — VERIFY"))))</x:f>
        <x:v>CANDIDATE — VERIFY</x:v>
      </x:c>
      <x:c r="S301" t="str">
        <x:f>IF(L301="BELOW","Increase minimum grade strength",IF(P301="OVER CAP","Relax cost tier or exclude",IF(K301="Yes","Identify qualified manufacturer grade",IF(M301="NOT LISTED","Confirm sour-service claim and ISO 15156",IF(O301="NOT LISTED","Obtain manufacturer collapse curve",IF(N301="CORROSION CONTROL","Model CO2 corrosion; review inhibition","Confirm corrosion, cracking, loads and connection"))))))</x:f>
        <x:v>Confirm corrosion, cracking, loads and connection</x:v>
      </x:c>
      <x:c r="T301" t="str">
        <x:v>https://www.jfe-steel.co.jp/en/products/energy/octg/material/uhp_ht.html</x:v>
      </x:c>
    </x:row>
    <x:row r="302" ht="23" customHeight="1">
      <x:c r="A302" t="str">
        <x:v>OCTG-0301</x:v>
      </x:c>
      <x:c r="B302" t="str">
        <x:v>JFE Steel</x:v>
      </x:c>
      <x:c r="C302" t="str">
        <x:v>JFE-UHP-15CR-135</x:v>
      </x:c>
      <x:c r="D302" t="str">
        <x:v>Modified / super 13Cr</x:v>
      </x:c>
      <x:c r="E302" t="str">
        <x:v>HPHT / severe wet CO2 / mild sour</x:v>
      </x:c>
      <x:c r="F302" s="82" t="n">
        <x:v>135</x:v>
      </x:c>
      <x:c r="G302" t="str">
        <x:v>No</x:v>
      </x:c>
      <x:c r="H302" t="str">
        <x:v>E</x:v>
      </x:c>
      <x:c r="I302" t="str">
        <x:v>Yes</x:v>
      </x:c>
      <x:c r="J302" t="str">
        <x:v>Yes</x:v>
      </x:c>
      <x:c r="K302" t="str">
        <x:v>No</x:v>
      </x:c>
      <x:c r="L302" t="str">
        <x:f>IF(F302="","UNKNOWN",IF(F302&lt;'WELL INPUTS'!$B$11,"BELOW","OK"))</x:f>
        <x:v>OK</x:v>
      </x:c>
      <x:c r="M302" t="str">
        <x:f>IF(AND('WELL INPUTS'!$B$4="Wet",'WELL INPUTS'!$B$5&gt;0),IF(I302="Yes","CATALOG SOUR","NOT LISTED"),"N/A")</x:f>
        <x:v>N/A</x:v>
      </x:c>
      <x:c r="N302" t="str">
        <x:f>IF(AND('WELL INPUTS'!$B$4="Wet",'WELL INPUTS'!$B$6&gt;0),IF(J302="Yes","ALLOY FAMILY","CORROSION CONTROL"),"N/A")</x:f>
        <x:v>ALLOY FAMILY</x:v>
      </x:c>
      <x:c r="O302" t="str">
        <x:f>IF('WELL INPUTS'!$B$12="Yes",IF(G302="Yes","CLAIMED","NOT LISTED"),"N/A")</x:f>
        <x:v>N/A</x:v>
      </x:c>
      <x:c r="P302" t="str">
        <x:f>IF(OR('WELL INPUTS'!$B$13="Unrestricted",CODE(H302)&lt;=CODE('WELL INPUTS'!$B$13)),"WITHIN TIER","OVER CAP")</x:f>
        <x:v>WITHIN TIER</x:v>
      </x:c>
      <x:c r="Q302" t="n">
        <x:f>MAX(0,MIN(100,43+IF(L302="OK",14,-20)+IF(M302="CATALOG SOUR",24,IF(M302="NOT LISTED",-18,0))+IF(N302="ALLOY FAMILY",14,IF(N302="CORROSION CONTROL",-13,0))+IF(O302="CLAIMED",17,IF(O302="NOT LISTED",-14,0))+IF(K302="Yes",-15,0)+IF('WELL INPUTS'!$B$10="Yes",-17,0)))</x:f>
        <x:v>71</x:v>
      </x:c>
      <x:c r="R302" s="83" t="str">
        <x:f>IF(L302="BELOW","EXCLUDE — STRENGTH",IF(P302="OVER CAP","EXCLUDE — COST",IF(K302="Yes",IF('WELL INPUTS'!$B$14="No","EXCLUDE — REFERENCE","REFERENCE ONLY"),IF(OR(L302="UNKNOWN",M302="NOT LISTED",N302="CORROSION CONTROL",O302="NOT LISTED",'WELL INPUTS'!$B$10="Yes",'WELL INPUTS'!$B$4="Unknown"),"REVIEW","CANDIDATE — VERIFY"))))</x:f>
        <x:v>CANDIDATE — VERIFY</x:v>
      </x:c>
      <x:c r="S302" t="str">
        <x:f>IF(L302="BELOW","Increase minimum grade strength",IF(P302="OVER CAP","Relax cost tier or exclude",IF(K302="Yes","Identify qualified manufacturer grade",IF(M302="NOT LISTED","Confirm sour-service claim and ISO 15156",IF(O302="NOT LISTED","Obtain manufacturer collapse curve",IF(N302="CORROSION CONTROL","Model CO2 corrosion; review inhibition","Confirm corrosion, cracking, loads and connection"))))))</x:f>
        <x:v>Confirm corrosion, cracking, loads and connection</x:v>
      </x:c>
      <x:c r="T302" t="str">
        <x:v>https://www.jfe-steel.co.jp/en/products/energy/octg/material/uhp_ht.html</x:v>
      </x:c>
    </x:row>
    <x:row r="303" ht="23" customHeight="1">
      <x:c r="A303" t="str">
        <x:v>OCTG-0302</x:v>
      </x:c>
      <x:c r="B303" t="str">
        <x:v>JFE Steel</x:v>
      </x:c>
      <x:c r="C303" t="str">
        <x:v>JFE-UHP-17CR-110</x:v>
      </x:c>
      <x:c r="D303" t="str">
        <x:v>Modified / super 13Cr</x:v>
      </x:c>
      <x:c r="E303" t="str">
        <x:v>HPHT / severe wet CO2 / mild sour</x:v>
      </x:c>
      <x:c r="F303" s="82" t="n">
        <x:v>110</x:v>
      </x:c>
      <x:c r="G303" t="str">
        <x:v>No</x:v>
      </x:c>
      <x:c r="H303" t="str">
        <x:v>E</x:v>
      </x:c>
      <x:c r="I303" t="str">
        <x:v>Yes</x:v>
      </x:c>
      <x:c r="J303" t="str">
        <x:v>Yes</x:v>
      </x:c>
      <x:c r="K303" t="str">
        <x:v>No</x:v>
      </x:c>
      <x:c r="L303" t="str">
        <x:f>IF(F303="","UNKNOWN",IF(F303&lt;'WELL INPUTS'!$B$11,"BELOW","OK"))</x:f>
        <x:v>OK</x:v>
      </x:c>
      <x:c r="M303" t="str">
        <x:f>IF(AND('WELL INPUTS'!$B$4="Wet",'WELL INPUTS'!$B$5&gt;0),IF(I303="Yes","CATALOG SOUR","NOT LISTED"),"N/A")</x:f>
        <x:v>N/A</x:v>
      </x:c>
      <x:c r="N303" t="str">
        <x:f>IF(AND('WELL INPUTS'!$B$4="Wet",'WELL INPUTS'!$B$6&gt;0),IF(J303="Yes","ALLOY FAMILY","CORROSION CONTROL"),"N/A")</x:f>
        <x:v>ALLOY FAMILY</x:v>
      </x:c>
      <x:c r="O303" t="str">
        <x:f>IF('WELL INPUTS'!$B$12="Yes",IF(G303="Yes","CLAIMED","NOT LISTED"),"N/A")</x:f>
        <x:v>N/A</x:v>
      </x:c>
      <x:c r="P303" t="str">
        <x:f>IF(OR('WELL INPUTS'!$B$13="Unrestricted",CODE(H303)&lt;=CODE('WELL INPUTS'!$B$13)),"WITHIN TIER","OVER CAP")</x:f>
        <x:v>WITHIN TIER</x:v>
      </x:c>
      <x:c r="Q303" t="n">
        <x:f>MAX(0,MIN(100,43+IF(L303="OK",14,-20)+IF(M303="CATALOG SOUR",24,IF(M303="NOT LISTED",-18,0))+IF(N303="ALLOY FAMILY",14,IF(N303="CORROSION CONTROL",-13,0))+IF(O303="CLAIMED",17,IF(O303="NOT LISTED",-14,0))+IF(K303="Yes",-15,0)+IF('WELL INPUTS'!$B$10="Yes",-17,0)))</x:f>
        <x:v>71</x:v>
      </x:c>
      <x:c r="R303" s="83" t="str">
        <x:f>IF(L303="BELOW","EXCLUDE — STRENGTH",IF(P303="OVER CAP","EXCLUDE — COST",IF(K303="Yes",IF('WELL INPUTS'!$B$14="No","EXCLUDE — REFERENCE","REFERENCE ONLY"),IF(OR(L303="UNKNOWN",M303="NOT LISTED",N303="CORROSION CONTROL",O303="NOT LISTED",'WELL INPUTS'!$B$10="Yes",'WELL INPUTS'!$B$4="Unknown"),"REVIEW","CANDIDATE — VERIFY"))))</x:f>
        <x:v>CANDIDATE — VERIFY</x:v>
      </x:c>
      <x:c r="S303" t="str">
        <x:f>IF(L303="BELOW","Increase minimum grade strength",IF(P303="OVER CAP","Relax cost tier or exclude",IF(K303="Yes","Identify qualified manufacturer grade",IF(M303="NOT LISTED","Confirm sour-service claim and ISO 15156",IF(O303="NOT LISTED","Obtain manufacturer collapse curve",IF(N303="CORROSION CONTROL","Model CO2 corrosion; review inhibition","Confirm corrosion, cracking, loads and connection"))))))</x:f>
        <x:v>Confirm corrosion, cracking, loads and connection</x:v>
      </x:c>
      <x:c r="T303" t="str">
        <x:v>https://www.jfe-steel.co.jp/en/products/energy/octg/material/uhp_ht.html</x:v>
      </x:c>
    </x:row>
    <x:row r="304" ht="23" customHeight="1">
      <x:c r="A304" t="str">
        <x:v>OCTG-0303</x:v>
      </x:c>
      <x:c r="B304" t="str">
        <x:v>voestalpine Tubulars</x:v>
      </x:c>
      <x:c r="C304" t="str">
        <x:v>VA-D-125</x:v>
      </x:c>
      <x:c r="D304" t="str">
        <x:v>Carbon / low alloy</x:v>
      </x:c>
      <x:c r="E304" t="str">
        <x:v>Deep wells</x:v>
      </x:c>
      <x:c r="F304" s="82" t="n">
        <x:v>125</x:v>
      </x:c>
      <x:c r="G304" t="str">
        <x:v>No</x:v>
      </x:c>
      <x:c r="H304" t="str">
        <x:v>A</x:v>
      </x:c>
      <x:c r="I304" t="str">
        <x:v>No</x:v>
      </x:c>
      <x:c r="J304" t="str">
        <x:v>No</x:v>
      </x:c>
      <x:c r="K304" t="str">
        <x:v>No</x:v>
      </x:c>
      <x:c r="L304" t="str">
        <x:f>IF(F304="","UNKNOWN",IF(F304&lt;'WELL INPUTS'!$B$11,"BELOW","OK"))</x:f>
        <x:v>OK</x:v>
      </x:c>
      <x:c r="M304" t="str">
        <x:f>IF(AND('WELL INPUTS'!$B$4="Wet",'WELL INPUTS'!$B$5&gt;0),IF(I304="Yes","CATALOG SOUR","NOT LISTED"),"N/A")</x:f>
        <x:v>N/A</x:v>
      </x:c>
      <x:c r="N304" t="str">
        <x:f>IF(AND('WELL INPUTS'!$B$4="Wet",'WELL INPUTS'!$B$6&gt;0),IF(J304="Yes","ALLOY FAMILY","CORROSION CONTROL"),"N/A")</x:f>
        <x:v>CORROSION CONTROL</x:v>
      </x:c>
      <x:c r="O304" t="str">
        <x:f>IF('WELL INPUTS'!$B$12="Yes",IF(G304="Yes","CLAIMED","NOT LISTED"),"N/A")</x:f>
        <x:v>N/A</x:v>
      </x:c>
      <x:c r="P304" t="str">
        <x:f>IF(OR('WELL INPUTS'!$B$13="Unrestricted",CODE(H304)&lt;=CODE('WELL INPUTS'!$B$13)),"WITHIN TIER","OVER CAP")</x:f>
        <x:v>WITHIN TIER</x:v>
      </x:c>
      <x:c r="Q304" t="n">
        <x:f>MAX(0,MIN(100,43+IF(L304="OK",14,-20)+IF(M304="CATALOG SOUR",24,IF(M304="NOT LISTED",-18,0))+IF(N304="ALLOY FAMILY",14,IF(N304="CORROSION CONTROL",-13,0))+IF(O304="CLAIMED",17,IF(O304="NOT LISTED",-14,0))+IF(K304="Yes",-15,0)+IF('WELL INPUTS'!$B$10="Yes",-17,0)))</x:f>
        <x:v>44</x:v>
      </x:c>
      <x:c r="R304" s="83" t="str">
        <x:f>IF(L304="BELOW","EXCLUDE — STRENGTH",IF(P304="OVER CAP","EXCLUDE — COST",IF(K304="Yes",IF('WELL INPUTS'!$B$14="No","EXCLUDE — REFERENCE","REFERENCE ONLY"),IF(OR(L304="UNKNOWN",M304="NOT LISTED",N304="CORROSION CONTROL",O304="NOT LISTED",'WELL INPUTS'!$B$10="Yes",'WELL INPUTS'!$B$4="Unknown"),"REVIEW","CANDIDATE — VERIFY"))))</x:f>
        <x:v>REVIEW</x:v>
      </x:c>
      <x:c r="S304" t="str">
        <x:f>IF(L304="BELOW","Increase minimum grade strength",IF(P304="OVER CAP","Relax cost tier or exclude",IF(K304="Yes","Identify qualified manufacturer grade",IF(M304="NOT LISTED","Confirm sour-service claim and ISO 15156",IF(O304="NOT LISTED","Obtain manufacturer collapse curve",IF(N304="CORROSION CONTROL","Model CO2 corrosion; review inhibition","Confirm corrosion, cracking, loads and connection"))))))</x:f>
        <x:v>Model CO2 corrosion; review inhibition</x:v>
      </x:c>
      <x:c r="T304" t="str">
        <x:v>https://www.voestalpine.com/tubulars/en/products/Proprietary-Grades/</x:v>
      </x:c>
    </x:row>
    <x:row r="305" ht="23" customHeight="1">
      <x:c r="A305" t="str">
        <x:v>OCTG-0304</x:v>
      </x:c>
      <x:c r="B305" t="str">
        <x:v>voestalpine Tubulars</x:v>
      </x:c>
      <x:c r="C305" t="str">
        <x:v>VA-D-125-HC</x:v>
      </x:c>
      <x:c r="D305" t="str">
        <x:v>Carbon / low alloy</x:v>
      </x:c>
      <x:c r="E305" t="str">
        <x:v>Deep wells</x:v>
      </x:c>
      <x:c r="F305" s="82" t="n">
        <x:v>125</x:v>
      </x:c>
      <x:c r="G305" t="str">
        <x:v>No</x:v>
      </x:c>
      <x:c r="H305" t="str">
        <x:v>A</x:v>
      </x:c>
      <x:c r="I305" t="str">
        <x:v>No</x:v>
      </x:c>
      <x:c r="J305" t="str">
        <x:v>No</x:v>
      </x:c>
      <x:c r="K305" t="str">
        <x:v>No</x:v>
      </x:c>
      <x:c r="L305" t="str">
        <x:f>IF(F305="","UNKNOWN",IF(F305&lt;'WELL INPUTS'!$B$11,"BELOW","OK"))</x:f>
        <x:v>OK</x:v>
      </x:c>
      <x:c r="M305" t="str">
        <x:f>IF(AND('WELL INPUTS'!$B$4="Wet",'WELL INPUTS'!$B$5&gt;0),IF(I305="Yes","CATALOG SOUR","NOT LISTED"),"N/A")</x:f>
        <x:v>N/A</x:v>
      </x:c>
      <x:c r="N305" t="str">
        <x:f>IF(AND('WELL INPUTS'!$B$4="Wet",'WELL INPUTS'!$B$6&gt;0),IF(J305="Yes","ALLOY FAMILY","CORROSION CONTROL"),"N/A")</x:f>
        <x:v>CORROSION CONTROL</x:v>
      </x:c>
      <x:c r="O305" t="str">
        <x:f>IF('WELL INPUTS'!$B$12="Yes",IF(G305="Yes","CLAIMED","NOT LISTED"),"N/A")</x:f>
        <x:v>N/A</x:v>
      </x:c>
      <x:c r="P305" t="str">
        <x:f>IF(OR('WELL INPUTS'!$B$13="Unrestricted",CODE(H305)&lt;=CODE('WELL INPUTS'!$B$13)),"WITHIN TIER","OVER CAP")</x:f>
        <x:v>WITHIN TIER</x:v>
      </x:c>
      <x:c r="Q305" t="n">
        <x:f>MAX(0,MIN(100,43+IF(L305="OK",14,-20)+IF(M305="CATALOG SOUR",24,IF(M305="NOT LISTED",-18,0))+IF(N305="ALLOY FAMILY",14,IF(N305="CORROSION CONTROL",-13,0))+IF(O305="CLAIMED",17,IF(O305="NOT LISTED",-14,0))+IF(K305="Yes",-15,0)+IF('WELL INPUTS'!$B$10="Yes",-17,0)))</x:f>
        <x:v>44</x:v>
      </x:c>
      <x:c r="R305" s="83" t="str">
        <x:f>IF(L305="BELOW","EXCLUDE — STRENGTH",IF(P305="OVER CAP","EXCLUDE — COST",IF(K305="Yes",IF('WELL INPUTS'!$B$14="No","EXCLUDE — REFERENCE","REFERENCE ONLY"),IF(OR(L305="UNKNOWN",M305="NOT LISTED",N305="CORROSION CONTROL",O305="NOT LISTED",'WELL INPUTS'!$B$10="Yes",'WELL INPUTS'!$B$4="Unknown"),"REVIEW","CANDIDATE — VERIFY"))))</x:f>
        <x:v>REVIEW</x:v>
      </x:c>
      <x:c r="S305" t="str">
        <x:f>IF(L305="BELOW","Increase minimum grade strength",IF(P305="OVER CAP","Relax cost tier or exclude",IF(K305="Yes","Identify qualified manufacturer grade",IF(M305="NOT LISTED","Confirm sour-service claim and ISO 15156",IF(O305="NOT LISTED","Obtain manufacturer collapse curve",IF(N305="CORROSION CONTROL","Model CO2 corrosion; review inhibition","Confirm corrosion, cracking, loads and connection"))))))</x:f>
        <x:v>Model CO2 corrosion; review inhibition</x:v>
      </x:c>
      <x:c r="T305" t="str">
        <x:v>https://www.voestalpine.com/tubulars/en/products/Proprietary-Grades/</x:v>
      </x:c>
    </x:row>
    <x:row r="306" ht="23" customHeight="1">
      <x:c r="A306" t="str">
        <x:v>OCTG-0305</x:v>
      </x:c>
      <x:c r="B306" t="str">
        <x:v>voestalpine Tubulars</x:v>
      </x:c>
      <x:c r="C306" t="str">
        <x:v>VA-D-140</x:v>
      </x:c>
      <x:c r="D306" t="str">
        <x:v>Carbon / low alloy</x:v>
      </x:c>
      <x:c r="E306" t="str">
        <x:v>Deep wells</x:v>
      </x:c>
      <x:c r="F306" s="82" t="n">
        <x:v>140</x:v>
      </x:c>
      <x:c r="G306" t="str">
        <x:v>No</x:v>
      </x:c>
      <x:c r="H306" t="str">
        <x:v>A</x:v>
      </x:c>
      <x:c r="I306" t="str">
        <x:v>No</x:v>
      </x:c>
      <x:c r="J306" t="str">
        <x:v>No</x:v>
      </x:c>
      <x:c r="K306" t="str">
        <x:v>No</x:v>
      </x:c>
      <x:c r="L306" t="str">
        <x:f>IF(F306="","UNKNOWN",IF(F306&lt;'WELL INPUTS'!$B$11,"BELOW","OK"))</x:f>
        <x:v>OK</x:v>
      </x:c>
      <x:c r="M306" t="str">
        <x:f>IF(AND('WELL INPUTS'!$B$4="Wet",'WELL INPUTS'!$B$5&gt;0),IF(I306="Yes","CATALOG SOUR","NOT LISTED"),"N/A")</x:f>
        <x:v>N/A</x:v>
      </x:c>
      <x:c r="N306" t="str">
        <x:f>IF(AND('WELL INPUTS'!$B$4="Wet",'WELL INPUTS'!$B$6&gt;0),IF(J306="Yes","ALLOY FAMILY","CORROSION CONTROL"),"N/A")</x:f>
        <x:v>CORROSION CONTROL</x:v>
      </x:c>
      <x:c r="O306" t="str">
        <x:f>IF('WELL INPUTS'!$B$12="Yes",IF(G306="Yes","CLAIMED","NOT LISTED"),"N/A")</x:f>
        <x:v>N/A</x:v>
      </x:c>
      <x:c r="P306" t="str">
        <x:f>IF(OR('WELL INPUTS'!$B$13="Unrestricted",CODE(H306)&lt;=CODE('WELL INPUTS'!$B$13)),"WITHIN TIER","OVER CAP")</x:f>
        <x:v>WITHIN TIER</x:v>
      </x:c>
      <x:c r="Q306" t="n">
        <x:f>MAX(0,MIN(100,43+IF(L306="OK",14,-20)+IF(M306="CATALOG SOUR",24,IF(M306="NOT LISTED",-18,0))+IF(N306="ALLOY FAMILY",14,IF(N306="CORROSION CONTROL",-13,0))+IF(O306="CLAIMED",17,IF(O306="NOT LISTED",-14,0))+IF(K306="Yes",-15,0)+IF('WELL INPUTS'!$B$10="Yes",-17,0)))</x:f>
        <x:v>44</x:v>
      </x:c>
      <x:c r="R306" s="83" t="str">
        <x:f>IF(L306="BELOW","EXCLUDE — STRENGTH",IF(P306="OVER CAP","EXCLUDE — COST",IF(K306="Yes",IF('WELL INPUTS'!$B$14="No","EXCLUDE — REFERENCE","REFERENCE ONLY"),IF(OR(L306="UNKNOWN",M306="NOT LISTED",N306="CORROSION CONTROL",O306="NOT LISTED",'WELL INPUTS'!$B$10="Yes",'WELL INPUTS'!$B$4="Unknown"),"REVIEW","CANDIDATE — VERIFY"))))</x:f>
        <x:v>REVIEW</x:v>
      </x:c>
      <x:c r="S306" t="str">
        <x:f>IF(L306="BELOW","Increase minimum grade strength",IF(P306="OVER CAP","Relax cost tier or exclude",IF(K306="Yes","Identify qualified manufacturer grade",IF(M306="NOT LISTED","Confirm sour-service claim and ISO 15156",IF(O306="NOT LISTED","Obtain manufacturer collapse curve",IF(N306="CORROSION CONTROL","Model CO2 corrosion; review inhibition","Confirm corrosion, cracking, loads and connection"))))))</x:f>
        <x:v>Model CO2 corrosion; review inhibition</x:v>
      </x:c>
      <x:c r="T306" t="str">
        <x:v>https://www.voestalpine.com/tubulars/en/products/Proprietary-Grades/</x:v>
      </x:c>
    </x:row>
    <x:row r="307" ht="23" customHeight="1">
      <x:c r="A307" t="str">
        <x:v>OCTG-0306</x:v>
      </x:c>
      <x:c r="B307" t="str">
        <x:v>voestalpine Tubulars</x:v>
      </x:c>
      <x:c r="C307" t="str">
        <x:v>VA-D-140-HC</x:v>
      </x:c>
      <x:c r="D307" t="str">
        <x:v>Carbon / low alloy</x:v>
      </x:c>
      <x:c r="E307" t="str">
        <x:v>Deep wells</x:v>
      </x:c>
      <x:c r="F307" s="82" t="n">
        <x:v>140</x:v>
      </x:c>
      <x:c r="G307" t="str">
        <x:v>No</x:v>
      </x:c>
      <x:c r="H307" t="str">
        <x:v>A</x:v>
      </x:c>
      <x:c r="I307" t="str">
        <x:v>No</x:v>
      </x:c>
      <x:c r="J307" t="str">
        <x:v>No</x:v>
      </x:c>
      <x:c r="K307" t="str">
        <x:v>No</x:v>
      </x:c>
      <x:c r="L307" t="str">
        <x:f>IF(F307="","UNKNOWN",IF(F307&lt;'WELL INPUTS'!$B$11,"BELOW","OK"))</x:f>
        <x:v>OK</x:v>
      </x:c>
      <x:c r="M307" t="str">
        <x:f>IF(AND('WELL INPUTS'!$B$4="Wet",'WELL INPUTS'!$B$5&gt;0),IF(I307="Yes","CATALOG SOUR","NOT LISTED"),"N/A")</x:f>
        <x:v>N/A</x:v>
      </x:c>
      <x:c r="N307" t="str">
        <x:f>IF(AND('WELL INPUTS'!$B$4="Wet",'WELL INPUTS'!$B$6&gt;0),IF(J307="Yes","ALLOY FAMILY","CORROSION CONTROL"),"N/A")</x:f>
        <x:v>CORROSION CONTROL</x:v>
      </x:c>
      <x:c r="O307" t="str">
        <x:f>IF('WELL INPUTS'!$B$12="Yes",IF(G307="Yes","CLAIMED","NOT LISTED"),"N/A")</x:f>
        <x:v>N/A</x:v>
      </x:c>
      <x:c r="P307" t="str">
        <x:f>IF(OR('WELL INPUTS'!$B$13="Unrestricted",CODE(H307)&lt;=CODE('WELL INPUTS'!$B$13)),"WITHIN TIER","OVER CAP")</x:f>
        <x:v>WITHIN TIER</x:v>
      </x:c>
      <x:c r="Q307" t="n">
        <x:f>MAX(0,MIN(100,43+IF(L307="OK",14,-20)+IF(M307="CATALOG SOUR",24,IF(M307="NOT LISTED",-18,0))+IF(N307="ALLOY FAMILY",14,IF(N307="CORROSION CONTROL",-13,0))+IF(O307="CLAIMED",17,IF(O307="NOT LISTED",-14,0))+IF(K307="Yes",-15,0)+IF('WELL INPUTS'!$B$10="Yes",-17,0)))</x:f>
        <x:v>44</x:v>
      </x:c>
      <x:c r="R307" s="83" t="str">
        <x:f>IF(L307="BELOW","EXCLUDE — STRENGTH",IF(P307="OVER CAP","EXCLUDE — COST",IF(K307="Yes",IF('WELL INPUTS'!$B$14="No","EXCLUDE — REFERENCE","REFERENCE ONLY"),IF(OR(L307="UNKNOWN",M307="NOT LISTED",N307="CORROSION CONTROL",O307="NOT LISTED",'WELL INPUTS'!$B$10="Yes",'WELL INPUTS'!$B$4="Unknown"),"REVIEW","CANDIDATE — VERIFY"))))</x:f>
        <x:v>REVIEW</x:v>
      </x:c>
      <x:c r="S307" t="str">
        <x:f>IF(L307="BELOW","Increase minimum grade strength",IF(P307="OVER CAP","Relax cost tier or exclude",IF(K307="Yes","Identify qualified manufacturer grade",IF(M307="NOT LISTED","Confirm sour-service claim and ISO 15156",IF(O307="NOT LISTED","Obtain manufacturer collapse curve",IF(N307="CORROSION CONTROL","Model CO2 corrosion; review inhibition","Confirm corrosion, cracking, loads and connection"))))))</x:f>
        <x:v>Model CO2 corrosion; review inhibition</x:v>
      </x:c>
      <x:c r="T307" t="str">
        <x:v>https://www.voestalpine.com/tubulars/en/products/Proprietary-Grades/</x:v>
      </x:c>
    </x:row>
    <x:row r="308" ht="23" customHeight="1">
      <x:c r="A308" t="str">
        <x:v>OCTG-0307</x:v>
      </x:c>
      <x:c r="B308" t="str">
        <x:v>voestalpine Tubulars</x:v>
      </x:c>
      <x:c r="C308" t="str">
        <x:v>VA-D-150</x:v>
      </x:c>
      <x:c r="D308" t="str">
        <x:v>Carbon / low alloy</x:v>
      </x:c>
      <x:c r="E308" t="str">
        <x:v>Deep wells</x:v>
      </x:c>
      <x:c r="F308" s="82" t="n">
        <x:v>150</x:v>
      </x:c>
      <x:c r="G308" t="str">
        <x:v>No</x:v>
      </x:c>
      <x:c r="H308" t="str">
        <x:v>A</x:v>
      </x:c>
      <x:c r="I308" t="str">
        <x:v>No</x:v>
      </x:c>
      <x:c r="J308" t="str">
        <x:v>No</x:v>
      </x:c>
      <x:c r="K308" t="str">
        <x:v>No</x:v>
      </x:c>
      <x:c r="L308" t="str">
        <x:f>IF(F308="","UNKNOWN",IF(F308&lt;'WELL INPUTS'!$B$11,"BELOW","OK"))</x:f>
        <x:v>OK</x:v>
      </x:c>
      <x:c r="M308" t="str">
        <x:f>IF(AND('WELL INPUTS'!$B$4="Wet",'WELL INPUTS'!$B$5&gt;0),IF(I308="Yes","CATALOG SOUR","NOT LISTED"),"N/A")</x:f>
        <x:v>N/A</x:v>
      </x:c>
      <x:c r="N308" t="str">
        <x:f>IF(AND('WELL INPUTS'!$B$4="Wet",'WELL INPUTS'!$B$6&gt;0),IF(J308="Yes","ALLOY FAMILY","CORROSION CONTROL"),"N/A")</x:f>
        <x:v>CORROSION CONTROL</x:v>
      </x:c>
      <x:c r="O308" t="str">
        <x:f>IF('WELL INPUTS'!$B$12="Yes",IF(G308="Yes","CLAIMED","NOT LISTED"),"N/A")</x:f>
        <x:v>N/A</x:v>
      </x:c>
      <x:c r="P308" t="str">
        <x:f>IF(OR('WELL INPUTS'!$B$13="Unrestricted",CODE(H308)&lt;=CODE('WELL INPUTS'!$B$13)),"WITHIN TIER","OVER CAP")</x:f>
        <x:v>WITHIN TIER</x:v>
      </x:c>
      <x:c r="Q308" t="n">
        <x:f>MAX(0,MIN(100,43+IF(L308="OK",14,-20)+IF(M308="CATALOG SOUR",24,IF(M308="NOT LISTED",-18,0))+IF(N308="ALLOY FAMILY",14,IF(N308="CORROSION CONTROL",-13,0))+IF(O308="CLAIMED",17,IF(O308="NOT LISTED",-14,0))+IF(K308="Yes",-15,0)+IF('WELL INPUTS'!$B$10="Yes",-17,0)))</x:f>
        <x:v>44</x:v>
      </x:c>
      <x:c r="R308" s="83" t="str">
        <x:f>IF(L308="BELOW","EXCLUDE — STRENGTH",IF(P308="OVER CAP","EXCLUDE — COST",IF(K308="Yes",IF('WELL INPUTS'!$B$14="No","EXCLUDE — REFERENCE","REFERENCE ONLY"),IF(OR(L308="UNKNOWN",M308="NOT LISTED",N308="CORROSION CONTROL",O308="NOT LISTED",'WELL INPUTS'!$B$10="Yes",'WELL INPUTS'!$B$4="Unknown"),"REVIEW","CANDIDATE — VERIFY"))))</x:f>
        <x:v>REVIEW</x:v>
      </x:c>
      <x:c r="S308" t="str">
        <x:f>IF(L308="BELOW","Increase minimum grade strength",IF(P308="OVER CAP","Relax cost tier or exclude",IF(K308="Yes","Identify qualified manufacturer grade",IF(M308="NOT LISTED","Confirm sour-service claim and ISO 15156",IF(O308="NOT LISTED","Obtain manufacturer collapse curve",IF(N308="CORROSION CONTROL","Model CO2 corrosion; review inhibition","Confirm corrosion, cracking, loads and connection"))))))</x:f>
        <x:v>Model CO2 corrosion; review inhibition</x:v>
      </x:c>
      <x:c r="T308" t="str">
        <x:v>https://www.voestalpine.com/tubulars/en/products/Proprietary-Grades/</x:v>
      </x:c>
    </x:row>
    <x:row r="309" ht="23" customHeight="1">
      <x:c r="A309" t="str">
        <x:v>OCTG-0308</x:v>
      </x:c>
      <x:c r="B309" t="str">
        <x:v>voestalpine Tubulars</x:v>
      </x:c>
      <x:c r="C309" t="str">
        <x:v>VA-D-150-HC</x:v>
      </x:c>
      <x:c r="D309" t="str">
        <x:v>Carbon / low alloy</x:v>
      </x:c>
      <x:c r="E309" t="str">
        <x:v>Deep wells</x:v>
      </x:c>
      <x:c r="F309" s="82" t="n">
        <x:v>150</x:v>
      </x:c>
      <x:c r="G309" t="str">
        <x:v>No</x:v>
      </x:c>
      <x:c r="H309" t="str">
        <x:v>A</x:v>
      </x:c>
      <x:c r="I309" t="str">
        <x:v>No</x:v>
      </x:c>
      <x:c r="J309" t="str">
        <x:v>No</x:v>
      </x:c>
      <x:c r="K309" t="str">
        <x:v>No</x:v>
      </x:c>
      <x:c r="L309" t="str">
        <x:f>IF(F309="","UNKNOWN",IF(F309&lt;'WELL INPUTS'!$B$11,"BELOW","OK"))</x:f>
        <x:v>OK</x:v>
      </x:c>
      <x:c r="M309" t="str">
        <x:f>IF(AND('WELL INPUTS'!$B$4="Wet",'WELL INPUTS'!$B$5&gt;0),IF(I309="Yes","CATALOG SOUR","NOT LISTED"),"N/A")</x:f>
        <x:v>N/A</x:v>
      </x:c>
      <x:c r="N309" t="str">
        <x:f>IF(AND('WELL INPUTS'!$B$4="Wet",'WELL INPUTS'!$B$6&gt;0),IF(J309="Yes","ALLOY FAMILY","CORROSION CONTROL"),"N/A")</x:f>
        <x:v>CORROSION CONTROL</x:v>
      </x:c>
      <x:c r="O309" t="str">
        <x:f>IF('WELL INPUTS'!$B$12="Yes",IF(G309="Yes","CLAIMED","NOT LISTED"),"N/A")</x:f>
        <x:v>N/A</x:v>
      </x:c>
      <x:c r="P309" t="str">
        <x:f>IF(OR('WELL INPUTS'!$B$13="Unrestricted",CODE(H309)&lt;=CODE('WELL INPUTS'!$B$13)),"WITHIN TIER","OVER CAP")</x:f>
        <x:v>WITHIN TIER</x:v>
      </x:c>
      <x:c r="Q309" t="n">
        <x:f>MAX(0,MIN(100,43+IF(L309="OK",14,-20)+IF(M309="CATALOG SOUR",24,IF(M309="NOT LISTED",-18,0))+IF(N309="ALLOY FAMILY",14,IF(N309="CORROSION CONTROL",-13,0))+IF(O309="CLAIMED",17,IF(O309="NOT LISTED",-14,0))+IF(K309="Yes",-15,0)+IF('WELL INPUTS'!$B$10="Yes",-17,0)))</x:f>
        <x:v>44</x:v>
      </x:c>
      <x:c r="R309" s="83" t="str">
        <x:f>IF(L309="BELOW","EXCLUDE — STRENGTH",IF(P309="OVER CAP","EXCLUDE — COST",IF(K309="Yes",IF('WELL INPUTS'!$B$14="No","EXCLUDE — REFERENCE","REFERENCE ONLY"),IF(OR(L309="UNKNOWN",M309="NOT LISTED",N309="CORROSION CONTROL",O309="NOT LISTED",'WELL INPUTS'!$B$10="Yes",'WELL INPUTS'!$B$4="Unknown"),"REVIEW","CANDIDATE — VERIFY"))))</x:f>
        <x:v>REVIEW</x:v>
      </x:c>
      <x:c r="S309" t="str">
        <x:f>IF(L309="BELOW","Increase minimum grade strength",IF(P309="OVER CAP","Relax cost tier or exclude",IF(K309="Yes","Identify qualified manufacturer grade",IF(M309="NOT LISTED","Confirm sour-service claim and ISO 15156",IF(O309="NOT LISTED","Obtain manufacturer collapse curve",IF(N309="CORROSION CONTROL","Model CO2 corrosion; review inhibition","Confirm corrosion, cracking, loads and connection"))))))</x:f>
        <x:v>Model CO2 corrosion; review inhibition</x:v>
      </x:c>
      <x:c r="T309" t="str">
        <x:v>https://www.voestalpine.com/tubulars/en/products/Proprietary-Grades/</x:v>
      </x:c>
    </x:row>
    <x:row r="310" ht="23" customHeight="1">
      <x:c r="A310" t="str">
        <x:v>OCTG-0309</x:v>
      </x:c>
      <x:c r="B310" t="str">
        <x:v>voestalpine Tubulars</x:v>
      </x:c>
      <x:c r="C310" t="str">
        <x:v>VA-EP-C110</x:v>
      </x:c>
      <x:c r="D310" t="str">
        <x:v>Carbon / low alloy</x:v>
      </x:c>
      <x:c r="E310" t="str">
        <x:v>Enhanced properties</x:v>
      </x:c>
      <x:c r="F310" s="82" t="n">
        <x:v>110</x:v>
      </x:c>
      <x:c r="G310" t="str">
        <x:v>No</x:v>
      </x:c>
      <x:c r="H310" t="str">
        <x:v>A</x:v>
      </x:c>
      <x:c r="I310" t="str">
        <x:v>No</x:v>
      </x:c>
      <x:c r="J310" t="str">
        <x:v>No</x:v>
      </x:c>
      <x:c r="K310" t="str">
        <x:v>No</x:v>
      </x:c>
      <x:c r="L310" t="str">
        <x:f>IF(F310="","UNKNOWN",IF(F310&lt;'WELL INPUTS'!$B$11,"BELOW","OK"))</x:f>
        <x:v>OK</x:v>
      </x:c>
      <x:c r="M310" t="str">
        <x:f>IF(AND('WELL INPUTS'!$B$4="Wet",'WELL INPUTS'!$B$5&gt;0),IF(I310="Yes","CATALOG SOUR","NOT LISTED"),"N/A")</x:f>
        <x:v>N/A</x:v>
      </x:c>
      <x:c r="N310" t="str">
        <x:f>IF(AND('WELL INPUTS'!$B$4="Wet",'WELL INPUTS'!$B$6&gt;0),IF(J310="Yes","ALLOY FAMILY","CORROSION CONTROL"),"N/A")</x:f>
        <x:v>CORROSION CONTROL</x:v>
      </x:c>
      <x:c r="O310" t="str">
        <x:f>IF('WELL INPUTS'!$B$12="Yes",IF(G310="Yes","CLAIMED","NOT LISTED"),"N/A")</x:f>
        <x:v>N/A</x:v>
      </x:c>
      <x:c r="P310" t="str">
        <x:f>IF(OR('WELL INPUTS'!$B$13="Unrestricted",CODE(H310)&lt;=CODE('WELL INPUTS'!$B$13)),"WITHIN TIER","OVER CAP")</x:f>
        <x:v>WITHIN TIER</x:v>
      </x:c>
      <x:c r="Q310" t="n">
        <x:f>MAX(0,MIN(100,43+IF(L310="OK",14,-20)+IF(M310="CATALOG SOUR",24,IF(M310="NOT LISTED",-18,0))+IF(N310="ALLOY FAMILY",14,IF(N310="CORROSION CONTROL",-13,0))+IF(O310="CLAIMED",17,IF(O310="NOT LISTED",-14,0))+IF(K310="Yes",-15,0)+IF('WELL INPUTS'!$B$10="Yes",-17,0)))</x:f>
        <x:v>44</x:v>
      </x:c>
      <x:c r="R310" s="83" t="str">
        <x:f>IF(L310="BELOW","EXCLUDE — STRENGTH",IF(P310="OVER CAP","EXCLUDE — COST",IF(K310="Yes",IF('WELL INPUTS'!$B$14="No","EXCLUDE — REFERENCE","REFERENCE ONLY"),IF(OR(L310="UNKNOWN",M310="NOT LISTED",N310="CORROSION CONTROL",O310="NOT LISTED",'WELL INPUTS'!$B$10="Yes",'WELL INPUTS'!$B$4="Unknown"),"REVIEW","CANDIDATE — VERIFY"))))</x:f>
        <x:v>REVIEW</x:v>
      </x:c>
      <x:c r="S310" t="str">
        <x:f>IF(L310="BELOW","Increase minimum grade strength",IF(P310="OVER CAP","Relax cost tier or exclude",IF(K310="Yes","Identify qualified manufacturer grade",IF(M310="NOT LISTED","Confirm sour-service claim and ISO 15156",IF(O310="NOT LISTED","Obtain manufacturer collapse curve",IF(N310="CORROSION CONTROL","Model CO2 corrosion; review inhibition","Confirm corrosion, cracking, loads and connection"))))))</x:f>
        <x:v>Model CO2 corrosion; review inhibition</x:v>
      </x:c>
      <x:c r="T310" t="str">
        <x:v>https://www.voestalpine.com/tubulars/en/products/Proprietary-Grades/</x:v>
      </x:c>
    </x:row>
    <x:row r="311" ht="23" customHeight="1">
      <x:c r="A311" t="str">
        <x:v>OCTG-0310</x:v>
      </x:c>
      <x:c r="B311" t="str">
        <x:v>voestalpine Tubulars</x:v>
      </x:c>
      <x:c r="C311" t="str">
        <x:v>VA-EP-C90</x:v>
      </x:c>
      <x:c r="D311" t="str">
        <x:v>Carbon / low alloy</x:v>
      </x:c>
      <x:c r="E311" t="str">
        <x:v>Enhanced properties</x:v>
      </x:c>
      <x:c r="F311" s="82" t="n">
        <x:v>90</x:v>
      </x:c>
      <x:c r="G311" t="str">
        <x:v>No</x:v>
      </x:c>
      <x:c r="H311" t="str">
        <x:v>A</x:v>
      </x:c>
      <x:c r="I311" t="str">
        <x:v>No</x:v>
      </x:c>
      <x:c r="J311" t="str">
        <x:v>No</x:v>
      </x:c>
      <x:c r="K311" t="str">
        <x:v>No</x:v>
      </x:c>
      <x:c r="L311" t="str">
        <x:f>IF(F311="","UNKNOWN",IF(F311&lt;'WELL INPUTS'!$B$11,"BELOW","OK"))</x:f>
        <x:v>OK</x:v>
      </x:c>
      <x:c r="M311" t="str">
        <x:f>IF(AND('WELL INPUTS'!$B$4="Wet",'WELL INPUTS'!$B$5&gt;0),IF(I311="Yes","CATALOG SOUR","NOT LISTED"),"N/A")</x:f>
        <x:v>N/A</x:v>
      </x:c>
      <x:c r="N311" t="str">
        <x:f>IF(AND('WELL INPUTS'!$B$4="Wet",'WELL INPUTS'!$B$6&gt;0),IF(J311="Yes","ALLOY FAMILY","CORROSION CONTROL"),"N/A")</x:f>
        <x:v>CORROSION CONTROL</x:v>
      </x:c>
      <x:c r="O311" t="str">
        <x:f>IF('WELL INPUTS'!$B$12="Yes",IF(G311="Yes","CLAIMED","NOT LISTED"),"N/A")</x:f>
        <x:v>N/A</x:v>
      </x:c>
      <x:c r="P311" t="str">
        <x:f>IF(OR('WELL INPUTS'!$B$13="Unrestricted",CODE(H311)&lt;=CODE('WELL INPUTS'!$B$13)),"WITHIN TIER","OVER CAP")</x:f>
        <x:v>WITHIN TIER</x:v>
      </x:c>
      <x:c r="Q311" t="n">
        <x:f>MAX(0,MIN(100,43+IF(L311="OK",14,-20)+IF(M311="CATALOG SOUR",24,IF(M311="NOT LISTED",-18,0))+IF(N311="ALLOY FAMILY",14,IF(N311="CORROSION CONTROL",-13,0))+IF(O311="CLAIMED",17,IF(O311="NOT LISTED",-14,0))+IF(K311="Yes",-15,0)+IF('WELL INPUTS'!$B$10="Yes",-17,0)))</x:f>
        <x:v>44</x:v>
      </x:c>
      <x:c r="R311" s="83" t="str">
        <x:f>IF(L311="BELOW","EXCLUDE — STRENGTH",IF(P311="OVER CAP","EXCLUDE — COST",IF(K311="Yes",IF('WELL INPUTS'!$B$14="No","EXCLUDE — REFERENCE","REFERENCE ONLY"),IF(OR(L311="UNKNOWN",M311="NOT LISTED",N311="CORROSION CONTROL",O311="NOT LISTED",'WELL INPUTS'!$B$10="Yes",'WELL INPUTS'!$B$4="Unknown"),"REVIEW","CANDIDATE — VERIFY"))))</x:f>
        <x:v>REVIEW</x:v>
      </x:c>
      <x:c r="S311" t="str">
        <x:f>IF(L311="BELOW","Increase minimum grade strength",IF(P311="OVER CAP","Relax cost tier or exclude",IF(K311="Yes","Identify qualified manufacturer grade",IF(M311="NOT LISTED","Confirm sour-service claim and ISO 15156",IF(O311="NOT LISTED","Obtain manufacturer collapse curve",IF(N311="CORROSION CONTROL","Model CO2 corrosion; review inhibition","Confirm corrosion, cracking, loads and connection"))))))</x:f>
        <x:v>Model CO2 corrosion; review inhibition</x:v>
      </x:c>
      <x:c r="T311" t="str">
        <x:v>https://www.voestalpine.com/tubulars/en/products/Proprietary-Grades/</x:v>
      </x:c>
    </x:row>
    <x:row r="312" ht="23" customHeight="1">
      <x:c r="A312" t="str">
        <x:v>OCTG-0311</x:v>
      </x:c>
      <x:c r="B312" t="str">
        <x:v>voestalpine Tubulars</x:v>
      </x:c>
      <x:c r="C312" t="str">
        <x:v>VA-EP-L80-1</x:v>
      </x:c>
      <x:c r="D312" t="str">
        <x:v>Carbon / low alloy</x:v>
      </x:c>
      <x:c r="E312" t="str">
        <x:v>Enhanced properties</x:v>
      </x:c>
      <x:c r="F312" s="82" t="n">
        <x:v>80</x:v>
      </x:c>
      <x:c r="G312" t="str">
        <x:v>No</x:v>
      </x:c>
      <x:c r="H312" t="str">
        <x:v>A</x:v>
      </x:c>
      <x:c r="I312" t="str">
        <x:v>No</x:v>
      </x:c>
      <x:c r="J312" t="str">
        <x:v>No</x:v>
      </x:c>
      <x:c r="K312" t="str">
        <x:v>No</x:v>
      </x:c>
      <x:c r="L312" t="str">
        <x:f>IF(F312="","UNKNOWN",IF(F312&lt;'WELL INPUTS'!$B$11,"BELOW","OK"))</x:f>
        <x:v>OK</x:v>
      </x:c>
      <x:c r="M312" t="str">
        <x:f>IF(AND('WELL INPUTS'!$B$4="Wet",'WELL INPUTS'!$B$5&gt;0),IF(I312="Yes","CATALOG SOUR","NOT LISTED"),"N/A")</x:f>
        <x:v>N/A</x:v>
      </x:c>
      <x:c r="N312" t="str">
        <x:f>IF(AND('WELL INPUTS'!$B$4="Wet",'WELL INPUTS'!$B$6&gt;0),IF(J312="Yes","ALLOY FAMILY","CORROSION CONTROL"),"N/A")</x:f>
        <x:v>CORROSION CONTROL</x:v>
      </x:c>
      <x:c r="O312" t="str">
        <x:f>IF('WELL INPUTS'!$B$12="Yes",IF(G312="Yes","CLAIMED","NOT LISTED"),"N/A")</x:f>
        <x:v>N/A</x:v>
      </x:c>
      <x:c r="P312" t="str">
        <x:f>IF(OR('WELL INPUTS'!$B$13="Unrestricted",CODE(H312)&lt;=CODE('WELL INPUTS'!$B$13)),"WITHIN TIER","OVER CAP")</x:f>
        <x:v>WITHIN TIER</x:v>
      </x:c>
      <x:c r="Q312" t="n">
        <x:f>MAX(0,MIN(100,43+IF(L312="OK",14,-20)+IF(M312="CATALOG SOUR",24,IF(M312="NOT LISTED",-18,0))+IF(N312="ALLOY FAMILY",14,IF(N312="CORROSION CONTROL",-13,0))+IF(O312="CLAIMED",17,IF(O312="NOT LISTED",-14,0))+IF(K312="Yes",-15,0)+IF('WELL INPUTS'!$B$10="Yes",-17,0)))</x:f>
        <x:v>44</x:v>
      </x:c>
      <x:c r="R312" s="83" t="str">
        <x:f>IF(L312="BELOW","EXCLUDE — STRENGTH",IF(P312="OVER CAP","EXCLUDE — COST",IF(K312="Yes",IF('WELL INPUTS'!$B$14="No","EXCLUDE — REFERENCE","REFERENCE ONLY"),IF(OR(L312="UNKNOWN",M312="NOT LISTED",N312="CORROSION CONTROL",O312="NOT LISTED",'WELL INPUTS'!$B$10="Yes",'WELL INPUTS'!$B$4="Unknown"),"REVIEW","CANDIDATE — VERIFY"))))</x:f>
        <x:v>REVIEW</x:v>
      </x:c>
      <x:c r="S312" t="str">
        <x:f>IF(L312="BELOW","Increase minimum grade strength",IF(P312="OVER CAP","Relax cost tier or exclude",IF(K312="Yes","Identify qualified manufacturer grade",IF(M312="NOT LISTED","Confirm sour-service claim and ISO 15156",IF(O312="NOT LISTED","Obtain manufacturer collapse curve",IF(N312="CORROSION CONTROL","Model CO2 corrosion; review inhibition","Confirm corrosion, cracking, loads and connection"))))))</x:f>
        <x:v>Model CO2 corrosion; review inhibition</x:v>
      </x:c>
      <x:c r="T312" t="str">
        <x:v>https://www.voestalpine.com/tubulars/en/products/Proprietary-Grades/</x:v>
      </x:c>
    </x:row>
    <x:row r="313" ht="23" customHeight="1">
      <x:c r="A313" t="str">
        <x:v>OCTG-0312</x:v>
      </x:c>
      <x:c r="B313" t="str">
        <x:v>voestalpine Tubulars</x:v>
      </x:c>
      <x:c r="C313" t="str">
        <x:v>VA-EP-N80-Q</x:v>
      </x:c>
      <x:c r="D313" t="str">
        <x:v>Carbon / low alloy</x:v>
      </x:c>
      <x:c r="E313" t="str">
        <x:v>Enhanced properties</x:v>
      </x:c>
      <x:c r="F313" s="82" t="n">
        <x:v>80</x:v>
      </x:c>
      <x:c r="G313" t="str">
        <x:v>No</x:v>
      </x:c>
      <x:c r="H313" t="str">
        <x:v>A</x:v>
      </x:c>
      <x:c r="I313" t="str">
        <x:v>No</x:v>
      </x:c>
      <x:c r="J313" t="str">
        <x:v>No</x:v>
      </x:c>
      <x:c r="K313" t="str">
        <x:v>No</x:v>
      </x:c>
      <x:c r="L313" t="str">
        <x:f>IF(F313="","UNKNOWN",IF(F313&lt;'WELL INPUTS'!$B$11,"BELOW","OK"))</x:f>
        <x:v>OK</x:v>
      </x:c>
      <x:c r="M313" t="str">
        <x:f>IF(AND('WELL INPUTS'!$B$4="Wet",'WELL INPUTS'!$B$5&gt;0),IF(I313="Yes","CATALOG SOUR","NOT LISTED"),"N/A")</x:f>
        <x:v>N/A</x:v>
      </x:c>
      <x:c r="N313" t="str">
        <x:f>IF(AND('WELL INPUTS'!$B$4="Wet",'WELL INPUTS'!$B$6&gt;0),IF(J313="Yes","ALLOY FAMILY","CORROSION CONTROL"),"N/A")</x:f>
        <x:v>CORROSION CONTROL</x:v>
      </x:c>
      <x:c r="O313" t="str">
        <x:f>IF('WELL INPUTS'!$B$12="Yes",IF(G313="Yes","CLAIMED","NOT LISTED"),"N/A")</x:f>
        <x:v>N/A</x:v>
      </x:c>
      <x:c r="P313" t="str">
        <x:f>IF(OR('WELL INPUTS'!$B$13="Unrestricted",CODE(H313)&lt;=CODE('WELL INPUTS'!$B$13)),"WITHIN TIER","OVER CAP")</x:f>
        <x:v>WITHIN TIER</x:v>
      </x:c>
      <x:c r="Q313" t="n">
        <x:f>MAX(0,MIN(100,43+IF(L313="OK",14,-20)+IF(M313="CATALOG SOUR",24,IF(M313="NOT LISTED",-18,0))+IF(N313="ALLOY FAMILY",14,IF(N313="CORROSION CONTROL",-13,0))+IF(O313="CLAIMED",17,IF(O313="NOT LISTED",-14,0))+IF(K313="Yes",-15,0)+IF('WELL INPUTS'!$B$10="Yes",-17,0)))</x:f>
        <x:v>44</x:v>
      </x:c>
      <x:c r="R313" s="83" t="str">
        <x:f>IF(L313="BELOW","EXCLUDE — STRENGTH",IF(P313="OVER CAP","EXCLUDE — COST",IF(K313="Yes",IF('WELL INPUTS'!$B$14="No","EXCLUDE — REFERENCE","REFERENCE ONLY"),IF(OR(L313="UNKNOWN",M313="NOT LISTED",N313="CORROSION CONTROL",O313="NOT LISTED",'WELL INPUTS'!$B$10="Yes",'WELL INPUTS'!$B$4="Unknown"),"REVIEW","CANDIDATE — VERIFY"))))</x:f>
        <x:v>REVIEW</x:v>
      </x:c>
      <x:c r="S313" t="str">
        <x:f>IF(L313="BELOW","Increase minimum grade strength",IF(P313="OVER CAP","Relax cost tier or exclude",IF(K313="Yes","Identify qualified manufacturer grade",IF(M313="NOT LISTED","Confirm sour-service claim and ISO 15156",IF(O313="NOT LISTED","Obtain manufacturer collapse curve",IF(N313="CORROSION CONTROL","Model CO2 corrosion; review inhibition","Confirm corrosion, cracking, loads and connection"))))))</x:f>
        <x:v>Model CO2 corrosion; review inhibition</x:v>
      </x:c>
      <x:c r="T313" t="str">
        <x:v>https://www.voestalpine.com/tubulars/en/products/Proprietary-Grades/</x:v>
      </x:c>
    </x:row>
    <x:row r="314" ht="23" customHeight="1">
      <x:c r="A314" t="str">
        <x:v>OCTG-0313</x:v>
      </x:c>
      <x:c r="B314" t="str">
        <x:v>voestalpine Tubulars</x:v>
      </x:c>
      <x:c r="C314" t="str">
        <x:v>VA-EP-P110</x:v>
      </x:c>
      <x:c r="D314" t="str">
        <x:v>Carbon / low alloy</x:v>
      </x:c>
      <x:c r="E314" t="str">
        <x:v>Enhanced properties</x:v>
      </x:c>
      <x:c r="F314" s="82" t="n">
        <x:v>110</x:v>
      </x:c>
      <x:c r="G314" t="str">
        <x:v>No</x:v>
      </x:c>
      <x:c r="H314" t="str">
        <x:v>A</x:v>
      </x:c>
      <x:c r="I314" t="str">
        <x:v>No</x:v>
      </x:c>
      <x:c r="J314" t="str">
        <x:v>No</x:v>
      </x:c>
      <x:c r="K314" t="str">
        <x:v>No</x:v>
      </x:c>
      <x:c r="L314" t="str">
        <x:f>IF(F314="","UNKNOWN",IF(F314&lt;'WELL INPUTS'!$B$11,"BELOW","OK"))</x:f>
        <x:v>OK</x:v>
      </x:c>
      <x:c r="M314" t="str">
        <x:f>IF(AND('WELL INPUTS'!$B$4="Wet",'WELL INPUTS'!$B$5&gt;0),IF(I314="Yes","CATALOG SOUR","NOT LISTED"),"N/A")</x:f>
        <x:v>N/A</x:v>
      </x:c>
      <x:c r="N314" t="str">
        <x:f>IF(AND('WELL INPUTS'!$B$4="Wet",'WELL INPUTS'!$B$6&gt;0),IF(J314="Yes","ALLOY FAMILY","CORROSION CONTROL"),"N/A")</x:f>
        <x:v>CORROSION CONTROL</x:v>
      </x:c>
      <x:c r="O314" t="str">
        <x:f>IF('WELL INPUTS'!$B$12="Yes",IF(G314="Yes","CLAIMED","NOT LISTED"),"N/A")</x:f>
        <x:v>N/A</x:v>
      </x:c>
      <x:c r="P314" t="str">
        <x:f>IF(OR('WELL INPUTS'!$B$13="Unrestricted",CODE(H314)&lt;=CODE('WELL INPUTS'!$B$13)),"WITHIN TIER","OVER CAP")</x:f>
        <x:v>WITHIN TIER</x:v>
      </x:c>
      <x:c r="Q314" t="n">
        <x:f>MAX(0,MIN(100,43+IF(L314="OK",14,-20)+IF(M314="CATALOG SOUR",24,IF(M314="NOT LISTED",-18,0))+IF(N314="ALLOY FAMILY",14,IF(N314="CORROSION CONTROL",-13,0))+IF(O314="CLAIMED",17,IF(O314="NOT LISTED",-14,0))+IF(K314="Yes",-15,0)+IF('WELL INPUTS'!$B$10="Yes",-17,0)))</x:f>
        <x:v>44</x:v>
      </x:c>
      <x:c r="R314" s="83" t="str">
        <x:f>IF(L314="BELOW","EXCLUDE — STRENGTH",IF(P314="OVER CAP","EXCLUDE — COST",IF(K314="Yes",IF('WELL INPUTS'!$B$14="No","EXCLUDE — REFERENCE","REFERENCE ONLY"),IF(OR(L314="UNKNOWN",M314="NOT LISTED",N314="CORROSION CONTROL",O314="NOT LISTED",'WELL INPUTS'!$B$10="Yes",'WELL INPUTS'!$B$4="Unknown"),"REVIEW","CANDIDATE — VERIFY"))))</x:f>
        <x:v>REVIEW</x:v>
      </x:c>
      <x:c r="S314" t="str">
        <x:f>IF(L314="BELOW","Increase minimum grade strength",IF(P314="OVER CAP","Relax cost tier or exclude",IF(K314="Yes","Identify qualified manufacturer grade",IF(M314="NOT LISTED","Confirm sour-service claim and ISO 15156",IF(O314="NOT LISTED","Obtain manufacturer collapse curve",IF(N314="CORROSION CONTROL","Model CO2 corrosion; review inhibition","Confirm corrosion, cracking, loads and connection"))))))</x:f>
        <x:v>Model CO2 corrosion; review inhibition</x:v>
      </x:c>
      <x:c r="T314" t="str">
        <x:v>https://www.voestalpine.com/tubulars/en/products/Proprietary-Grades/</x:v>
      </x:c>
    </x:row>
    <x:row r="315" ht="23" customHeight="1">
      <x:c r="A315" t="str">
        <x:v>OCTG-0314</x:v>
      </x:c>
      <x:c r="B315" t="str">
        <x:v>voestalpine Tubulars</x:v>
      </x:c>
      <x:c r="C315" t="str">
        <x:v>VA-EP-Q125</x:v>
      </x:c>
      <x:c r="D315" t="str">
        <x:v>Carbon / low alloy</x:v>
      </x:c>
      <x:c r="E315" t="str">
        <x:v>Enhanced properties</x:v>
      </x:c>
      <x:c r="F315" s="82" t="n">
        <x:v>125</x:v>
      </x:c>
      <x:c r="G315" t="str">
        <x:v>No</x:v>
      </x:c>
      <x:c r="H315" t="str">
        <x:v>A</x:v>
      </x:c>
      <x:c r="I315" t="str">
        <x:v>No</x:v>
      </x:c>
      <x:c r="J315" t="str">
        <x:v>No</x:v>
      </x:c>
      <x:c r="K315" t="str">
        <x:v>No</x:v>
      </x:c>
      <x:c r="L315" t="str">
        <x:f>IF(F315="","UNKNOWN",IF(F315&lt;'WELL INPUTS'!$B$11,"BELOW","OK"))</x:f>
        <x:v>OK</x:v>
      </x:c>
      <x:c r="M315" t="str">
        <x:f>IF(AND('WELL INPUTS'!$B$4="Wet",'WELL INPUTS'!$B$5&gt;0),IF(I315="Yes","CATALOG SOUR","NOT LISTED"),"N/A")</x:f>
        <x:v>N/A</x:v>
      </x:c>
      <x:c r="N315" t="str">
        <x:f>IF(AND('WELL INPUTS'!$B$4="Wet",'WELL INPUTS'!$B$6&gt;0),IF(J315="Yes","ALLOY FAMILY","CORROSION CONTROL"),"N/A")</x:f>
        <x:v>CORROSION CONTROL</x:v>
      </x:c>
      <x:c r="O315" t="str">
        <x:f>IF('WELL INPUTS'!$B$12="Yes",IF(G315="Yes","CLAIMED","NOT LISTED"),"N/A")</x:f>
        <x:v>N/A</x:v>
      </x:c>
      <x:c r="P315" t="str">
        <x:f>IF(OR('WELL INPUTS'!$B$13="Unrestricted",CODE(H315)&lt;=CODE('WELL INPUTS'!$B$13)),"WITHIN TIER","OVER CAP")</x:f>
        <x:v>WITHIN TIER</x:v>
      </x:c>
      <x:c r="Q315" t="n">
        <x:f>MAX(0,MIN(100,43+IF(L315="OK",14,-20)+IF(M315="CATALOG SOUR",24,IF(M315="NOT LISTED",-18,0))+IF(N315="ALLOY FAMILY",14,IF(N315="CORROSION CONTROL",-13,0))+IF(O315="CLAIMED",17,IF(O315="NOT LISTED",-14,0))+IF(K315="Yes",-15,0)+IF('WELL INPUTS'!$B$10="Yes",-17,0)))</x:f>
        <x:v>44</x:v>
      </x:c>
      <x:c r="R315" s="83" t="str">
        <x:f>IF(L315="BELOW","EXCLUDE — STRENGTH",IF(P315="OVER CAP","EXCLUDE — COST",IF(K315="Yes",IF('WELL INPUTS'!$B$14="No","EXCLUDE — REFERENCE","REFERENCE ONLY"),IF(OR(L315="UNKNOWN",M315="NOT LISTED",N315="CORROSION CONTROL",O315="NOT LISTED",'WELL INPUTS'!$B$10="Yes",'WELL INPUTS'!$B$4="Unknown"),"REVIEW","CANDIDATE — VERIFY"))))</x:f>
        <x:v>REVIEW</x:v>
      </x:c>
      <x:c r="S315" t="str">
        <x:f>IF(L315="BELOW","Increase minimum grade strength",IF(P315="OVER CAP","Relax cost tier or exclude",IF(K315="Yes","Identify qualified manufacturer grade",IF(M315="NOT LISTED","Confirm sour-service claim and ISO 15156",IF(O315="NOT LISTED","Obtain manufacturer collapse curve",IF(N315="CORROSION CONTROL","Model CO2 corrosion; review inhibition","Confirm corrosion, cracking, loads and connection"))))))</x:f>
        <x:v>Model CO2 corrosion; review inhibition</x:v>
      </x:c>
      <x:c r="T315" t="str">
        <x:v>https://www.voestalpine.com/tubulars/en/products/Proprietary-Grades/</x:v>
      </x:c>
    </x:row>
    <x:row r="316" ht="23" customHeight="1">
      <x:c r="A316" t="str">
        <x:v>OCTG-0315</x:v>
      </x:c>
      <x:c r="B316" t="str">
        <x:v>voestalpine Tubulars</x:v>
      </x:c>
      <x:c r="C316" t="str">
        <x:v>VA-EP-R95</x:v>
      </x:c>
      <x:c r="D316" t="str">
        <x:v>Carbon / low alloy</x:v>
      </x:c>
      <x:c r="E316" t="str">
        <x:v>Enhanced properties</x:v>
      </x:c>
      <x:c r="F316" s="82" t="n">
        <x:v>95</x:v>
      </x:c>
      <x:c r="G316" t="str">
        <x:v>No</x:v>
      </x:c>
      <x:c r="H316" t="str">
        <x:v>A</x:v>
      </x:c>
      <x:c r="I316" t="str">
        <x:v>No</x:v>
      </x:c>
      <x:c r="J316" t="str">
        <x:v>No</x:v>
      </x:c>
      <x:c r="K316" t="str">
        <x:v>No</x:v>
      </x:c>
      <x:c r="L316" t="str">
        <x:f>IF(F316="","UNKNOWN",IF(F316&lt;'WELL INPUTS'!$B$11,"BELOW","OK"))</x:f>
        <x:v>OK</x:v>
      </x:c>
      <x:c r="M316" t="str">
        <x:f>IF(AND('WELL INPUTS'!$B$4="Wet",'WELL INPUTS'!$B$5&gt;0),IF(I316="Yes","CATALOG SOUR","NOT LISTED"),"N/A")</x:f>
        <x:v>N/A</x:v>
      </x:c>
      <x:c r="N316" t="str">
        <x:f>IF(AND('WELL INPUTS'!$B$4="Wet",'WELL INPUTS'!$B$6&gt;0),IF(J316="Yes","ALLOY FAMILY","CORROSION CONTROL"),"N/A")</x:f>
        <x:v>CORROSION CONTROL</x:v>
      </x:c>
      <x:c r="O316" t="str">
        <x:f>IF('WELL INPUTS'!$B$12="Yes",IF(G316="Yes","CLAIMED","NOT LISTED"),"N/A")</x:f>
        <x:v>N/A</x:v>
      </x:c>
      <x:c r="P316" t="str">
        <x:f>IF(OR('WELL INPUTS'!$B$13="Unrestricted",CODE(H316)&lt;=CODE('WELL INPUTS'!$B$13)),"WITHIN TIER","OVER CAP")</x:f>
        <x:v>WITHIN TIER</x:v>
      </x:c>
      <x:c r="Q316" t="n">
        <x:f>MAX(0,MIN(100,43+IF(L316="OK",14,-20)+IF(M316="CATALOG SOUR",24,IF(M316="NOT LISTED",-18,0))+IF(N316="ALLOY FAMILY",14,IF(N316="CORROSION CONTROL",-13,0))+IF(O316="CLAIMED",17,IF(O316="NOT LISTED",-14,0))+IF(K316="Yes",-15,0)+IF('WELL INPUTS'!$B$10="Yes",-17,0)))</x:f>
        <x:v>44</x:v>
      </x:c>
      <x:c r="R316" s="83" t="str">
        <x:f>IF(L316="BELOW","EXCLUDE — STRENGTH",IF(P316="OVER CAP","EXCLUDE — COST",IF(K316="Yes",IF('WELL INPUTS'!$B$14="No","EXCLUDE — REFERENCE","REFERENCE ONLY"),IF(OR(L316="UNKNOWN",M316="NOT LISTED",N316="CORROSION CONTROL",O316="NOT LISTED",'WELL INPUTS'!$B$10="Yes",'WELL INPUTS'!$B$4="Unknown"),"REVIEW","CANDIDATE — VERIFY"))))</x:f>
        <x:v>REVIEW</x:v>
      </x:c>
      <x:c r="S316" t="str">
        <x:f>IF(L316="BELOW","Increase minimum grade strength",IF(P316="OVER CAP","Relax cost tier or exclude",IF(K316="Yes","Identify qualified manufacturer grade",IF(M316="NOT LISTED","Confirm sour-service claim and ISO 15156",IF(O316="NOT LISTED","Obtain manufacturer collapse curve",IF(N316="CORROSION CONTROL","Model CO2 corrosion; review inhibition","Confirm corrosion, cracking, loads and connection"))))))</x:f>
        <x:v>Model CO2 corrosion; review inhibition</x:v>
      </x:c>
      <x:c r="T316" t="str">
        <x:v>https://www.voestalpine.com/tubulars/en/products/Proprietary-Grades/</x:v>
      </x:c>
    </x:row>
    <x:row r="317" ht="23" customHeight="1">
      <x:c r="A317" t="str">
        <x:v>OCTG-0316</x:v>
      </x:c>
      <x:c r="B317" t="str">
        <x:v>voestalpine Tubulars</x:v>
      </x:c>
      <x:c r="C317" t="str">
        <x:v>VA-EP-T95</x:v>
      </x:c>
      <x:c r="D317" t="str">
        <x:v>Carbon / low alloy</x:v>
      </x:c>
      <x:c r="E317" t="str">
        <x:v>Enhanced properties</x:v>
      </x:c>
      <x:c r="F317" s="82" t="n">
        <x:v>95</x:v>
      </x:c>
      <x:c r="G317" t="str">
        <x:v>No</x:v>
      </x:c>
      <x:c r="H317" t="str">
        <x:v>A</x:v>
      </x:c>
      <x:c r="I317" t="str">
        <x:v>No</x:v>
      </x:c>
      <x:c r="J317" t="str">
        <x:v>No</x:v>
      </x:c>
      <x:c r="K317" t="str">
        <x:v>No</x:v>
      </x:c>
      <x:c r="L317" t="str">
        <x:f>IF(F317="","UNKNOWN",IF(F317&lt;'WELL INPUTS'!$B$11,"BELOW","OK"))</x:f>
        <x:v>OK</x:v>
      </x:c>
      <x:c r="M317" t="str">
        <x:f>IF(AND('WELL INPUTS'!$B$4="Wet",'WELL INPUTS'!$B$5&gt;0),IF(I317="Yes","CATALOG SOUR","NOT LISTED"),"N/A")</x:f>
        <x:v>N/A</x:v>
      </x:c>
      <x:c r="N317" t="str">
        <x:f>IF(AND('WELL INPUTS'!$B$4="Wet",'WELL INPUTS'!$B$6&gt;0),IF(J317="Yes","ALLOY FAMILY","CORROSION CONTROL"),"N/A")</x:f>
        <x:v>CORROSION CONTROL</x:v>
      </x:c>
      <x:c r="O317" t="str">
        <x:f>IF('WELL INPUTS'!$B$12="Yes",IF(G317="Yes","CLAIMED","NOT LISTED"),"N/A")</x:f>
        <x:v>N/A</x:v>
      </x:c>
      <x:c r="P317" t="str">
        <x:f>IF(OR('WELL INPUTS'!$B$13="Unrestricted",CODE(H317)&lt;=CODE('WELL INPUTS'!$B$13)),"WITHIN TIER","OVER CAP")</x:f>
        <x:v>WITHIN TIER</x:v>
      </x:c>
      <x:c r="Q317" t="n">
        <x:f>MAX(0,MIN(100,43+IF(L317="OK",14,-20)+IF(M317="CATALOG SOUR",24,IF(M317="NOT LISTED",-18,0))+IF(N317="ALLOY FAMILY",14,IF(N317="CORROSION CONTROL",-13,0))+IF(O317="CLAIMED",17,IF(O317="NOT LISTED",-14,0))+IF(K317="Yes",-15,0)+IF('WELL INPUTS'!$B$10="Yes",-17,0)))</x:f>
        <x:v>44</x:v>
      </x:c>
      <x:c r="R317" s="83" t="str">
        <x:f>IF(L317="BELOW","EXCLUDE — STRENGTH",IF(P317="OVER CAP","EXCLUDE — COST",IF(K317="Yes",IF('WELL INPUTS'!$B$14="No","EXCLUDE — REFERENCE","REFERENCE ONLY"),IF(OR(L317="UNKNOWN",M317="NOT LISTED",N317="CORROSION CONTROL",O317="NOT LISTED",'WELL INPUTS'!$B$10="Yes",'WELL INPUTS'!$B$4="Unknown"),"REVIEW","CANDIDATE — VERIFY"))))</x:f>
        <x:v>REVIEW</x:v>
      </x:c>
      <x:c r="S317" t="str">
        <x:f>IF(L317="BELOW","Increase minimum grade strength",IF(P317="OVER CAP","Relax cost tier or exclude",IF(K317="Yes","Identify qualified manufacturer grade",IF(M317="NOT LISTED","Confirm sour-service claim and ISO 15156",IF(O317="NOT LISTED","Obtain manufacturer collapse curve",IF(N317="CORROSION CONTROL","Model CO2 corrosion; review inhibition","Confirm corrosion, cracking, loads and connection"))))))</x:f>
        <x:v>Model CO2 corrosion; review inhibition</x:v>
      </x:c>
      <x:c r="T317" t="str">
        <x:v>https://www.voestalpine.com/tubulars/en/products/Proprietary-Grades/</x:v>
      </x:c>
    </x:row>
    <x:row r="318" ht="23" customHeight="1">
      <x:c r="A318" t="str">
        <x:v>OCTG-0317</x:v>
      </x:c>
      <x:c r="B318" t="str">
        <x:v>voestalpine Tubulars</x:v>
      </x:c>
      <x:c r="C318" t="str">
        <x:v>VA-HC-C110</x:v>
      </x:c>
      <x:c r="D318" t="str">
        <x:v>Carbon / low alloy</x:v>
      </x:c>
      <x:c r="E318" t="str">
        <x:v>High collapse</x:v>
      </x:c>
      <x:c r="F318" s="82" t="n">
        <x:v>110</x:v>
      </x:c>
      <x:c r="G318" t="str">
        <x:v>Yes</x:v>
      </x:c>
      <x:c r="H318" t="str">
        <x:v>A</x:v>
      </x:c>
      <x:c r="I318" t="str">
        <x:v>No</x:v>
      </x:c>
      <x:c r="J318" t="str">
        <x:v>No</x:v>
      </x:c>
      <x:c r="K318" t="str">
        <x:v>No</x:v>
      </x:c>
      <x:c r="L318" t="str">
        <x:f>IF(F318="","UNKNOWN",IF(F318&lt;'WELL INPUTS'!$B$11,"BELOW","OK"))</x:f>
        <x:v>OK</x:v>
      </x:c>
      <x:c r="M318" t="str">
        <x:f>IF(AND('WELL INPUTS'!$B$4="Wet",'WELL INPUTS'!$B$5&gt;0),IF(I318="Yes","CATALOG SOUR","NOT LISTED"),"N/A")</x:f>
        <x:v>N/A</x:v>
      </x:c>
      <x:c r="N318" t="str">
        <x:f>IF(AND('WELL INPUTS'!$B$4="Wet",'WELL INPUTS'!$B$6&gt;0),IF(J318="Yes","ALLOY FAMILY","CORROSION CONTROL"),"N/A")</x:f>
        <x:v>CORROSION CONTROL</x:v>
      </x:c>
      <x:c r="O318" t="str">
        <x:f>IF('WELL INPUTS'!$B$12="Yes",IF(G318="Yes","CLAIMED","NOT LISTED"),"N/A")</x:f>
        <x:v>N/A</x:v>
      </x:c>
      <x:c r="P318" t="str">
        <x:f>IF(OR('WELL INPUTS'!$B$13="Unrestricted",CODE(H318)&lt;=CODE('WELL INPUTS'!$B$13)),"WITHIN TIER","OVER CAP")</x:f>
        <x:v>WITHIN TIER</x:v>
      </x:c>
      <x:c r="Q318" t="n">
        <x:f>MAX(0,MIN(100,43+IF(L318="OK",14,-20)+IF(M318="CATALOG SOUR",24,IF(M318="NOT LISTED",-18,0))+IF(N318="ALLOY FAMILY",14,IF(N318="CORROSION CONTROL",-13,0))+IF(O318="CLAIMED",17,IF(O318="NOT LISTED",-14,0))+IF(K318="Yes",-15,0)+IF('WELL INPUTS'!$B$10="Yes",-17,0)))</x:f>
        <x:v>44</x:v>
      </x:c>
      <x:c r="R318" s="83" t="str">
        <x:f>IF(L318="BELOW","EXCLUDE — STRENGTH",IF(P318="OVER CAP","EXCLUDE — COST",IF(K318="Yes",IF('WELL INPUTS'!$B$14="No","EXCLUDE — REFERENCE","REFERENCE ONLY"),IF(OR(L318="UNKNOWN",M318="NOT LISTED",N318="CORROSION CONTROL",O318="NOT LISTED",'WELL INPUTS'!$B$10="Yes",'WELL INPUTS'!$B$4="Unknown"),"REVIEW","CANDIDATE — VERIFY"))))</x:f>
        <x:v>REVIEW</x:v>
      </x:c>
      <x:c r="S318" t="str">
        <x:f>IF(L318="BELOW","Increase minimum grade strength",IF(P318="OVER CAP","Relax cost tier or exclude",IF(K318="Yes","Identify qualified manufacturer grade",IF(M318="NOT LISTED","Confirm sour-service claim and ISO 15156",IF(O318="NOT LISTED","Obtain manufacturer collapse curve",IF(N318="CORROSION CONTROL","Model CO2 corrosion; review inhibition","Confirm corrosion, cracking, loads and connection"))))))</x:f>
        <x:v>Model CO2 corrosion; review inhibition</x:v>
      </x:c>
      <x:c r="T318" t="str">
        <x:v>https://www.voestalpine.com/tubulars/en/products/Proprietary-Grades/</x:v>
      </x:c>
    </x:row>
    <x:row r="319" ht="23" customHeight="1">
      <x:c r="A319" t="str">
        <x:v>OCTG-0318</x:v>
      </x:c>
      <x:c r="B319" t="str">
        <x:v>voestalpine Tubulars</x:v>
      </x:c>
      <x:c r="C319" t="str">
        <x:v>VA-HC-C90</x:v>
      </x:c>
      <x:c r="D319" t="str">
        <x:v>Carbon / low alloy</x:v>
      </x:c>
      <x:c r="E319" t="str">
        <x:v>High collapse</x:v>
      </x:c>
      <x:c r="F319" s="82" t="n">
        <x:v>90</x:v>
      </x:c>
      <x:c r="G319" t="str">
        <x:v>Yes</x:v>
      </x:c>
      <x:c r="H319" t="str">
        <x:v>A</x:v>
      </x:c>
      <x:c r="I319" t="str">
        <x:v>No</x:v>
      </x:c>
      <x:c r="J319" t="str">
        <x:v>No</x:v>
      </x:c>
      <x:c r="K319" t="str">
        <x:v>No</x:v>
      </x:c>
      <x:c r="L319" t="str">
        <x:f>IF(F319="","UNKNOWN",IF(F319&lt;'WELL INPUTS'!$B$11,"BELOW","OK"))</x:f>
        <x:v>OK</x:v>
      </x:c>
      <x:c r="M319" t="str">
        <x:f>IF(AND('WELL INPUTS'!$B$4="Wet",'WELL INPUTS'!$B$5&gt;0),IF(I319="Yes","CATALOG SOUR","NOT LISTED"),"N/A")</x:f>
        <x:v>N/A</x:v>
      </x:c>
      <x:c r="N319" t="str">
        <x:f>IF(AND('WELL INPUTS'!$B$4="Wet",'WELL INPUTS'!$B$6&gt;0),IF(J319="Yes","ALLOY FAMILY","CORROSION CONTROL"),"N/A")</x:f>
        <x:v>CORROSION CONTROL</x:v>
      </x:c>
      <x:c r="O319" t="str">
        <x:f>IF('WELL INPUTS'!$B$12="Yes",IF(G319="Yes","CLAIMED","NOT LISTED"),"N/A")</x:f>
        <x:v>N/A</x:v>
      </x:c>
      <x:c r="P319" t="str">
        <x:f>IF(OR('WELL INPUTS'!$B$13="Unrestricted",CODE(H319)&lt;=CODE('WELL INPUTS'!$B$13)),"WITHIN TIER","OVER CAP")</x:f>
        <x:v>WITHIN TIER</x:v>
      </x:c>
      <x:c r="Q319" t="n">
        <x:f>MAX(0,MIN(100,43+IF(L319="OK",14,-20)+IF(M319="CATALOG SOUR",24,IF(M319="NOT LISTED",-18,0))+IF(N319="ALLOY FAMILY",14,IF(N319="CORROSION CONTROL",-13,0))+IF(O319="CLAIMED",17,IF(O319="NOT LISTED",-14,0))+IF(K319="Yes",-15,0)+IF('WELL INPUTS'!$B$10="Yes",-17,0)))</x:f>
        <x:v>44</x:v>
      </x:c>
      <x:c r="R319" s="83" t="str">
        <x:f>IF(L319="BELOW","EXCLUDE — STRENGTH",IF(P319="OVER CAP","EXCLUDE — COST",IF(K319="Yes",IF('WELL INPUTS'!$B$14="No","EXCLUDE — REFERENCE","REFERENCE ONLY"),IF(OR(L319="UNKNOWN",M319="NOT LISTED",N319="CORROSION CONTROL",O319="NOT LISTED",'WELL INPUTS'!$B$10="Yes",'WELL INPUTS'!$B$4="Unknown"),"REVIEW","CANDIDATE — VERIFY"))))</x:f>
        <x:v>REVIEW</x:v>
      </x:c>
      <x:c r="S319" t="str">
        <x:f>IF(L319="BELOW","Increase minimum grade strength",IF(P319="OVER CAP","Relax cost tier or exclude",IF(K319="Yes","Identify qualified manufacturer grade",IF(M319="NOT LISTED","Confirm sour-service claim and ISO 15156",IF(O319="NOT LISTED","Obtain manufacturer collapse curve",IF(N319="CORROSION CONTROL","Model CO2 corrosion; review inhibition","Confirm corrosion, cracking, loads and connection"))))))</x:f>
        <x:v>Model CO2 corrosion; review inhibition</x:v>
      </x:c>
      <x:c r="T319" t="str">
        <x:v>https://www.voestalpine.com/tubulars/en/products/Proprietary-Grades/</x:v>
      </x:c>
    </x:row>
    <x:row r="320" ht="23" customHeight="1">
      <x:c r="A320" t="str">
        <x:v>OCTG-0319</x:v>
      </x:c>
      <x:c r="B320" t="str">
        <x:v>voestalpine Tubulars</x:v>
      </x:c>
      <x:c r="C320" t="str">
        <x:v>VA-HC-L80-1</x:v>
      </x:c>
      <x:c r="D320" t="str">
        <x:v>Carbon / low alloy</x:v>
      </x:c>
      <x:c r="E320" t="str">
        <x:v>High collapse</x:v>
      </x:c>
      <x:c r="F320" s="82" t="n">
        <x:v>80</x:v>
      </x:c>
      <x:c r="G320" t="str">
        <x:v>Yes</x:v>
      </x:c>
      <x:c r="H320" t="str">
        <x:v>A</x:v>
      </x:c>
      <x:c r="I320" t="str">
        <x:v>No</x:v>
      </x:c>
      <x:c r="J320" t="str">
        <x:v>No</x:v>
      </x:c>
      <x:c r="K320" t="str">
        <x:v>No</x:v>
      </x:c>
      <x:c r="L320" t="str">
        <x:f>IF(F320="","UNKNOWN",IF(F320&lt;'WELL INPUTS'!$B$11,"BELOW","OK"))</x:f>
        <x:v>OK</x:v>
      </x:c>
      <x:c r="M320" t="str">
        <x:f>IF(AND('WELL INPUTS'!$B$4="Wet",'WELL INPUTS'!$B$5&gt;0),IF(I320="Yes","CATALOG SOUR","NOT LISTED"),"N/A")</x:f>
        <x:v>N/A</x:v>
      </x:c>
      <x:c r="N320" t="str">
        <x:f>IF(AND('WELL INPUTS'!$B$4="Wet",'WELL INPUTS'!$B$6&gt;0),IF(J320="Yes","ALLOY FAMILY","CORROSION CONTROL"),"N/A")</x:f>
        <x:v>CORROSION CONTROL</x:v>
      </x:c>
      <x:c r="O320" t="str">
        <x:f>IF('WELL INPUTS'!$B$12="Yes",IF(G320="Yes","CLAIMED","NOT LISTED"),"N/A")</x:f>
        <x:v>N/A</x:v>
      </x:c>
      <x:c r="P320" t="str">
        <x:f>IF(OR('WELL INPUTS'!$B$13="Unrestricted",CODE(H320)&lt;=CODE('WELL INPUTS'!$B$13)),"WITHIN TIER","OVER CAP")</x:f>
        <x:v>WITHIN TIER</x:v>
      </x:c>
      <x:c r="Q320" t="n">
        <x:f>MAX(0,MIN(100,43+IF(L320="OK",14,-20)+IF(M320="CATALOG SOUR",24,IF(M320="NOT LISTED",-18,0))+IF(N320="ALLOY FAMILY",14,IF(N320="CORROSION CONTROL",-13,0))+IF(O320="CLAIMED",17,IF(O320="NOT LISTED",-14,0))+IF(K320="Yes",-15,0)+IF('WELL INPUTS'!$B$10="Yes",-17,0)))</x:f>
        <x:v>44</x:v>
      </x:c>
      <x:c r="R320" s="83" t="str">
        <x:f>IF(L320="BELOW","EXCLUDE — STRENGTH",IF(P320="OVER CAP","EXCLUDE — COST",IF(K320="Yes",IF('WELL INPUTS'!$B$14="No","EXCLUDE — REFERENCE","REFERENCE ONLY"),IF(OR(L320="UNKNOWN",M320="NOT LISTED",N320="CORROSION CONTROL",O320="NOT LISTED",'WELL INPUTS'!$B$10="Yes",'WELL INPUTS'!$B$4="Unknown"),"REVIEW","CANDIDATE — VERIFY"))))</x:f>
        <x:v>REVIEW</x:v>
      </x:c>
      <x:c r="S320" t="str">
        <x:f>IF(L320="BELOW","Increase minimum grade strength",IF(P320="OVER CAP","Relax cost tier or exclude",IF(K320="Yes","Identify qualified manufacturer grade",IF(M320="NOT LISTED","Confirm sour-service claim and ISO 15156",IF(O320="NOT LISTED","Obtain manufacturer collapse curve",IF(N320="CORROSION CONTROL","Model CO2 corrosion; review inhibition","Confirm corrosion, cracking, loads and connection"))))))</x:f>
        <x:v>Model CO2 corrosion; review inhibition</x:v>
      </x:c>
      <x:c r="T320" t="str">
        <x:v>https://www.voestalpine.com/tubulars/en/products/Proprietary-Grades/</x:v>
      </x:c>
    </x:row>
    <x:row r="321" ht="23" customHeight="1">
      <x:c r="A321" t="str">
        <x:v>OCTG-0320</x:v>
      </x:c>
      <x:c r="B321" t="str">
        <x:v>voestalpine Tubulars</x:v>
      </x:c>
      <x:c r="C321" t="str">
        <x:v>VA-HC-N80-Q</x:v>
      </x:c>
      <x:c r="D321" t="str">
        <x:v>Carbon / low alloy</x:v>
      </x:c>
      <x:c r="E321" t="str">
        <x:v>High collapse</x:v>
      </x:c>
      <x:c r="F321" s="82" t="n">
        <x:v>80</x:v>
      </x:c>
      <x:c r="G321" t="str">
        <x:v>Yes</x:v>
      </x:c>
      <x:c r="H321" t="str">
        <x:v>A</x:v>
      </x:c>
      <x:c r="I321" t="str">
        <x:v>No</x:v>
      </x:c>
      <x:c r="J321" t="str">
        <x:v>No</x:v>
      </x:c>
      <x:c r="K321" t="str">
        <x:v>No</x:v>
      </x:c>
      <x:c r="L321" t="str">
        <x:f>IF(F321="","UNKNOWN",IF(F321&lt;'WELL INPUTS'!$B$11,"BELOW","OK"))</x:f>
        <x:v>OK</x:v>
      </x:c>
      <x:c r="M321" t="str">
        <x:f>IF(AND('WELL INPUTS'!$B$4="Wet",'WELL INPUTS'!$B$5&gt;0),IF(I321="Yes","CATALOG SOUR","NOT LISTED"),"N/A")</x:f>
        <x:v>N/A</x:v>
      </x:c>
      <x:c r="N321" t="str">
        <x:f>IF(AND('WELL INPUTS'!$B$4="Wet",'WELL INPUTS'!$B$6&gt;0),IF(J321="Yes","ALLOY FAMILY","CORROSION CONTROL"),"N/A")</x:f>
        <x:v>CORROSION CONTROL</x:v>
      </x:c>
      <x:c r="O321" t="str">
        <x:f>IF('WELL INPUTS'!$B$12="Yes",IF(G321="Yes","CLAIMED","NOT LISTED"),"N/A")</x:f>
        <x:v>N/A</x:v>
      </x:c>
      <x:c r="P321" t="str">
        <x:f>IF(OR('WELL INPUTS'!$B$13="Unrestricted",CODE(H321)&lt;=CODE('WELL INPUTS'!$B$13)),"WITHIN TIER","OVER CAP")</x:f>
        <x:v>WITHIN TIER</x:v>
      </x:c>
      <x:c r="Q321" t="n">
        <x:f>MAX(0,MIN(100,43+IF(L321="OK",14,-20)+IF(M321="CATALOG SOUR",24,IF(M321="NOT LISTED",-18,0))+IF(N321="ALLOY FAMILY",14,IF(N321="CORROSION CONTROL",-13,0))+IF(O321="CLAIMED",17,IF(O321="NOT LISTED",-14,0))+IF(K321="Yes",-15,0)+IF('WELL INPUTS'!$B$10="Yes",-17,0)))</x:f>
        <x:v>44</x:v>
      </x:c>
      <x:c r="R321" s="83" t="str">
        <x:f>IF(L321="BELOW","EXCLUDE — STRENGTH",IF(P321="OVER CAP","EXCLUDE — COST",IF(K321="Yes",IF('WELL INPUTS'!$B$14="No","EXCLUDE — REFERENCE","REFERENCE ONLY"),IF(OR(L321="UNKNOWN",M321="NOT LISTED",N321="CORROSION CONTROL",O321="NOT LISTED",'WELL INPUTS'!$B$10="Yes",'WELL INPUTS'!$B$4="Unknown"),"REVIEW","CANDIDATE — VERIFY"))))</x:f>
        <x:v>REVIEW</x:v>
      </x:c>
      <x:c r="S321" t="str">
        <x:f>IF(L321="BELOW","Increase minimum grade strength",IF(P321="OVER CAP","Relax cost tier or exclude",IF(K321="Yes","Identify qualified manufacturer grade",IF(M321="NOT LISTED","Confirm sour-service claim and ISO 15156",IF(O321="NOT LISTED","Obtain manufacturer collapse curve",IF(N321="CORROSION CONTROL","Model CO2 corrosion; review inhibition","Confirm corrosion, cracking, loads and connection"))))))</x:f>
        <x:v>Model CO2 corrosion; review inhibition</x:v>
      </x:c>
      <x:c r="T321" t="str">
        <x:v>https://www.voestalpine.com/tubulars/en/products/Proprietary-Grades/</x:v>
      </x:c>
    </x:row>
    <x:row r="322" ht="23" customHeight="1">
      <x:c r="A322" t="str">
        <x:v>OCTG-0321</x:v>
      </x:c>
      <x:c r="B322" t="str">
        <x:v>voestalpine Tubulars</x:v>
      </x:c>
      <x:c r="C322" t="str">
        <x:v>VA-HC-P110</x:v>
      </x:c>
      <x:c r="D322" t="str">
        <x:v>Carbon / low alloy</x:v>
      </x:c>
      <x:c r="E322" t="str">
        <x:v>High collapse</x:v>
      </x:c>
      <x:c r="F322" s="82" t="n">
        <x:v>110</x:v>
      </x:c>
      <x:c r="G322" t="str">
        <x:v>Yes</x:v>
      </x:c>
      <x:c r="H322" t="str">
        <x:v>A</x:v>
      </x:c>
      <x:c r="I322" t="str">
        <x:v>No</x:v>
      </x:c>
      <x:c r="J322" t="str">
        <x:v>No</x:v>
      </x:c>
      <x:c r="K322" t="str">
        <x:v>No</x:v>
      </x:c>
      <x:c r="L322" t="str">
        <x:f>IF(F322="","UNKNOWN",IF(F322&lt;'WELL INPUTS'!$B$11,"BELOW","OK"))</x:f>
        <x:v>OK</x:v>
      </x:c>
      <x:c r="M322" t="str">
        <x:f>IF(AND('WELL INPUTS'!$B$4="Wet",'WELL INPUTS'!$B$5&gt;0),IF(I322="Yes","CATALOG SOUR","NOT LISTED"),"N/A")</x:f>
        <x:v>N/A</x:v>
      </x:c>
      <x:c r="N322" t="str">
        <x:f>IF(AND('WELL INPUTS'!$B$4="Wet",'WELL INPUTS'!$B$6&gt;0),IF(J322="Yes","ALLOY FAMILY","CORROSION CONTROL"),"N/A")</x:f>
        <x:v>CORROSION CONTROL</x:v>
      </x:c>
      <x:c r="O322" t="str">
        <x:f>IF('WELL INPUTS'!$B$12="Yes",IF(G322="Yes","CLAIMED","NOT LISTED"),"N/A")</x:f>
        <x:v>N/A</x:v>
      </x:c>
      <x:c r="P322" t="str">
        <x:f>IF(OR('WELL INPUTS'!$B$13="Unrestricted",CODE(H322)&lt;=CODE('WELL INPUTS'!$B$13)),"WITHIN TIER","OVER CAP")</x:f>
        <x:v>WITHIN TIER</x:v>
      </x:c>
      <x:c r="Q322" t="n">
        <x:f>MAX(0,MIN(100,43+IF(L322="OK",14,-20)+IF(M322="CATALOG SOUR",24,IF(M322="NOT LISTED",-18,0))+IF(N322="ALLOY FAMILY",14,IF(N322="CORROSION CONTROL",-13,0))+IF(O322="CLAIMED",17,IF(O322="NOT LISTED",-14,0))+IF(K322="Yes",-15,0)+IF('WELL INPUTS'!$B$10="Yes",-17,0)))</x:f>
        <x:v>44</x:v>
      </x:c>
      <x:c r="R322" s="83" t="str">
        <x:f>IF(L322="BELOW","EXCLUDE — STRENGTH",IF(P322="OVER CAP","EXCLUDE — COST",IF(K322="Yes",IF('WELL INPUTS'!$B$14="No","EXCLUDE — REFERENCE","REFERENCE ONLY"),IF(OR(L322="UNKNOWN",M322="NOT LISTED",N322="CORROSION CONTROL",O322="NOT LISTED",'WELL INPUTS'!$B$10="Yes",'WELL INPUTS'!$B$4="Unknown"),"REVIEW","CANDIDATE — VERIFY"))))</x:f>
        <x:v>REVIEW</x:v>
      </x:c>
      <x:c r="S322" t="str">
        <x:f>IF(L322="BELOW","Increase minimum grade strength",IF(P322="OVER CAP","Relax cost tier or exclude",IF(K322="Yes","Identify qualified manufacturer grade",IF(M322="NOT LISTED","Confirm sour-service claim and ISO 15156",IF(O322="NOT LISTED","Obtain manufacturer collapse curve",IF(N322="CORROSION CONTROL","Model CO2 corrosion; review inhibition","Confirm corrosion, cracking, loads and connection"))))))</x:f>
        <x:v>Model CO2 corrosion; review inhibition</x:v>
      </x:c>
      <x:c r="T322" t="str">
        <x:v>https://www.voestalpine.com/tubulars/en/products/Proprietary-Grades/</x:v>
      </x:c>
    </x:row>
    <x:row r="323" ht="23" customHeight="1">
      <x:c r="A323" t="str">
        <x:v>OCTG-0322</x:v>
      </x:c>
      <x:c r="B323" t="str">
        <x:v>voestalpine Tubulars</x:v>
      </x:c>
      <x:c r="C323" t="str">
        <x:v>VA-HC-Q125</x:v>
      </x:c>
      <x:c r="D323" t="str">
        <x:v>Carbon / low alloy</x:v>
      </x:c>
      <x:c r="E323" t="str">
        <x:v>High collapse</x:v>
      </x:c>
      <x:c r="F323" s="82" t="n">
        <x:v>125</x:v>
      </x:c>
      <x:c r="G323" t="str">
        <x:v>Yes</x:v>
      </x:c>
      <x:c r="H323" t="str">
        <x:v>A</x:v>
      </x:c>
      <x:c r="I323" t="str">
        <x:v>No</x:v>
      </x:c>
      <x:c r="J323" t="str">
        <x:v>No</x:v>
      </x:c>
      <x:c r="K323" t="str">
        <x:v>No</x:v>
      </x:c>
      <x:c r="L323" t="str">
        <x:f>IF(F323="","UNKNOWN",IF(F323&lt;'WELL INPUTS'!$B$11,"BELOW","OK"))</x:f>
        <x:v>OK</x:v>
      </x:c>
      <x:c r="M323" t="str">
        <x:f>IF(AND('WELL INPUTS'!$B$4="Wet",'WELL INPUTS'!$B$5&gt;0),IF(I323="Yes","CATALOG SOUR","NOT LISTED"),"N/A")</x:f>
        <x:v>N/A</x:v>
      </x:c>
      <x:c r="N323" t="str">
        <x:f>IF(AND('WELL INPUTS'!$B$4="Wet",'WELL INPUTS'!$B$6&gt;0),IF(J323="Yes","ALLOY FAMILY","CORROSION CONTROL"),"N/A")</x:f>
        <x:v>CORROSION CONTROL</x:v>
      </x:c>
      <x:c r="O323" t="str">
        <x:f>IF('WELL INPUTS'!$B$12="Yes",IF(G323="Yes","CLAIMED","NOT LISTED"),"N/A")</x:f>
        <x:v>N/A</x:v>
      </x:c>
      <x:c r="P323" t="str">
        <x:f>IF(OR('WELL INPUTS'!$B$13="Unrestricted",CODE(H323)&lt;=CODE('WELL INPUTS'!$B$13)),"WITHIN TIER","OVER CAP")</x:f>
        <x:v>WITHIN TIER</x:v>
      </x:c>
      <x:c r="Q323" t="n">
        <x:f>MAX(0,MIN(100,43+IF(L323="OK",14,-20)+IF(M323="CATALOG SOUR",24,IF(M323="NOT LISTED",-18,0))+IF(N323="ALLOY FAMILY",14,IF(N323="CORROSION CONTROL",-13,0))+IF(O323="CLAIMED",17,IF(O323="NOT LISTED",-14,0))+IF(K323="Yes",-15,0)+IF('WELL INPUTS'!$B$10="Yes",-17,0)))</x:f>
        <x:v>44</x:v>
      </x:c>
      <x:c r="R323" s="83" t="str">
        <x:f>IF(L323="BELOW","EXCLUDE — STRENGTH",IF(P323="OVER CAP","EXCLUDE — COST",IF(K323="Yes",IF('WELL INPUTS'!$B$14="No","EXCLUDE — REFERENCE","REFERENCE ONLY"),IF(OR(L323="UNKNOWN",M323="NOT LISTED",N323="CORROSION CONTROL",O323="NOT LISTED",'WELL INPUTS'!$B$10="Yes",'WELL INPUTS'!$B$4="Unknown"),"REVIEW","CANDIDATE — VERIFY"))))</x:f>
        <x:v>REVIEW</x:v>
      </x:c>
      <x:c r="S323" t="str">
        <x:f>IF(L323="BELOW","Increase minimum grade strength",IF(P323="OVER CAP","Relax cost tier or exclude",IF(K323="Yes","Identify qualified manufacturer grade",IF(M323="NOT LISTED","Confirm sour-service claim and ISO 15156",IF(O323="NOT LISTED","Obtain manufacturer collapse curve",IF(N323="CORROSION CONTROL","Model CO2 corrosion; review inhibition","Confirm corrosion, cracking, loads and connection"))))))</x:f>
        <x:v>Model CO2 corrosion; review inhibition</x:v>
      </x:c>
      <x:c r="T323" t="str">
        <x:v>https://www.voestalpine.com/tubulars/en/products/Proprietary-Grades/</x:v>
      </x:c>
    </x:row>
    <x:row r="324" ht="23" customHeight="1">
      <x:c r="A324" t="str">
        <x:v>OCTG-0323</x:v>
      </x:c>
      <x:c r="B324" t="str">
        <x:v>voestalpine Tubulars</x:v>
      </x:c>
      <x:c r="C324" t="str">
        <x:v>VA-HC-R95</x:v>
      </x:c>
      <x:c r="D324" t="str">
        <x:v>Carbon / low alloy</x:v>
      </x:c>
      <x:c r="E324" t="str">
        <x:v>High collapse</x:v>
      </x:c>
      <x:c r="F324" s="82" t="n">
        <x:v>95</x:v>
      </x:c>
      <x:c r="G324" t="str">
        <x:v>Yes</x:v>
      </x:c>
      <x:c r="H324" t="str">
        <x:v>A</x:v>
      </x:c>
      <x:c r="I324" t="str">
        <x:v>No</x:v>
      </x:c>
      <x:c r="J324" t="str">
        <x:v>No</x:v>
      </x:c>
      <x:c r="K324" t="str">
        <x:v>No</x:v>
      </x:c>
      <x:c r="L324" t="str">
        <x:f>IF(F324="","UNKNOWN",IF(F324&lt;'WELL INPUTS'!$B$11,"BELOW","OK"))</x:f>
        <x:v>OK</x:v>
      </x:c>
      <x:c r="M324" t="str">
        <x:f>IF(AND('WELL INPUTS'!$B$4="Wet",'WELL INPUTS'!$B$5&gt;0),IF(I324="Yes","CATALOG SOUR","NOT LISTED"),"N/A")</x:f>
        <x:v>N/A</x:v>
      </x:c>
      <x:c r="N324" t="str">
        <x:f>IF(AND('WELL INPUTS'!$B$4="Wet",'WELL INPUTS'!$B$6&gt;0),IF(J324="Yes","ALLOY FAMILY","CORROSION CONTROL"),"N/A")</x:f>
        <x:v>CORROSION CONTROL</x:v>
      </x:c>
      <x:c r="O324" t="str">
        <x:f>IF('WELL INPUTS'!$B$12="Yes",IF(G324="Yes","CLAIMED","NOT LISTED"),"N/A")</x:f>
        <x:v>N/A</x:v>
      </x:c>
      <x:c r="P324" t="str">
        <x:f>IF(OR('WELL INPUTS'!$B$13="Unrestricted",CODE(H324)&lt;=CODE('WELL INPUTS'!$B$13)),"WITHIN TIER","OVER CAP")</x:f>
        <x:v>WITHIN TIER</x:v>
      </x:c>
      <x:c r="Q324" t="n">
        <x:f>MAX(0,MIN(100,43+IF(L324="OK",14,-20)+IF(M324="CATALOG SOUR",24,IF(M324="NOT LISTED",-18,0))+IF(N324="ALLOY FAMILY",14,IF(N324="CORROSION CONTROL",-13,0))+IF(O324="CLAIMED",17,IF(O324="NOT LISTED",-14,0))+IF(K324="Yes",-15,0)+IF('WELL INPUTS'!$B$10="Yes",-17,0)))</x:f>
        <x:v>44</x:v>
      </x:c>
      <x:c r="R324" s="83" t="str">
        <x:f>IF(L324="BELOW","EXCLUDE — STRENGTH",IF(P324="OVER CAP","EXCLUDE — COST",IF(K324="Yes",IF('WELL INPUTS'!$B$14="No","EXCLUDE — REFERENCE","REFERENCE ONLY"),IF(OR(L324="UNKNOWN",M324="NOT LISTED",N324="CORROSION CONTROL",O324="NOT LISTED",'WELL INPUTS'!$B$10="Yes",'WELL INPUTS'!$B$4="Unknown"),"REVIEW","CANDIDATE — VERIFY"))))</x:f>
        <x:v>REVIEW</x:v>
      </x:c>
      <x:c r="S324" t="str">
        <x:f>IF(L324="BELOW","Increase minimum grade strength",IF(P324="OVER CAP","Relax cost tier or exclude",IF(K324="Yes","Identify qualified manufacturer grade",IF(M324="NOT LISTED","Confirm sour-service claim and ISO 15156",IF(O324="NOT LISTED","Obtain manufacturer collapse curve",IF(N324="CORROSION CONTROL","Model CO2 corrosion; review inhibition","Confirm corrosion, cracking, loads and connection"))))))</x:f>
        <x:v>Model CO2 corrosion; review inhibition</x:v>
      </x:c>
      <x:c r="T324" t="str">
        <x:v>https://www.voestalpine.com/tubulars/en/products/Proprietary-Grades/</x:v>
      </x:c>
    </x:row>
    <x:row r="325" ht="23" customHeight="1">
      <x:c r="A325" t="str">
        <x:v>OCTG-0324</x:v>
      </x:c>
      <x:c r="B325" t="str">
        <x:v>voestalpine Tubulars</x:v>
      </x:c>
      <x:c r="C325" t="str">
        <x:v>VA-HC-T95</x:v>
      </x:c>
      <x:c r="D325" t="str">
        <x:v>Carbon / low alloy</x:v>
      </x:c>
      <x:c r="E325" t="str">
        <x:v>High collapse</x:v>
      </x:c>
      <x:c r="F325" s="82" t="n">
        <x:v>95</x:v>
      </x:c>
      <x:c r="G325" t="str">
        <x:v>Yes</x:v>
      </x:c>
      <x:c r="H325" t="str">
        <x:v>A</x:v>
      </x:c>
      <x:c r="I325" t="str">
        <x:v>No</x:v>
      </x:c>
      <x:c r="J325" t="str">
        <x:v>No</x:v>
      </x:c>
      <x:c r="K325" t="str">
        <x:v>No</x:v>
      </x:c>
      <x:c r="L325" t="str">
        <x:f>IF(F325="","UNKNOWN",IF(F325&lt;'WELL INPUTS'!$B$11,"BELOW","OK"))</x:f>
        <x:v>OK</x:v>
      </x:c>
      <x:c r="M325" t="str">
        <x:f>IF(AND('WELL INPUTS'!$B$4="Wet",'WELL INPUTS'!$B$5&gt;0),IF(I325="Yes","CATALOG SOUR","NOT LISTED"),"N/A")</x:f>
        <x:v>N/A</x:v>
      </x:c>
      <x:c r="N325" t="str">
        <x:f>IF(AND('WELL INPUTS'!$B$4="Wet",'WELL INPUTS'!$B$6&gt;0),IF(J325="Yes","ALLOY FAMILY","CORROSION CONTROL"),"N/A")</x:f>
        <x:v>CORROSION CONTROL</x:v>
      </x:c>
      <x:c r="O325" t="str">
        <x:f>IF('WELL INPUTS'!$B$12="Yes",IF(G325="Yes","CLAIMED","NOT LISTED"),"N/A")</x:f>
        <x:v>N/A</x:v>
      </x:c>
      <x:c r="P325" t="str">
        <x:f>IF(OR('WELL INPUTS'!$B$13="Unrestricted",CODE(H325)&lt;=CODE('WELL INPUTS'!$B$13)),"WITHIN TIER","OVER CAP")</x:f>
        <x:v>WITHIN TIER</x:v>
      </x:c>
      <x:c r="Q325" t="n">
        <x:f>MAX(0,MIN(100,43+IF(L325="OK",14,-20)+IF(M325="CATALOG SOUR",24,IF(M325="NOT LISTED",-18,0))+IF(N325="ALLOY FAMILY",14,IF(N325="CORROSION CONTROL",-13,0))+IF(O325="CLAIMED",17,IF(O325="NOT LISTED",-14,0))+IF(K325="Yes",-15,0)+IF('WELL INPUTS'!$B$10="Yes",-17,0)))</x:f>
        <x:v>44</x:v>
      </x:c>
      <x:c r="R325" s="83" t="str">
        <x:f>IF(L325="BELOW","EXCLUDE — STRENGTH",IF(P325="OVER CAP","EXCLUDE — COST",IF(K325="Yes",IF('WELL INPUTS'!$B$14="No","EXCLUDE — REFERENCE","REFERENCE ONLY"),IF(OR(L325="UNKNOWN",M325="NOT LISTED",N325="CORROSION CONTROL",O325="NOT LISTED",'WELL INPUTS'!$B$10="Yes",'WELL INPUTS'!$B$4="Unknown"),"REVIEW","CANDIDATE — VERIFY"))))</x:f>
        <x:v>REVIEW</x:v>
      </x:c>
      <x:c r="S325" t="str">
        <x:f>IF(L325="BELOW","Increase minimum grade strength",IF(P325="OVER CAP","Relax cost tier or exclude",IF(K325="Yes","Identify qualified manufacturer grade",IF(M325="NOT LISTED","Confirm sour-service claim and ISO 15156",IF(O325="NOT LISTED","Obtain manufacturer collapse curve",IF(N325="CORROSION CONTROL","Model CO2 corrosion; review inhibition","Confirm corrosion, cracking, loads and connection"))))))</x:f>
        <x:v>Model CO2 corrosion; review inhibition</x:v>
      </x:c>
      <x:c r="T325" t="str">
        <x:v>https://www.voestalpine.com/tubulars/en/products/Proprietary-Grades/</x:v>
      </x:c>
    </x:row>
    <x:row r="326" ht="23" customHeight="1">
      <x:c r="A326" t="str">
        <x:v>OCTG-0325</x:v>
      </x:c>
      <x:c r="B326" t="str">
        <x:v>voestalpine Tubulars</x:v>
      </x:c>
      <x:c r="C326" t="str">
        <x:v>VA-LT-C110</x:v>
      </x:c>
      <x:c r="D326" t="str">
        <x:v>Carbon / low alloy</x:v>
      </x:c>
      <x:c r="E326" t="str">
        <x:v>Low temperature</x:v>
      </x:c>
      <x:c r="F326" s="82" t="n">
        <x:v>110</x:v>
      </x:c>
      <x:c r="G326" t="str">
        <x:v>No</x:v>
      </x:c>
      <x:c r="H326" t="str">
        <x:v>A</x:v>
      </x:c>
      <x:c r="I326" t="str">
        <x:v>No</x:v>
      </x:c>
      <x:c r="J326" t="str">
        <x:v>No</x:v>
      </x:c>
      <x:c r="K326" t="str">
        <x:v>No</x:v>
      </x:c>
      <x:c r="L326" t="str">
        <x:f>IF(F326="","UNKNOWN",IF(F326&lt;'WELL INPUTS'!$B$11,"BELOW","OK"))</x:f>
        <x:v>OK</x:v>
      </x:c>
      <x:c r="M326" t="str">
        <x:f>IF(AND('WELL INPUTS'!$B$4="Wet",'WELL INPUTS'!$B$5&gt;0),IF(I326="Yes","CATALOG SOUR","NOT LISTED"),"N/A")</x:f>
        <x:v>N/A</x:v>
      </x:c>
      <x:c r="N326" t="str">
        <x:f>IF(AND('WELL INPUTS'!$B$4="Wet",'WELL INPUTS'!$B$6&gt;0),IF(J326="Yes","ALLOY FAMILY","CORROSION CONTROL"),"N/A")</x:f>
        <x:v>CORROSION CONTROL</x:v>
      </x:c>
      <x:c r="O326" t="str">
        <x:f>IF('WELL INPUTS'!$B$12="Yes",IF(G326="Yes","CLAIMED","NOT LISTED"),"N/A")</x:f>
        <x:v>N/A</x:v>
      </x:c>
      <x:c r="P326" t="str">
        <x:f>IF(OR('WELL INPUTS'!$B$13="Unrestricted",CODE(H326)&lt;=CODE('WELL INPUTS'!$B$13)),"WITHIN TIER","OVER CAP")</x:f>
        <x:v>WITHIN TIER</x:v>
      </x:c>
      <x:c r="Q326" t="n">
        <x:f>MAX(0,MIN(100,43+IF(L326="OK",14,-20)+IF(M326="CATALOG SOUR",24,IF(M326="NOT LISTED",-18,0))+IF(N326="ALLOY FAMILY",14,IF(N326="CORROSION CONTROL",-13,0))+IF(O326="CLAIMED",17,IF(O326="NOT LISTED",-14,0))+IF(K326="Yes",-15,0)+IF('WELL INPUTS'!$B$10="Yes",-17,0)))</x:f>
        <x:v>44</x:v>
      </x:c>
      <x:c r="R326" s="83" t="str">
        <x:f>IF(L326="BELOW","EXCLUDE — STRENGTH",IF(P326="OVER CAP","EXCLUDE — COST",IF(K326="Yes",IF('WELL INPUTS'!$B$14="No","EXCLUDE — REFERENCE","REFERENCE ONLY"),IF(OR(L326="UNKNOWN",M326="NOT LISTED",N326="CORROSION CONTROL",O326="NOT LISTED",'WELL INPUTS'!$B$10="Yes",'WELL INPUTS'!$B$4="Unknown"),"REVIEW","CANDIDATE — VERIFY"))))</x:f>
        <x:v>REVIEW</x:v>
      </x:c>
      <x:c r="S326" t="str">
        <x:f>IF(L326="BELOW","Increase minimum grade strength",IF(P326="OVER CAP","Relax cost tier or exclude",IF(K326="Yes","Identify qualified manufacturer grade",IF(M326="NOT LISTED","Confirm sour-service claim and ISO 15156",IF(O326="NOT LISTED","Obtain manufacturer collapse curve",IF(N326="CORROSION CONTROL","Model CO2 corrosion; review inhibition","Confirm corrosion, cracking, loads and connection"))))))</x:f>
        <x:v>Model CO2 corrosion; review inhibition</x:v>
      </x:c>
      <x:c r="T326" t="str">
        <x:v>https://www.voestalpine.com/tubulars/en/products/Proprietary-Grades/</x:v>
      </x:c>
    </x:row>
    <x:row r="327" ht="23" customHeight="1">
      <x:c r="A327" t="str">
        <x:v>OCTG-0326</x:v>
      </x:c>
      <x:c r="B327" t="str">
        <x:v>voestalpine Tubulars</x:v>
      </x:c>
      <x:c r="C327" t="str">
        <x:v>VA-LT-C90</x:v>
      </x:c>
      <x:c r="D327" t="str">
        <x:v>Carbon / low alloy</x:v>
      </x:c>
      <x:c r="E327" t="str">
        <x:v>Low temperature</x:v>
      </x:c>
      <x:c r="F327" s="82" t="n">
        <x:v>90</x:v>
      </x:c>
      <x:c r="G327" t="str">
        <x:v>No</x:v>
      </x:c>
      <x:c r="H327" t="str">
        <x:v>A</x:v>
      </x:c>
      <x:c r="I327" t="str">
        <x:v>No</x:v>
      </x:c>
      <x:c r="J327" t="str">
        <x:v>No</x:v>
      </x:c>
      <x:c r="K327" t="str">
        <x:v>No</x:v>
      </x:c>
      <x:c r="L327" t="str">
        <x:f>IF(F327="","UNKNOWN",IF(F327&lt;'WELL INPUTS'!$B$11,"BELOW","OK"))</x:f>
        <x:v>OK</x:v>
      </x:c>
      <x:c r="M327" t="str">
        <x:f>IF(AND('WELL INPUTS'!$B$4="Wet",'WELL INPUTS'!$B$5&gt;0),IF(I327="Yes","CATALOG SOUR","NOT LISTED"),"N/A")</x:f>
        <x:v>N/A</x:v>
      </x:c>
      <x:c r="N327" t="str">
        <x:f>IF(AND('WELL INPUTS'!$B$4="Wet",'WELL INPUTS'!$B$6&gt;0),IF(J327="Yes","ALLOY FAMILY","CORROSION CONTROL"),"N/A")</x:f>
        <x:v>CORROSION CONTROL</x:v>
      </x:c>
      <x:c r="O327" t="str">
        <x:f>IF('WELL INPUTS'!$B$12="Yes",IF(G327="Yes","CLAIMED","NOT LISTED"),"N/A")</x:f>
        <x:v>N/A</x:v>
      </x:c>
      <x:c r="P327" t="str">
        <x:f>IF(OR('WELL INPUTS'!$B$13="Unrestricted",CODE(H327)&lt;=CODE('WELL INPUTS'!$B$13)),"WITHIN TIER","OVER CAP")</x:f>
        <x:v>WITHIN TIER</x:v>
      </x:c>
      <x:c r="Q327" t="n">
        <x:f>MAX(0,MIN(100,43+IF(L327="OK",14,-20)+IF(M327="CATALOG SOUR",24,IF(M327="NOT LISTED",-18,0))+IF(N327="ALLOY FAMILY",14,IF(N327="CORROSION CONTROL",-13,0))+IF(O327="CLAIMED",17,IF(O327="NOT LISTED",-14,0))+IF(K327="Yes",-15,0)+IF('WELL INPUTS'!$B$10="Yes",-17,0)))</x:f>
        <x:v>44</x:v>
      </x:c>
      <x:c r="R327" s="83" t="str">
        <x:f>IF(L327="BELOW","EXCLUDE — STRENGTH",IF(P327="OVER CAP","EXCLUDE — COST",IF(K327="Yes",IF('WELL INPUTS'!$B$14="No","EXCLUDE — REFERENCE","REFERENCE ONLY"),IF(OR(L327="UNKNOWN",M327="NOT LISTED",N327="CORROSION CONTROL",O327="NOT LISTED",'WELL INPUTS'!$B$10="Yes",'WELL INPUTS'!$B$4="Unknown"),"REVIEW","CANDIDATE — VERIFY"))))</x:f>
        <x:v>REVIEW</x:v>
      </x:c>
      <x:c r="S327" t="str">
        <x:f>IF(L327="BELOW","Increase minimum grade strength",IF(P327="OVER CAP","Relax cost tier or exclude",IF(K327="Yes","Identify qualified manufacturer grade",IF(M327="NOT LISTED","Confirm sour-service claim and ISO 15156",IF(O327="NOT LISTED","Obtain manufacturer collapse curve",IF(N327="CORROSION CONTROL","Model CO2 corrosion; review inhibition","Confirm corrosion, cracking, loads and connection"))))))</x:f>
        <x:v>Model CO2 corrosion; review inhibition</x:v>
      </x:c>
      <x:c r="T327" t="str">
        <x:v>https://www.voestalpine.com/tubulars/en/products/Proprietary-Grades/</x:v>
      </x:c>
    </x:row>
    <x:row r="328" ht="23" customHeight="1">
      <x:c r="A328" t="str">
        <x:v>OCTG-0327</x:v>
      </x:c>
      <x:c r="B328" t="str">
        <x:v>voestalpine Tubulars</x:v>
      </x:c>
      <x:c r="C328" t="str">
        <x:v>VA-LT-J55</x:v>
      </x:c>
      <x:c r="D328" t="str">
        <x:v>Carbon / low alloy</x:v>
      </x:c>
      <x:c r="E328" t="str">
        <x:v>Low temperature</x:v>
      </x:c>
      <x:c r="F328" s="82" t="n">
        <x:v>55</x:v>
      </x:c>
      <x:c r="G328" t="str">
        <x:v>No</x:v>
      </x:c>
      <x:c r="H328" t="str">
        <x:v>A</x:v>
      </x:c>
      <x:c r="I328" t="str">
        <x:v>No</x:v>
      </x:c>
      <x:c r="J328" t="str">
        <x:v>No</x:v>
      </x:c>
      <x:c r="K328" t="str">
        <x:v>No</x:v>
      </x:c>
      <x:c r="L328" t="str">
        <x:f>IF(F328="","UNKNOWN",IF(F328&lt;'WELL INPUTS'!$B$11,"BELOW","OK"))</x:f>
        <x:v>BELOW</x:v>
      </x:c>
      <x:c r="M328" t="str">
        <x:f>IF(AND('WELL INPUTS'!$B$4="Wet",'WELL INPUTS'!$B$5&gt;0),IF(I328="Yes","CATALOG SOUR","NOT LISTED"),"N/A")</x:f>
        <x:v>N/A</x:v>
      </x:c>
      <x:c r="N328" t="str">
        <x:f>IF(AND('WELL INPUTS'!$B$4="Wet",'WELL INPUTS'!$B$6&gt;0),IF(J328="Yes","ALLOY FAMILY","CORROSION CONTROL"),"N/A")</x:f>
        <x:v>CORROSION CONTROL</x:v>
      </x:c>
      <x:c r="O328" t="str">
        <x:f>IF('WELL INPUTS'!$B$12="Yes",IF(G328="Yes","CLAIMED","NOT LISTED"),"N/A")</x:f>
        <x:v>N/A</x:v>
      </x:c>
      <x:c r="P328" t="str">
        <x:f>IF(OR('WELL INPUTS'!$B$13="Unrestricted",CODE(H328)&lt;=CODE('WELL INPUTS'!$B$13)),"WITHIN TIER","OVER CAP")</x:f>
        <x:v>WITHIN TIER</x:v>
      </x:c>
      <x:c r="Q328" t="n">
        <x:f>MAX(0,MIN(100,43+IF(L328="OK",14,-20)+IF(M328="CATALOG SOUR",24,IF(M328="NOT LISTED",-18,0))+IF(N328="ALLOY FAMILY",14,IF(N328="CORROSION CONTROL",-13,0))+IF(O328="CLAIMED",17,IF(O328="NOT LISTED",-14,0))+IF(K328="Yes",-15,0)+IF('WELL INPUTS'!$B$10="Yes",-17,0)))</x:f>
        <x:v>10</x:v>
      </x:c>
      <x:c r="R328" s="83" t="str">
        <x:f>IF(L328="BELOW","EXCLUDE — STRENGTH",IF(P328="OVER CAP","EXCLUDE — COST",IF(K328="Yes",IF('WELL INPUTS'!$B$14="No","EXCLUDE — REFERENCE","REFERENCE ONLY"),IF(OR(L328="UNKNOWN",M328="NOT LISTED",N328="CORROSION CONTROL",O328="NOT LISTED",'WELL INPUTS'!$B$10="Yes",'WELL INPUTS'!$B$4="Unknown"),"REVIEW","CANDIDATE — VERIFY"))))</x:f>
        <x:v>EXCLUDE — STRENGTH</x:v>
      </x:c>
      <x:c r="S328" t="str">
        <x:f>IF(L328="BELOW","Increase minimum grade strength",IF(P328="OVER CAP","Relax cost tier or exclude",IF(K328="Yes","Identify qualified manufacturer grade",IF(M328="NOT LISTED","Confirm sour-service claim and ISO 15156",IF(O328="NOT LISTED","Obtain manufacturer collapse curve",IF(N328="CORROSION CONTROL","Model CO2 corrosion; review inhibition","Confirm corrosion, cracking, loads and connection"))))))</x:f>
        <x:v>Increase minimum grade strength</x:v>
      </x:c>
      <x:c r="T328" t="str">
        <x:v>https://www.voestalpine.com/tubulars/en/products/Proprietary-Grades/</x:v>
      </x:c>
    </x:row>
    <x:row r="329" ht="23" customHeight="1">
      <x:c r="A329" t="str">
        <x:v>OCTG-0328</x:v>
      </x:c>
      <x:c r="B329" t="str">
        <x:v>voestalpine Tubulars</x:v>
      </x:c>
      <x:c r="C329" t="str">
        <x:v>VA-LT-K55</x:v>
      </x:c>
      <x:c r="D329" t="str">
        <x:v>Carbon / low alloy</x:v>
      </x:c>
      <x:c r="E329" t="str">
        <x:v>Low temperature</x:v>
      </x:c>
      <x:c r="F329" s="82" t="n">
        <x:v>55</x:v>
      </x:c>
      <x:c r="G329" t="str">
        <x:v>No</x:v>
      </x:c>
      <x:c r="H329" t="str">
        <x:v>A</x:v>
      </x:c>
      <x:c r="I329" t="str">
        <x:v>No</x:v>
      </x:c>
      <x:c r="J329" t="str">
        <x:v>No</x:v>
      </x:c>
      <x:c r="K329" t="str">
        <x:v>No</x:v>
      </x:c>
      <x:c r="L329" t="str">
        <x:f>IF(F329="","UNKNOWN",IF(F329&lt;'WELL INPUTS'!$B$11,"BELOW","OK"))</x:f>
        <x:v>BELOW</x:v>
      </x:c>
      <x:c r="M329" t="str">
        <x:f>IF(AND('WELL INPUTS'!$B$4="Wet",'WELL INPUTS'!$B$5&gt;0),IF(I329="Yes","CATALOG SOUR","NOT LISTED"),"N/A")</x:f>
        <x:v>N/A</x:v>
      </x:c>
      <x:c r="N329" t="str">
        <x:f>IF(AND('WELL INPUTS'!$B$4="Wet",'WELL INPUTS'!$B$6&gt;0),IF(J329="Yes","ALLOY FAMILY","CORROSION CONTROL"),"N/A")</x:f>
        <x:v>CORROSION CONTROL</x:v>
      </x:c>
      <x:c r="O329" t="str">
        <x:f>IF('WELL INPUTS'!$B$12="Yes",IF(G329="Yes","CLAIMED","NOT LISTED"),"N/A")</x:f>
        <x:v>N/A</x:v>
      </x:c>
      <x:c r="P329" t="str">
        <x:f>IF(OR('WELL INPUTS'!$B$13="Unrestricted",CODE(H329)&lt;=CODE('WELL INPUTS'!$B$13)),"WITHIN TIER","OVER CAP")</x:f>
        <x:v>WITHIN TIER</x:v>
      </x:c>
      <x:c r="Q329" t="n">
        <x:f>MAX(0,MIN(100,43+IF(L329="OK",14,-20)+IF(M329="CATALOG SOUR",24,IF(M329="NOT LISTED",-18,0))+IF(N329="ALLOY FAMILY",14,IF(N329="CORROSION CONTROL",-13,0))+IF(O329="CLAIMED",17,IF(O329="NOT LISTED",-14,0))+IF(K329="Yes",-15,0)+IF('WELL INPUTS'!$B$10="Yes",-17,0)))</x:f>
        <x:v>10</x:v>
      </x:c>
      <x:c r="R329" s="83" t="str">
        <x:f>IF(L329="BELOW","EXCLUDE — STRENGTH",IF(P329="OVER CAP","EXCLUDE — COST",IF(K329="Yes",IF('WELL INPUTS'!$B$14="No","EXCLUDE — REFERENCE","REFERENCE ONLY"),IF(OR(L329="UNKNOWN",M329="NOT LISTED",N329="CORROSION CONTROL",O329="NOT LISTED",'WELL INPUTS'!$B$10="Yes",'WELL INPUTS'!$B$4="Unknown"),"REVIEW","CANDIDATE — VERIFY"))))</x:f>
        <x:v>EXCLUDE — STRENGTH</x:v>
      </x:c>
      <x:c r="S329" t="str">
        <x:f>IF(L329="BELOW","Increase minimum grade strength",IF(P329="OVER CAP","Relax cost tier or exclude",IF(K329="Yes","Identify qualified manufacturer grade",IF(M329="NOT LISTED","Confirm sour-service claim and ISO 15156",IF(O329="NOT LISTED","Obtain manufacturer collapse curve",IF(N329="CORROSION CONTROL","Model CO2 corrosion; review inhibition","Confirm corrosion, cracking, loads and connection"))))))</x:f>
        <x:v>Increase minimum grade strength</x:v>
      </x:c>
      <x:c r="T329" t="str">
        <x:v>https://www.voestalpine.com/tubulars/en/products/Proprietary-Grades/</x:v>
      </x:c>
    </x:row>
    <x:row r="330" ht="23" customHeight="1">
      <x:c r="A330" t="str">
        <x:v>OCTG-0329</x:v>
      </x:c>
      <x:c r="B330" t="str">
        <x:v>voestalpine Tubulars</x:v>
      </x:c>
      <x:c r="C330" t="str">
        <x:v>VA-LT-L80-1</x:v>
      </x:c>
      <x:c r="D330" t="str">
        <x:v>Carbon / low alloy</x:v>
      </x:c>
      <x:c r="E330" t="str">
        <x:v>Low temperature</x:v>
      </x:c>
      <x:c r="F330" s="82" t="n">
        <x:v>80</x:v>
      </x:c>
      <x:c r="G330" t="str">
        <x:v>No</x:v>
      </x:c>
      <x:c r="H330" t="str">
        <x:v>A</x:v>
      </x:c>
      <x:c r="I330" t="str">
        <x:v>No</x:v>
      </x:c>
      <x:c r="J330" t="str">
        <x:v>No</x:v>
      </x:c>
      <x:c r="K330" t="str">
        <x:v>No</x:v>
      </x:c>
      <x:c r="L330" t="str">
        <x:f>IF(F330="","UNKNOWN",IF(F330&lt;'WELL INPUTS'!$B$11,"BELOW","OK"))</x:f>
        <x:v>OK</x:v>
      </x:c>
      <x:c r="M330" t="str">
        <x:f>IF(AND('WELL INPUTS'!$B$4="Wet",'WELL INPUTS'!$B$5&gt;0),IF(I330="Yes","CATALOG SOUR","NOT LISTED"),"N/A")</x:f>
        <x:v>N/A</x:v>
      </x:c>
      <x:c r="N330" t="str">
        <x:f>IF(AND('WELL INPUTS'!$B$4="Wet",'WELL INPUTS'!$B$6&gt;0),IF(J330="Yes","ALLOY FAMILY","CORROSION CONTROL"),"N/A")</x:f>
        <x:v>CORROSION CONTROL</x:v>
      </x:c>
      <x:c r="O330" t="str">
        <x:f>IF('WELL INPUTS'!$B$12="Yes",IF(G330="Yes","CLAIMED","NOT LISTED"),"N/A")</x:f>
        <x:v>N/A</x:v>
      </x:c>
      <x:c r="P330" t="str">
        <x:f>IF(OR('WELL INPUTS'!$B$13="Unrestricted",CODE(H330)&lt;=CODE('WELL INPUTS'!$B$13)),"WITHIN TIER","OVER CAP")</x:f>
        <x:v>WITHIN TIER</x:v>
      </x:c>
      <x:c r="Q330" t="n">
        <x:f>MAX(0,MIN(100,43+IF(L330="OK",14,-20)+IF(M330="CATALOG SOUR",24,IF(M330="NOT LISTED",-18,0))+IF(N330="ALLOY FAMILY",14,IF(N330="CORROSION CONTROL",-13,0))+IF(O330="CLAIMED",17,IF(O330="NOT LISTED",-14,0))+IF(K330="Yes",-15,0)+IF('WELL INPUTS'!$B$10="Yes",-17,0)))</x:f>
        <x:v>44</x:v>
      </x:c>
      <x:c r="R330" s="83" t="str">
        <x:f>IF(L330="BELOW","EXCLUDE — STRENGTH",IF(P330="OVER CAP","EXCLUDE — COST",IF(K330="Yes",IF('WELL INPUTS'!$B$14="No","EXCLUDE — REFERENCE","REFERENCE ONLY"),IF(OR(L330="UNKNOWN",M330="NOT LISTED",N330="CORROSION CONTROL",O330="NOT LISTED",'WELL INPUTS'!$B$10="Yes",'WELL INPUTS'!$B$4="Unknown"),"REVIEW","CANDIDATE — VERIFY"))))</x:f>
        <x:v>REVIEW</x:v>
      </x:c>
      <x:c r="S330" t="str">
        <x:f>IF(L330="BELOW","Increase minimum grade strength",IF(P330="OVER CAP","Relax cost tier or exclude",IF(K330="Yes","Identify qualified manufacturer grade",IF(M330="NOT LISTED","Confirm sour-service claim and ISO 15156",IF(O330="NOT LISTED","Obtain manufacturer collapse curve",IF(N330="CORROSION CONTROL","Model CO2 corrosion; review inhibition","Confirm corrosion, cracking, loads and connection"))))))</x:f>
        <x:v>Model CO2 corrosion; review inhibition</x:v>
      </x:c>
      <x:c r="T330" t="str">
        <x:v>https://www.voestalpine.com/tubulars/en/products/Proprietary-Grades/</x:v>
      </x:c>
    </x:row>
    <x:row r="331" ht="23" customHeight="1">
      <x:c r="A331" t="str">
        <x:v>OCTG-0330</x:v>
      </x:c>
      <x:c r="B331" t="str">
        <x:v>voestalpine Tubulars</x:v>
      </x:c>
      <x:c r="C331" t="str">
        <x:v>VA-LT-N80-Q</x:v>
      </x:c>
      <x:c r="D331" t="str">
        <x:v>Carbon / low alloy</x:v>
      </x:c>
      <x:c r="E331" t="str">
        <x:v>Low temperature</x:v>
      </x:c>
      <x:c r="F331" s="82" t="n">
        <x:v>80</x:v>
      </x:c>
      <x:c r="G331" t="str">
        <x:v>No</x:v>
      </x:c>
      <x:c r="H331" t="str">
        <x:v>A</x:v>
      </x:c>
      <x:c r="I331" t="str">
        <x:v>No</x:v>
      </x:c>
      <x:c r="J331" t="str">
        <x:v>No</x:v>
      </x:c>
      <x:c r="K331" t="str">
        <x:v>No</x:v>
      </x:c>
      <x:c r="L331" t="str">
        <x:f>IF(F331="","UNKNOWN",IF(F331&lt;'WELL INPUTS'!$B$11,"BELOW","OK"))</x:f>
        <x:v>OK</x:v>
      </x:c>
      <x:c r="M331" t="str">
        <x:f>IF(AND('WELL INPUTS'!$B$4="Wet",'WELL INPUTS'!$B$5&gt;0),IF(I331="Yes","CATALOG SOUR","NOT LISTED"),"N/A")</x:f>
        <x:v>N/A</x:v>
      </x:c>
      <x:c r="N331" t="str">
        <x:f>IF(AND('WELL INPUTS'!$B$4="Wet",'WELL INPUTS'!$B$6&gt;0),IF(J331="Yes","ALLOY FAMILY","CORROSION CONTROL"),"N/A")</x:f>
        <x:v>CORROSION CONTROL</x:v>
      </x:c>
      <x:c r="O331" t="str">
        <x:f>IF('WELL INPUTS'!$B$12="Yes",IF(G331="Yes","CLAIMED","NOT LISTED"),"N/A")</x:f>
        <x:v>N/A</x:v>
      </x:c>
      <x:c r="P331" t="str">
        <x:f>IF(OR('WELL INPUTS'!$B$13="Unrestricted",CODE(H331)&lt;=CODE('WELL INPUTS'!$B$13)),"WITHIN TIER","OVER CAP")</x:f>
        <x:v>WITHIN TIER</x:v>
      </x:c>
      <x:c r="Q331" t="n">
        <x:f>MAX(0,MIN(100,43+IF(L331="OK",14,-20)+IF(M331="CATALOG SOUR",24,IF(M331="NOT LISTED",-18,0))+IF(N331="ALLOY FAMILY",14,IF(N331="CORROSION CONTROL",-13,0))+IF(O331="CLAIMED",17,IF(O331="NOT LISTED",-14,0))+IF(K331="Yes",-15,0)+IF('WELL INPUTS'!$B$10="Yes",-17,0)))</x:f>
        <x:v>44</x:v>
      </x:c>
      <x:c r="R331" s="83" t="str">
        <x:f>IF(L331="BELOW","EXCLUDE — STRENGTH",IF(P331="OVER CAP","EXCLUDE — COST",IF(K331="Yes",IF('WELL INPUTS'!$B$14="No","EXCLUDE — REFERENCE","REFERENCE ONLY"),IF(OR(L331="UNKNOWN",M331="NOT LISTED",N331="CORROSION CONTROL",O331="NOT LISTED",'WELL INPUTS'!$B$10="Yes",'WELL INPUTS'!$B$4="Unknown"),"REVIEW","CANDIDATE — VERIFY"))))</x:f>
        <x:v>REVIEW</x:v>
      </x:c>
      <x:c r="S331" t="str">
        <x:f>IF(L331="BELOW","Increase minimum grade strength",IF(P331="OVER CAP","Relax cost tier or exclude",IF(K331="Yes","Identify qualified manufacturer grade",IF(M331="NOT LISTED","Confirm sour-service claim and ISO 15156",IF(O331="NOT LISTED","Obtain manufacturer collapse curve",IF(N331="CORROSION CONTROL","Model CO2 corrosion; review inhibition","Confirm corrosion, cracking, loads and connection"))))))</x:f>
        <x:v>Model CO2 corrosion; review inhibition</x:v>
      </x:c>
      <x:c r="T331" t="str">
        <x:v>https://www.voestalpine.com/tubulars/en/products/Proprietary-Grades/</x:v>
      </x:c>
    </x:row>
    <x:row r="332" ht="23" customHeight="1">
      <x:c r="A332" t="str">
        <x:v>OCTG-0331</x:v>
      </x:c>
      <x:c r="B332" t="str">
        <x:v>voestalpine Tubulars</x:v>
      </x:c>
      <x:c r="C332" t="str">
        <x:v>VA-LT-P110</x:v>
      </x:c>
      <x:c r="D332" t="str">
        <x:v>Carbon / low alloy</x:v>
      </x:c>
      <x:c r="E332" t="str">
        <x:v>Low temperature</x:v>
      </x:c>
      <x:c r="F332" s="82" t="n">
        <x:v>110</x:v>
      </x:c>
      <x:c r="G332" t="str">
        <x:v>No</x:v>
      </x:c>
      <x:c r="H332" t="str">
        <x:v>A</x:v>
      </x:c>
      <x:c r="I332" t="str">
        <x:v>No</x:v>
      </x:c>
      <x:c r="J332" t="str">
        <x:v>No</x:v>
      </x:c>
      <x:c r="K332" t="str">
        <x:v>No</x:v>
      </x:c>
      <x:c r="L332" t="str">
        <x:f>IF(F332="","UNKNOWN",IF(F332&lt;'WELL INPUTS'!$B$11,"BELOW","OK"))</x:f>
        <x:v>OK</x:v>
      </x:c>
      <x:c r="M332" t="str">
        <x:f>IF(AND('WELL INPUTS'!$B$4="Wet",'WELL INPUTS'!$B$5&gt;0),IF(I332="Yes","CATALOG SOUR","NOT LISTED"),"N/A")</x:f>
        <x:v>N/A</x:v>
      </x:c>
      <x:c r="N332" t="str">
        <x:f>IF(AND('WELL INPUTS'!$B$4="Wet",'WELL INPUTS'!$B$6&gt;0),IF(J332="Yes","ALLOY FAMILY","CORROSION CONTROL"),"N/A")</x:f>
        <x:v>CORROSION CONTROL</x:v>
      </x:c>
      <x:c r="O332" t="str">
        <x:f>IF('WELL INPUTS'!$B$12="Yes",IF(G332="Yes","CLAIMED","NOT LISTED"),"N/A")</x:f>
        <x:v>N/A</x:v>
      </x:c>
      <x:c r="P332" t="str">
        <x:f>IF(OR('WELL INPUTS'!$B$13="Unrestricted",CODE(H332)&lt;=CODE('WELL INPUTS'!$B$13)),"WITHIN TIER","OVER CAP")</x:f>
        <x:v>WITHIN TIER</x:v>
      </x:c>
      <x:c r="Q332" t="n">
        <x:f>MAX(0,MIN(100,43+IF(L332="OK",14,-20)+IF(M332="CATALOG SOUR",24,IF(M332="NOT LISTED",-18,0))+IF(N332="ALLOY FAMILY",14,IF(N332="CORROSION CONTROL",-13,0))+IF(O332="CLAIMED",17,IF(O332="NOT LISTED",-14,0))+IF(K332="Yes",-15,0)+IF('WELL INPUTS'!$B$10="Yes",-17,0)))</x:f>
        <x:v>44</x:v>
      </x:c>
      <x:c r="R332" s="83" t="str">
        <x:f>IF(L332="BELOW","EXCLUDE — STRENGTH",IF(P332="OVER CAP","EXCLUDE — COST",IF(K332="Yes",IF('WELL INPUTS'!$B$14="No","EXCLUDE — REFERENCE","REFERENCE ONLY"),IF(OR(L332="UNKNOWN",M332="NOT LISTED",N332="CORROSION CONTROL",O332="NOT LISTED",'WELL INPUTS'!$B$10="Yes",'WELL INPUTS'!$B$4="Unknown"),"REVIEW","CANDIDATE — VERIFY"))))</x:f>
        <x:v>REVIEW</x:v>
      </x:c>
      <x:c r="S332" t="str">
        <x:f>IF(L332="BELOW","Increase minimum grade strength",IF(P332="OVER CAP","Relax cost tier or exclude",IF(K332="Yes","Identify qualified manufacturer grade",IF(M332="NOT LISTED","Confirm sour-service claim and ISO 15156",IF(O332="NOT LISTED","Obtain manufacturer collapse curve",IF(N332="CORROSION CONTROL","Model CO2 corrosion; review inhibition","Confirm corrosion, cracking, loads and connection"))))))</x:f>
        <x:v>Model CO2 corrosion; review inhibition</x:v>
      </x:c>
      <x:c r="T332" t="str">
        <x:v>https://www.voestalpine.com/tubulars/en/products/Proprietary-Grades/</x:v>
      </x:c>
    </x:row>
    <x:row r="333" ht="23" customHeight="1">
      <x:c r="A333" t="str">
        <x:v>OCTG-0332</x:v>
      </x:c>
      <x:c r="B333" t="str">
        <x:v>voestalpine Tubulars</x:v>
      </x:c>
      <x:c r="C333" t="str">
        <x:v>VA-LT-Q125</x:v>
      </x:c>
      <x:c r="D333" t="str">
        <x:v>Carbon / low alloy</x:v>
      </x:c>
      <x:c r="E333" t="str">
        <x:v>Low temperature</x:v>
      </x:c>
      <x:c r="F333" s="82" t="n">
        <x:v>125</x:v>
      </x:c>
      <x:c r="G333" t="str">
        <x:v>No</x:v>
      </x:c>
      <x:c r="H333" t="str">
        <x:v>A</x:v>
      </x:c>
      <x:c r="I333" t="str">
        <x:v>No</x:v>
      </x:c>
      <x:c r="J333" t="str">
        <x:v>No</x:v>
      </x:c>
      <x:c r="K333" t="str">
        <x:v>No</x:v>
      </x:c>
      <x:c r="L333" t="str">
        <x:f>IF(F333="","UNKNOWN",IF(F333&lt;'WELL INPUTS'!$B$11,"BELOW","OK"))</x:f>
        <x:v>OK</x:v>
      </x:c>
      <x:c r="M333" t="str">
        <x:f>IF(AND('WELL INPUTS'!$B$4="Wet",'WELL INPUTS'!$B$5&gt;0),IF(I333="Yes","CATALOG SOUR","NOT LISTED"),"N/A")</x:f>
        <x:v>N/A</x:v>
      </x:c>
      <x:c r="N333" t="str">
        <x:f>IF(AND('WELL INPUTS'!$B$4="Wet",'WELL INPUTS'!$B$6&gt;0),IF(J333="Yes","ALLOY FAMILY","CORROSION CONTROL"),"N/A")</x:f>
        <x:v>CORROSION CONTROL</x:v>
      </x:c>
      <x:c r="O333" t="str">
        <x:f>IF('WELL INPUTS'!$B$12="Yes",IF(G333="Yes","CLAIMED","NOT LISTED"),"N/A")</x:f>
        <x:v>N/A</x:v>
      </x:c>
      <x:c r="P333" t="str">
        <x:f>IF(OR('WELL INPUTS'!$B$13="Unrestricted",CODE(H333)&lt;=CODE('WELL INPUTS'!$B$13)),"WITHIN TIER","OVER CAP")</x:f>
        <x:v>WITHIN TIER</x:v>
      </x:c>
      <x:c r="Q333" t="n">
        <x:f>MAX(0,MIN(100,43+IF(L333="OK",14,-20)+IF(M333="CATALOG SOUR",24,IF(M333="NOT LISTED",-18,0))+IF(N333="ALLOY FAMILY",14,IF(N333="CORROSION CONTROL",-13,0))+IF(O333="CLAIMED",17,IF(O333="NOT LISTED",-14,0))+IF(K333="Yes",-15,0)+IF('WELL INPUTS'!$B$10="Yes",-17,0)))</x:f>
        <x:v>44</x:v>
      </x:c>
      <x:c r="R333" s="83" t="str">
        <x:f>IF(L333="BELOW","EXCLUDE — STRENGTH",IF(P333="OVER CAP","EXCLUDE — COST",IF(K333="Yes",IF('WELL INPUTS'!$B$14="No","EXCLUDE — REFERENCE","REFERENCE ONLY"),IF(OR(L333="UNKNOWN",M333="NOT LISTED",N333="CORROSION CONTROL",O333="NOT LISTED",'WELL INPUTS'!$B$10="Yes",'WELL INPUTS'!$B$4="Unknown"),"REVIEW","CANDIDATE — VERIFY"))))</x:f>
        <x:v>REVIEW</x:v>
      </x:c>
      <x:c r="S333" t="str">
        <x:f>IF(L333="BELOW","Increase minimum grade strength",IF(P333="OVER CAP","Relax cost tier or exclude",IF(K333="Yes","Identify qualified manufacturer grade",IF(M333="NOT LISTED","Confirm sour-service claim and ISO 15156",IF(O333="NOT LISTED","Obtain manufacturer collapse curve",IF(N333="CORROSION CONTROL","Model CO2 corrosion; review inhibition","Confirm corrosion, cracking, loads and connection"))))))</x:f>
        <x:v>Model CO2 corrosion; review inhibition</x:v>
      </x:c>
      <x:c r="T333" t="str">
        <x:v>https://www.voestalpine.com/tubulars/en/products/Proprietary-Grades/</x:v>
      </x:c>
    </x:row>
    <x:row r="334" ht="23" customHeight="1">
      <x:c r="A334" t="str">
        <x:v>OCTG-0333</x:v>
      </x:c>
      <x:c r="B334" t="str">
        <x:v>voestalpine Tubulars</x:v>
      </x:c>
      <x:c r="C334" t="str">
        <x:v>VA-LT-R95</x:v>
      </x:c>
      <x:c r="D334" t="str">
        <x:v>Carbon / low alloy</x:v>
      </x:c>
      <x:c r="E334" t="str">
        <x:v>Low temperature</x:v>
      </x:c>
      <x:c r="F334" s="82" t="n">
        <x:v>95</x:v>
      </x:c>
      <x:c r="G334" t="str">
        <x:v>No</x:v>
      </x:c>
      <x:c r="H334" t="str">
        <x:v>A</x:v>
      </x:c>
      <x:c r="I334" t="str">
        <x:v>No</x:v>
      </x:c>
      <x:c r="J334" t="str">
        <x:v>No</x:v>
      </x:c>
      <x:c r="K334" t="str">
        <x:v>No</x:v>
      </x:c>
      <x:c r="L334" t="str">
        <x:f>IF(F334="","UNKNOWN",IF(F334&lt;'WELL INPUTS'!$B$11,"BELOW","OK"))</x:f>
        <x:v>OK</x:v>
      </x:c>
      <x:c r="M334" t="str">
        <x:f>IF(AND('WELL INPUTS'!$B$4="Wet",'WELL INPUTS'!$B$5&gt;0),IF(I334="Yes","CATALOG SOUR","NOT LISTED"),"N/A")</x:f>
        <x:v>N/A</x:v>
      </x:c>
      <x:c r="N334" t="str">
        <x:f>IF(AND('WELL INPUTS'!$B$4="Wet",'WELL INPUTS'!$B$6&gt;0),IF(J334="Yes","ALLOY FAMILY","CORROSION CONTROL"),"N/A")</x:f>
        <x:v>CORROSION CONTROL</x:v>
      </x:c>
      <x:c r="O334" t="str">
        <x:f>IF('WELL INPUTS'!$B$12="Yes",IF(G334="Yes","CLAIMED","NOT LISTED"),"N/A")</x:f>
        <x:v>N/A</x:v>
      </x:c>
      <x:c r="P334" t="str">
        <x:f>IF(OR('WELL INPUTS'!$B$13="Unrestricted",CODE(H334)&lt;=CODE('WELL INPUTS'!$B$13)),"WITHIN TIER","OVER CAP")</x:f>
        <x:v>WITHIN TIER</x:v>
      </x:c>
      <x:c r="Q334" t="n">
        <x:f>MAX(0,MIN(100,43+IF(L334="OK",14,-20)+IF(M334="CATALOG SOUR",24,IF(M334="NOT LISTED",-18,0))+IF(N334="ALLOY FAMILY",14,IF(N334="CORROSION CONTROL",-13,0))+IF(O334="CLAIMED",17,IF(O334="NOT LISTED",-14,0))+IF(K334="Yes",-15,0)+IF('WELL INPUTS'!$B$10="Yes",-17,0)))</x:f>
        <x:v>44</x:v>
      </x:c>
      <x:c r="R334" s="83" t="str">
        <x:f>IF(L334="BELOW","EXCLUDE — STRENGTH",IF(P334="OVER CAP","EXCLUDE — COST",IF(K334="Yes",IF('WELL INPUTS'!$B$14="No","EXCLUDE — REFERENCE","REFERENCE ONLY"),IF(OR(L334="UNKNOWN",M334="NOT LISTED",N334="CORROSION CONTROL",O334="NOT LISTED",'WELL INPUTS'!$B$10="Yes",'WELL INPUTS'!$B$4="Unknown"),"REVIEW","CANDIDATE — VERIFY"))))</x:f>
        <x:v>REVIEW</x:v>
      </x:c>
      <x:c r="S334" t="str">
        <x:f>IF(L334="BELOW","Increase minimum grade strength",IF(P334="OVER CAP","Relax cost tier or exclude",IF(K334="Yes","Identify qualified manufacturer grade",IF(M334="NOT LISTED","Confirm sour-service claim and ISO 15156",IF(O334="NOT LISTED","Obtain manufacturer collapse curve",IF(N334="CORROSION CONTROL","Model CO2 corrosion; review inhibition","Confirm corrosion, cracking, loads and connection"))))))</x:f>
        <x:v>Model CO2 corrosion; review inhibition</x:v>
      </x:c>
      <x:c r="T334" t="str">
        <x:v>https://www.voestalpine.com/tubulars/en/products/Proprietary-Grades/</x:v>
      </x:c>
    </x:row>
    <x:row r="335" ht="23" customHeight="1">
      <x:c r="A335" t="str">
        <x:v>OCTG-0334</x:v>
      </x:c>
      <x:c r="B335" t="str">
        <x:v>voestalpine Tubulars</x:v>
      </x:c>
      <x:c r="C335" t="str">
        <x:v>VA-LT-T95</x:v>
      </x:c>
      <x:c r="D335" t="str">
        <x:v>Carbon / low alloy</x:v>
      </x:c>
      <x:c r="E335" t="str">
        <x:v>Low temperature</x:v>
      </x:c>
      <x:c r="F335" s="82" t="n">
        <x:v>95</x:v>
      </x:c>
      <x:c r="G335" t="str">
        <x:v>No</x:v>
      </x:c>
      <x:c r="H335" t="str">
        <x:v>A</x:v>
      </x:c>
      <x:c r="I335" t="str">
        <x:v>No</x:v>
      </x:c>
      <x:c r="J335" t="str">
        <x:v>No</x:v>
      </x:c>
      <x:c r="K335" t="str">
        <x:v>No</x:v>
      </x:c>
      <x:c r="L335" t="str">
        <x:f>IF(F335="","UNKNOWN",IF(F335&lt;'WELL INPUTS'!$B$11,"BELOW","OK"))</x:f>
        <x:v>OK</x:v>
      </x:c>
      <x:c r="M335" t="str">
        <x:f>IF(AND('WELL INPUTS'!$B$4="Wet",'WELL INPUTS'!$B$5&gt;0),IF(I335="Yes","CATALOG SOUR","NOT LISTED"),"N/A")</x:f>
        <x:v>N/A</x:v>
      </x:c>
      <x:c r="N335" t="str">
        <x:f>IF(AND('WELL INPUTS'!$B$4="Wet",'WELL INPUTS'!$B$6&gt;0),IF(J335="Yes","ALLOY FAMILY","CORROSION CONTROL"),"N/A")</x:f>
        <x:v>CORROSION CONTROL</x:v>
      </x:c>
      <x:c r="O335" t="str">
        <x:f>IF('WELL INPUTS'!$B$12="Yes",IF(G335="Yes","CLAIMED","NOT LISTED"),"N/A")</x:f>
        <x:v>N/A</x:v>
      </x:c>
      <x:c r="P335" t="str">
        <x:f>IF(OR('WELL INPUTS'!$B$13="Unrestricted",CODE(H335)&lt;=CODE('WELL INPUTS'!$B$13)),"WITHIN TIER","OVER CAP")</x:f>
        <x:v>WITHIN TIER</x:v>
      </x:c>
      <x:c r="Q335" t="n">
        <x:f>MAX(0,MIN(100,43+IF(L335="OK",14,-20)+IF(M335="CATALOG SOUR",24,IF(M335="NOT LISTED",-18,0))+IF(N335="ALLOY FAMILY",14,IF(N335="CORROSION CONTROL",-13,0))+IF(O335="CLAIMED",17,IF(O335="NOT LISTED",-14,0))+IF(K335="Yes",-15,0)+IF('WELL INPUTS'!$B$10="Yes",-17,0)))</x:f>
        <x:v>44</x:v>
      </x:c>
      <x:c r="R335" s="83" t="str">
        <x:f>IF(L335="BELOW","EXCLUDE — STRENGTH",IF(P335="OVER CAP","EXCLUDE — COST",IF(K335="Yes",IF('WELL INPUTS'!$B$14="No","EXCLUDE — REFERENCE","REFERENCE ONLY"),IF(OR(L335="UNKNOWN",M335="NOT LISTED",N335="CORROSION CONTROL",O335="NOT LISTED",'WELL INPUTS'!$B$10="Yes",'WELL INPUTS'!$B$4="Unknown"),"REVIEW","CANDIDATE — VERIFY"))))</x:f>
        <x:v>REVIEW</x:v>
      </x:c>
      <x:c r="S335" t="str">
        <x:f>IF(L335="BELOW","Increase minimum grade strength",IF(P335="OVER CAP","Relax cost tier or exclude",IF(K335="Yes","Identify qualified manufacturer grade",IF(M335="NOT LISTED","Confirm sour-service claim and ISO 15156",IF(O335="NOT LISTED","Obtain manufacturer collapse curve",IF(N335="CORROSION CONTROL","Model CO2 corrosion; review inhibition","Confirm corrosion, cracking, loads and connection"))))))</x:f>
        <x:v>Model CO2 corrosion; review inhibition</x:v>
      </x:c>
      <x:c r="T335" t="str">
        <x:v>https://www.voestalpine.com/tubulars/en/products/Proprietary-Grades/</x:v>
      </x:c>
    </x:row>
    <x:row r="336" ht="23" customHeight="1">
      <x:c r="A336" t="str">
        <x:v>OCTG-0335</x:v>
      </x:c>
      <x:c r="B336" t="str">
        <x:v>voestalpine Tubulars</x:v>
      </x:c>
      <x:c r="C336" t="str">
        <x:v>VA-S-110</x:v>
      </x:c>
      <x:c r="D336" t="str">
        <x:v>Carbon / low alloy</x:v>
      </x:c>
      <x:c r="E336" t="str">
        <x:v>Sour service</x:v>
      </x:c>
      <x:c r="F336" s="82" t="n">
        <x:v>110</x:v>
      </x:c>
      <x:c r="G336" t="str">
        <x:v>No</x:v>
      </x:c>
      <x:c r="H336" t="str">
        <x:v>A</x:v>
      </x:c>
      <x:c r="I336" t="str">
        <x:v>Yes</x:v>
      </x:c>
      <x:c r="J336" t="str">
        <x:v>No</x:v>
      </x:c>
      <x:c r="K336" t="str">
        <x:v>No</x:v>
      </x:c>
      <x:c r="L336" t="str">
        <x:f>IF(F336="","UNKNOWN",IF(F336&lt;'WELL INPUTS'!$B$11,"BELOW","OK"))</x:f>
        <x:v>OK</x:v>
      </x:c>
      <x:c r="M336" t="str">
        <x:f>IF(AND('WELL INPUTS'!$B$4="Wet",'WELL INPUTS'!$B$5&gt;0),IF(I336="Yes","CATALOG SOUR","NOT LISTED"),"N/A")</x:f>
        <x:v>N/A</x:v>
      </x:c>
      <x:c r="N336" t="str">
        <x:f>IF(AND('WELL INPUTS'!$B$4="Wet",'WELL INPUTS'!$B$6&gt;0),IF(J336="Yes","ALLOY FAMILY","CORROSION CONTROL"),"N/A")</x:f>
        <x:v>CORROSION CONTROL</x:v>
      </x:c>
      <x:c r="O336" t="str">
        <x:f>IF('WELL INPUTS'!$B$12="Yes",IF(G336="Yes","CLAIMED","NOT LISTED"),"N/A")</x:f>
        <x:v>N/A</x:v>
      </x:c>
      <x:c r="P336" t="str">
        <x:f>IF(OR('WELL INPUTS'!$B$13="Unrestricted",CODE(H336)&lt;=CODE('WELL INPUTS'!$B$13)),"WITHIN TIER","OVER CAP")</x:f>
        <x:v>WITHIN TIER</x:v>
      </x:c>
      <x:c r="Q336" t="n">
        <x:f>MAX(0,MIN(100,43+IF(L336="OK",14,-20)+IF(M336="CATALOG SOUR",24,IF(M336="NOT LISTED",-18,0))+IF(N336="ALLOY FAMILY",14,IF(N336="CORROSION CONTROL",-13,0))+IF(O336="CLAIMED",17,IF(O336="NOT LISTED",-14,0))+IF(K336="Yes",-15,0)+IF('WELL INPUTS'!$B$10="Yes",-17,0)))</x:f>
        <x:v>44</x:v>
      </x:c>
      <x:c r="R336" s="83" t="str">
        <x:f>IF(L336="BELOW","EXCLUDE — STRENGTH",IF(P336="OVER CAP","EXCLUDE — COST",IF(K336="Yes",IF('WELL INPUTS'!$B$14="No","EXCLUDE — REFERENCE","REFERENCE ONLY"),IF(OR(L336="UNKNOWN",M336="NOT LISTED",N336="CORROSION CONTROL",O336="NOT LISTED",'WELL INPUTS'!$B$10="Yes",'WELL INPUTS'!$B$4="Unknown"),"REVIEW","CANDIDATE — VERIFY"))))</x:f>
        <x:v>REVIEW</x:v>
      </x:c>
      <x:c r="S336" t="str">
        <x:f>IF(L336="BELOW","Increase minimum grade strength",IF(P336="OVER CAP","Relax cost tier or exclude",IF(K336="Yes","Identify qualified manufacturer grade",IF(M336="NOT LISTED","Confirm sour-service claim and ISO 15156",IF(O336="NOT LISTED","Obtain manufacturer collapse curve",IF(N336="CORROSION CONTROL","Model CO2 corrosion; review inhibition","Confirm corrosion, cracking, loads and connection"))))))</x:f>
        <x:v>Model CO2 corrosion; review inhibition</x:v>
      </x:c>
      <x:c r="T336" t="str">
        <x:v>https://www.voestalpine.com/tubulars/en/products/Proprietary-Grades/</x:v>
      </x:c>
    </x:row>
    <x:row r="337" ht="23" customHeight="1">
      <x:c r="A337" t="str">
        <x:v>OCTG-0336</x:v>
      </x:c>
      <x:c r="B337" t="str">
        <x:v>voestalpine Tubulars</x:v>
      </x:c>
      <x:c r="C337" t="str">
        <x:v>VA-S-110-EP</x:v>
      </x:c>
      <x:c r="D337" t="str">
        <x:v>Carbon / low alloy</x:v>
      </x:c>
      <x:c r="E337" t="str">
        <x:v>Sour + enhanced</x:v>
      </x:c>
      <x:c r="F337" s="82" t="n">
        <x:v>110</x:v>
      </x:c>
      <x:c r="G337" t="str">
        <x:v>No</x:v>
      </x:c>
      <x:c r="H337" t="str">
        <x:v>A</x:v>
      </x:c>
      <x:c r="I337" t="str">
        <x:v>Yes</x:v>
      </x:c>
      <x:c r="J337" t="str">
        <x:v>No</x:v>
      </x:c>
      <x:c r="K337" t="str">
        <x:v>No</x:v>
      </x:c>
      <x:c r="L337" t="str">
        <x:f>IF(F337="","UNKNOWN",IF(F337&lt;'WELL INPUTS'!$B$11,"BELOW","OK"))</x:f>
        <x:v>OK</x:v>
      </x:c>
      <x:c r="M337" t="str">
        <x:f>IF(AND('WELL INPUTS'!$B$4="Wet",'WELL INPUTS'!$B$5&gt;0),IF(I337="Yes","CATALOG SOUR","NOT LISTED"),"N/A")</x:f>
        <x:v>N/A</x:v>
      </x:c>
      <x:c r="N337" t="str">
        <x:f>IF(AND('WELL INPUTS'!$B$4="Wet",'WELL INPUTS'!$B$6&gt;0),IF(J337="Yes","ALLOY FAMILY","CORROSION CONTROL"),"N/A")</x:f>
        <x:v>CORROSION CONTROL</x:v>
      </x:c>
      <x:c r="O337" t="str">
        <x:f>IF('WELL INPUTS'!$B$12="Yes",IF(G337="Yes","CLAIMED","NOT LISTED"),"N/A")</x:f>
        <x:v>N/A</x:v>
      </x:c>
      <x:c r="P337" t="str">
        <x:f>IF(OR('WELL INPUTS'!$B$13="Unrestricted",CODE(H337)&lt;=CODE('WELL INPUTS'!$B$13)),"WITHIN TIER","OVER CAP")</x:f>
        <x:v>WITHIN TIER</x:v>
      </x:c>
      <x:c r="Q337" t="n">
        <x:f>MAX(0,MIN(100,43+IF(L337="OK",14,-20)+IF(M337="CATALOG SOUR",24,IF(M337="NOT LISTED",-18,0))+IF(N337="ALLOY FAMILY",14,IF(N337="CORROSION CONTROL",-13,0))+IF(O337="CLAIMED",17,IF(O337="NOT LISTED",-14,0))+IF(K337="Yes",-15,0)+IF('WELL INPUTS'!$B$10="Yes",-17,0)))</x:f>
        <x:v>44</x:v>
      </x:c>
      <x:c r="R337" s="83" t="str">
        <x:f>IF(L337="BELOW","EXCLUDE — STRENGTH",IF(P337="OVER CAP","EXCLUDE — COST",IF(K337="Yes",IF('WELL INPUTS'!$B$14="No","EXCLUDE — REFERENCE","REFERENCE ONLY"),IF(OR(L337="UNKNOWN",M337="NOT LISTED",N337="CORROSION CONTROL",O337="NOT LISTED",'WELL INPUTS'!$B$10="Yes",'WELL INPUTS'!$B$4="Unknown"),"REVIEW","CANDIDATE — VERIFY"))))</x:f>
        <x:v>REVIEW</x:v>
      </x:c>
      <x:c r="S337" t="str">
        <x:f>IF(L337="BELOW","Increase minimum grade strength",IF(P337="OVER CAP","Relax cost tier or exclude",IF(K337="Yes","Identify qualified manufacturer grade",IF(M337="NOT LISTED","Confirm sour-service claim and ISO 15156",IF(O337="NOT LISTED","Obtain manufacturer collapse curve",IF(N337="CORROSION CONTROL","Model CO2 corrosion; review inhibition","Confirm corrosion, cracking, loads and connection"))))))</x:f>
        <x:v>Model CO2 corrosion; review inhibition</x:v>
      </x:c>
      <x:c r="T337" t="str">
        <x:v>https://www.voestalpine.com/tubulars/en/products/Proprietary-Grades/</x:v>
      </x:c>
    </x:row>
    <x:row r="338" ht="23" customHeight="1">
      <x:c r="A338" t="str">
        <x:v>OCTG-0337</x:v>
      </x:c>
      <x:c r="B338" t="str">
        <x:v>voestalpine Tubulars</x:v>
      </x:c>
      <x:c r="C338" t="str">
        <x:v>VA-S-110-HC</x:v>
      </x:c>
      <x:c r="D338" t="str">
        <x:v>Carbon / low alloy</x:v>
      </x:c>
      <x:c r="E338" t="str">
        <x:v>Sour + high collapse</x:v>
      </x:c>
      <x:c r="F338" s="82" t="n">
        <x:v>110</x:v>
      </x:c>
      <x:c r="G338" t="str">
        <x:v>Yes</x:v>
      </x:c>
      <x:c r="H338" t="str">
        <x:v>A</x:v>
      </x:c>
      <x:c r="I338" t="str">
        <x:v>Yes</x:v>
      </x:c>
      <x:c r="J338" t="str">
        <x:v>No</x:v>
      </x:c>
      <x:c r="K338" t="str">
        <x:v>No</x:v>
      </x:c>
      <x:c r="L338" t="str">
        <x:f>IF(F338="","UNKNOWN",IF(F338&lt;'WELL INPUTS'!$B$11,"BELOW","OK"))</x:f>
        <x:v>OK</x:v>
      </x:c>
      <x:c r="M338" t="str">
        <x:f>IF(AND('WELL INPUTS'!$B$4="Wet",'WELL INPUTS'!$B$5&gt;0),IF(I338="Yes","CATALOG SOUR","NOT LISTED"),"N/A")</x:f>
        <x:v>N/A</x:v>
      </x:c>
      <x:c r="N338" t="str">
        <x:f>IF(AND('WELL INPUTS'!$B$4="Wet",'WELL INPUTS'!$B$6&gt;0),IF(J338="Yes","ALLOY FAMILY","CORROSION CONTROL"),"N/A")</x:f>
        <x:v>CORROSION CONTROL</x:v>
      </x:c>
      <x:c r="O338" t="str">
        <x:f>IF('WELL INPUTS'!$B$12="Yes",IF(G338="Yes","CLAIMED","NOT LISTED"),"N/A")</x:f>
        <x:v>N/A</x:v>
      </x:c>
      <x:c r="P338" t="str">
        <x:f>IF(OR('WELL INPUTS'!$B$13="Unrestricted",CODE(H338)&lt;=CODE('WELL INPUTS'!$B$13)),"WITHIN TIER","OVER CAP")</x:f>
        <x:v>WITHIN TIER</x:v>
      </x:c>
      <x:c r="Q338" t="n">
        <x:f>MAX(0,MIN(100,43+IF(L338="OK",14,-20)+IF(M338="CATALOG SOUR",24,IF(M338="NOT LISTED",-18,0))+IF(N338="ALLOY FAMILY",14,IF(N338="CORROSION CONTROL",-13,0))+IF(O338="CLAIMED",17,IF(O338="NOT LISTED",-14,0))+IF(K338="Yes",-15,0)+IF('WELL INPUTS'!$B$10="Yes",-17,0)))</x:f>
        <x:v>44</x:v>
      </x:c>
      <x:c r="R338" s="83" t="str">
        <x:f>IF(L338="BELOW","EXCLUDE — STRENGTH",IF(P338="OVER CAP","EXCLUDE — COST",IF(K338="Yes",IF('WELL INPUTS'!$B$14="No","EXCLUDE — REFERENCE","REFERENCE ONLY"),IF(OR(L338="UNKNOWN",M338="NOT LISTED",N338="CORROSION CONTROL",O338="NOT LISTED",'WELL INPUTS'!$B$10="Yes",'WELL INPUTS'!$B$4="Unknown"),"REVIEW","CANDIDATE — VERIFY"))))</x:f>
        <x:v>REVIEW</x:v>
      </x:c>
      <x:c r="S338" t="str">
        <x:f>IF(L338="BELOW","Increase minimum grade strength",IF(P338="OVER CAP","Relax cost tier or exclude",IF(K338="Yes","Identify qualified manufacturer grade",IF(M338="NOT LISTED","Confirm sour-service claim and ISO 15156",IF(O338="NOT LISTED","Obtain manufacturer collapse curve",IF(N338="CORROSION CONTROL","Model CO2 corrosion; review inhibition","Confirm corrosion, cracking, loads and connection"))))))</x:f>
        <x:v>Model CO2 corrosion; review inhibition</x:v>
      </x:c>
      <x:c r="T338" t="str">
        <x:v>https://www.voestalpine.com/tubulars/en/products/Proprietary-Grades/</x:v>
      </x:c>
    </x:row>
    <x:row r="339" ht="23" customHeight="1">
      <x:c r="A339" t="str">
        <x:v>OCTG-0338</x:v>
      </x:c>
      <x:c r="B339" t="str">
        <x:v>voestalpine Tubulars</x:v>
      </x:c>
      <x:c r="C339" t="str">
        <x:v>VA-S-125</x:v>
      </x:c>
      <x:c r="D339" t="str">
        <x:v>Carbon / low alloy</x:v>
      </x:c>
      <x:c r="E339" t="str">
        <x:v>Sour service</x:v>
      </x:c>
      <x:c r="F339" s="82" t="n">
        <x:v>125</x:v>
      </x:c>
      <x:c r="G339" t="str">
        <x:v>No</x:v>
      </x:c>
      <x:c r="H339" t="str">
        <x:v>A</x:v>
      </x:c>
      <x:c r="I339" t="str">
        <x:v>Yes</x:v>
      </x:c>
      <x:c r="J339" t="str">
        <x:v>No</x:v>
      </x:c>
      <x:c r="K339" t="str">
        <x:v>No</x:v>
      </x:c>
      <x:c r="L339" t="str">
        <x:f>IF(F339="","UNKNOWN",IF(F339&lt;'WELL INPUTS'!$B$11,"BELOW","OK"))</x:f>
        <x:v>OK</x:v>
      </x:c>
      <x:c r="M339" t="str">
        <x:f>IF(AND('WELL INPUTS'!$B$4="Wet",'WELL INPUTS'!$B$5&gt;0),IF(I339="Yes","CATALOG SOUR","NOT LISTED"),"N/A")</x:f>
        <x:v>N/A</x:v>
      </x:c>
      <x:c r="N339" t="str">
        <x:f>IF(AND('WELL INPUTS'!$B$4="Wet",'WELL INPUTS'!$B$6&gt;0),IF(J339="Yes","ALLOY FAMILY","CORROSION CONTROL"),"N/A")</x:f>
        <x:v>CORROSION CONTROL</x:v>
      </x:c>
      <x:c r="O339" t="str">
        <x:f>IF('WELL INPUTS'!$B$12="Yes",IF(G339="Yes","CLAIMED","NOT LISTED"),"N/A")</x:f>
        <x:v>N/A</x:v>
      </x:c>
      <x:c r="P339" t="str">
        <x:f>IF(OR('WELL INPUTS'!$B$13="Unrestricted",CODE(H339)&lt;=CODE('WELL INPUTS'!$B$13)),"WITHIN TIER","OVER CAP")</x:f>
        <x:v>WITHIN TIER</x:v>
      </x:c>
      <x:c r="Q339" t="n">
        <x:f>MAX(0,MIN(100,43+IF(L339="OK",14,-20)+IF(M339="CATALOG SOUR",24,IF(M339="NOT LISTED",-18,0))+IF(N339="ALLOY FAMILY",14,IF(N339="CORROSION CONTROL",-13,0))+IF(O339="CLAIMED",17,IF(O339="NOT LISTED",-14,0))+IF(K339="Yes",-15,0)+IF('WELL INPUTS'!$B$10="Yes",-17,0)))</x:f>
        <x:v>44</x:v>
      </x:c>
      <x:c r="R339" s="83" t="str">
        <x:f>IF(L339="BELOW","EXCLUDE — STRENGTH",IF(P339="OVER CAP","EXCLUDE — COST",IF(K339="Yes",IF('WELL INPUTS'!$B$14="No","EXCLUDE — REFERENCE","REFERENCE ONLY"),IF(OR(L339="UNKNOWN",M339="NOT LISTED",N339="CORROSION CONTROL",O339="NOT LISTED",'WELL INPUTS'!$B$10="Yes",'WELL INPUTS'!$B$4="Unknown"),"REVIEW","CANDIDATE — VERIFY"))))</x:f>
        <x:v>REVIEW</x:v>
      </x:c>
      <x:c r="S339" t="str">
        <x:f>IF(L339="BELOW","Increase minimum grade strength",IF(P339="OVER CAP","Relax cost tier or exclude",IF(K339="Yes","Identify qualified manufacturer grade",IF(M339="NOT LISTED","Confirm sour-service claim and ISO 15156",IF(O339="NOT LISTED","Obtain manufacturer collapse curve",IF(N339="CORROSION CONTROL","Model CO2 corrosion; review inhibition","Confirm corrosion, cracking, loads and connection"))))))</x:f>
        <x:v>Model CO2 corrosion; review inhibition</x:v>
      </x:c>
      <x:c r="T339" t="str">
        <x:v>https://www.voestalpine.com/tubulars/en/products/Proprietary-Grades/</x:v>
      </x:c>
    </x:row>
    <x:row r="340" ht="23" customHeight="1">
      <x:c r="A340" t="str">
        <x:v>OCTG-0339</x:v>
      </x:c>
      <x:c r="B340" t="str">
        <x:v>voestalpine Tubulars</x:v>
      </x:c>
      <x:c r="C340" t="str">
        <x:v>VA-S-125-EP</x:v>
      </x:c>
      <x:c r="D340" t="str">
        <x:v>Carbon / low alloy</x:v>
      </x:c>
      <x:c r="E340" t="str">
        <x:v>Sour + enhanced</x:v>
      </x:c>
      <x:c r="F340" s="82" t="n">
        <x:v>125</x:v>
      </x:c>
      <x:c r="G340" t="str">
        <x:v>No</x:v>
      </x:c>
      <x:c r="H340" t="str">
        <x:v>A</x:v>
      </x:c>
      <x:c r="I340" t="str">
        <x:v>Yes</x:v>
      </x:c>
      <x:c r="J340" t="str">
        <x:v>No</x:v>
      </x:c>
      <x:c r="K340" t="str">
        <x:v>No</x:v>
      </x:c>
      <x:c r="L340" t="str">
        <x:f>IF(F340="","UNKNOWN",IF(F340&lt;'WELL INPUTS'!$B$11,"BELOW","OK"))</x:f>
        <x:v>OK</x:v>
      </x:c>
      <x:c r="M340" t="str">
        <x:f>IF(AND('WELL INPUTS'!$B$4="Wet",'WELL INPUTS'!$B$5&gt;0),IF(I340="Yes","CATALOG SOUR","NOT LISTED"),"N/A")</x:f>
        <x:v>N/A</x:v>
      </x:c>
      <x:c r="N340" t="str">
        <x:f>IF(AND('WELL INPUTS'!$B$4="Wet",'WELL INPUTS'!$B$6&gt;0),IF(J340="Yes","ALLOY FAMILY","CORROSION CONTROL"),"N/A")</x:f>
        <x:v>CORROSION CONTROL</x:v>
      </x:c>
      <x:c r="O340" t="str">
        <x:f>IF('WELL INPUTS'!$B$12="Yes",IF(G340="Yes","CLAIMED","NOT LISTED"),"N/A")</x:f>
        <x:v>N/A</x:v>
      </x:c>
      <x:c r="P340" t="str">
        <x:f>IF(OR('WELL INPUTS'!$B$13="Unrestricted",CODE(H340)&lt;=CODE('WELL INPUTS'!$B$13)),"WITHIN TIER","OVER CAP")</x:f>
        <x:v>WITHIN TIER</x:v>
      </x:c>
      <x:c r="Q340" t="n">
        <x:f>MAX(0,MIN(100,43+IF(L340="OK",14,-20)+IF(M340="CATALOG SOUR",24,IF(M340="NOT LISTED",-18,0))+IF(N340="ALLOY FAMILY",14,IF(N340="CORROSION CONTROL",-13,0))+IF(O340="CLAIMED",17,IF(O340="NOT LISTED",-14,0))+IF(K340="Yes",-15,0)+IF('WELL INPUTS'!$B$10="Yes",-17,0)))</x:f>
        <x:v>44</x:v>
      </x:c>
      <x:c r="R340" s="83" t="str">
        <x:f>IF(L340="BELOW","EXCLUDE — STRENGTH",IF(P340="OVER CAP","EXCLUDE — COST",IF(K340="Yes",IF('WELL INPUTS'!$B$14="No","EXCLUDE — REFERENCE","REFERENCE ONLY"),IF(OR(L340="UNKNOWN",M340="NOT LISTED",N340="CORROSION CONTROL",O340="NOT LISTED",'WELL INPUTS'!$B$10="Yes",'WELL INPUTS'!$B$4="Unknown"),"REVIEW","CANDIDATE — VERIFY"))))</x:f>
        <x:v>REVIEW</x:v>
      </x:c>
      <x:c r="S340" t="str">
        <x:f>IF(L340="BELOW","Increase minimum grade strength",IF(P340="OVER CAP","Relax cost tier or exclude",IF(K340="Yes","Identify qualified manufacturer grade",IF(M340="NOT LISTED","Confirm sour-service claim and ISO 15156",IF(O340="NOT LISTED","Obtain manufacturer collapse curve",IF(N340="CORROSION CONTROL","Model CO2 corrosion; review inhibition","Confirm corrosion, cracking, loads and connection"))))))</x:f>
        <x:v>Model CO2 corrosion; review inhibition</x:v>
      </x:c>
      <x:c r="T340" t="str">
        <x:v>https://www.voestalpine.com/tubulars/en/products/Proprietary-Grades/</x:v>
      </x:c>
    </x:row>
    <x:row r="341" ht="23" customHeight="1">
      <x:c r="A341" t="str">
        <x:v>OCTG-0340</x:v>
      </x:c>
      <x:c r="B341" t="str">
        <x:v>voestalpine Tubulars</x:v>
      </x:c>
      <x:c r="C341" t="str">
        <x:v>VA-S-125-HC</x:v>
      </x:c>
      <x:c r="D341" t="str">
        <x:v>Carbon / low alloy</x:v>
      </x:c>
      <x:c r="E341" t="str">
        <x:v>Sour + high collapse</x:v>
      </x:c>
      <x:c r="F341" s="82" t="n">
        <x:v>125</x:v>
      </x:c>
      <x:c r="G341" t="str">
        <x:v>Yes</x:v>
      </x:c>
      <x:c r="H341" t="str">
        <x:v>A</x:v>
      </x:c>
      <x:c r="I341" t="str">
        <x:v>Yes</x:v>
      </x:c>
      <x:c r="J341" t="str">
        <x:v>No</x:v>
      </x:c>
      <x:c r="K341" t="str">
        <x:v>No</x:v>
      </x:c>
      <x:c r="L341" t="str">
        <x:f>IF(F341="","UNKNOWN",IF(F341&lt;'WELL INPUTS'!$B$11,"BELOW","OK"))</x:f>
        <x:v>OK</x:v>
      </x:c>
      <x:c r="M341" t="str">
        <x:f>IF(AND('WELL INPUTS'!$B$4="Wet",'WELL INPUTS'!$B$5&gt;0),IF(I341="Yes","CATALOG SOUR","NOT LISTED"),"N/A")</x:f>
        <x:v>N/A</x:v>
      </x:c>
      <x:c r="N341" t="str">
        <x:f>IF(AND('WELL INPUTS'!$B$4="Wet",'WELL INPUTS'!$B$6&gt;0),IF(J341="Yes","ALLOY FAMILY","CORROSION CONTROL"),"N/A")</x:f>
        <x:v>CORROSION CONTROL</x:v>
      </x:c>
      <x:c r="O341" t="str">
        <x:f>IF('WELL INPUTS'!$B$12="Yes",IF(G341="Yes","CLAIMED","NOT LISTED"),"N/A")</x:f>
        <x:v>N/A</x:v>
      </x:c>
      <x:c r="P341" t="str">
        <x:f>IF(OR('WELL INPUTS'!$B$13="Unrestricted",CODE(H341)&lt;=CODE('WELL INPUTS'!$B$13)),"WITHIN TIER","OVER CAP")</x:f>
        <x:v>WITHIN TIER</x:v>
      </x:c>
      <x:c r="Q341" t="n">
        <x:f>MAX(0,MIN(100,43+IF(L341="OK",14,-20)+IF(M341="CATALOG SOUR",24,IF(M341="NOT LISTED",-18,0))+IF(N341="ALLOY FAMILY",14,IF(N341="CORROSION CONTROL",-13,0))+IF(O341="CLAIMED",17,IF(O341="NOT LISTED",-14,0))+IF(K341="Yes",-15,0)+IF('WELL INPUTS'!$B$10="Yes",-17,0)))</x:f>
        <x:v>44</x:v>
      </x:c>
      <x:c r="R341" s="83" t="str">
        <x:f>IF(L341="BELOW","EXCLUDE — STRENGTH",IF(P341="OVER CAP","EXCLUDE — COST",IF(K341="Yes",IF('WELL INPUTS'!$B$14="No","EXCLUDE — REFERENCE","REFERENCE ONLY"),IF(OR(L341="UNKNOWN",M341="NOT LISTED",N341="CORROSION CONTROL",O341="NOT LISTED",'WELL INPUTS'!$B$10="Yes",'WELL INPUTS'!$B$4="Unknown"),"REVIEW","CANDIDATE — VERIFY"))))</x:f>
        <x:v>REVIEW</x:v>
      </x:c>
      <x:c r="S341" t="str">
        <x:f>IF(L341="BELOW","Increase minimum grade strength",IF(P341="OVER CAP","Relax cost tier or exclude",IF(K341="Yes","Identify qualified manufacturer grade",IF(M341="NOT LISTED","Confirm sour-service claim and ISO 15156",IF(O341="NOT LISTED","Obtain manufacturer collapse curve",IF(N341="CORROSION CONTROL","Model CO2 corrosion; review inhibition","Confirm corrosion, cracking, loads and connection"))))))</x:f>
        <x:v>Model CO2 corrosion; review inhibition</x:v>
      </x:c>
      <x:c r="T341" t="str">
        <x:v>https://www.voestalpine.com/tubulars/en/products/Proprietary-Grades/</x:v>
      </x:c>
    </x:row>
    <x:row r="342" ht="23" customHeight="1">
      <x:c r="A342" t="str">
        <x:v>OCTG-0341</x:v>
      </x:c>
      <x:c r="B342" t="str">
        <x:v>voestalpine Tubulars</x:v>
      </x:c>
      <x:c r="C342" t="str">
        <x:v>VA-SS-110</x:v>
      </x:c>
      <x:c r="D342" t="str">
        <x:v>Carbon / low alloy</x:v>
      </x:c>
      <x:c r="E342" t="str">
        <x:v>Sour service</x:v>
      </x:c>
      <x:c r="F342" s="82" t="n">
        <x:v>110</x:v>
      </x:c>
      <x:c r="G342" t="str">
        <x:v>No</x:v>
      </x:c>
      <x:c r="H342" t="str">
        <x:v>A</x:v>
      </x:c>
      <x:c r="I342" t="str">
        <x:v>Yes</x:v>
      </x:c>
      <x:c r="J342" t="str">
        <x:v>No</x:v>
      </x:c>
      <x:c r="K342" t="str">
        <x:v>No</x:v>
      </x:c>
      <x:c r="L342" t="str">
        <x:f>IF(F342="","UNKNOWN",IF(F342&lt;'WELL INPUTS'!$B$11,"BELOW","OK"))</x:f>
        <x:v>OK</x:v>
      </x:c>
      <x:c r="M342" t="str">
        <x:f>IF(AND('WELL INPUTS'!$B$4="Wet",'WELL INPUTS'!$B$5&gt;0),IF(I342="Yes","CATALOG SOUR","NOT LISTED"),"N/A")</x:f>
        <x:v>N/A</x:v>
      </x:c>
      <x:c r="N342" t="str">
        <x:f>IF(AND('WELL INPUTS'!$B$4="Wet",'WELL INPUTS'!$B$6&gt;0),IF(J342="Yes","ALLOY FAMILY","CORROSION CONTROL"),"N/A")</x:f>
        <x:v>CORROSION CONTROL</x:v>
      </x:c>
      <x:c r="O342" t="str">
        <x:f>IF('WELL INPUTS'!$B$12="Yes",IF(G342="Yes","CLAIMED","NOT LISTED"),"N/A")</x:f>
        <x:v>N/A</x:v>
      </x:c>
      <x:c r="P342" t="str">
        <x:f>IF(OR('WELL INPUTS'!$B$13="Unrestricted",CODE(H342)&lt;=CODE('WELL INPUTS'!$B$13)),"WITHIN TIER","OVER CAP")</x:f>
        <x:v>WITHIN TIER</x:v>
      </x:c>
      <x:c r="Q342" t="n">
        <x:f>MAX(0,MIN(100,43+IF(L342="OK",14,-20)+IF(M342="CATALOG SOUR",24,IF(M342="NOT LISTED",-18,0))+IF(N342="ALLOY FAMILY",14,IF(N342="CORROSION CONTROL",-13,0))+IF(O342="CLAIMED",17,IF(O342="NOT LISTED",-14,0))+IF(K342="Yes",-15,0)+IF('WELL INPUTS'!$B$10="Yes",-17,0)))</x:f>
        <x:v>44</x:v>
      </x:c>
      <x:c r="R342" s="83" t="str">
        <x:f>IF(L342="BELOW","EXCLUDE — STRENGTH",IF(P342="OVER CAP","EXCLUDE — COST",IF(K342="Yes",IF('WELL INPUTS'!$B$14="No","EXCLUDE — REFERENCE","REFERENCE ONLY"),IF(OR(L342="UNKNOWN",M342="NOT LISTED",N342="CORROSION CONTROL",O342="NOT LISTED",'WELL INPUTS'!$B$10="Yes",'WELL INPUTS'!$B$4="Unknown"),"REVIEW","CANDIDATE — VERIFY"))))</x:f>
        <x:v>REVIEW</x:v>
      </x:c>
      <x:c r="S342" t="str">
        <x:f>IF(L342="BELOW","Increase minimum grade strength",IF(P342="OVER CAP","Relax cost tier or exclude",IF(K342="Yes","Identify qualified manufacturer grade",IF(M342="NOT LISTED","Confirm sour-service claim and ISO 15156",IF(O342="NOT LISTED","Obtain manufacturer collapse curve",IF(N342="CORROSION CONTROL","Model CO2 corrosion; review inhibition","Confirm corrosion, cracking, loads and connection"))))))</x:f>
        <x:v>Model CO2 corrosion; review inhibition</x:v>
      </x:c>
      <x:c r="T342" t="str">
        <x:v>https://www.voestalpine.com/tubulars/en/products/Proprietary-Grades/</x:v>
      </x:c>
    </x:row>
    <x:row r="343" ht="23" customHeight="1">
      <x:c r="A343" t="str">
        <x:v>OCTG-0342</x:v>
      </x:c>
      <x:c r="B343" t="str">
        <x:v>voestalpine Tubulars</x:v>
      </x:c>
      <x:c r="C343" t="str">
        <x:v>VA-SS-110-EP</x:v>
      </x:c>
      <x:c r="D343" t="str">
        <x:v>Carbon / low alloy</x:v>
      </x:c>
      <x:c r="E343" t="str">
        <x:v>Sour + enhanced</x:v>
      </x:c>
      <x:c r="F343" s="82" t="n">
        <x:v>110</x:v>
      </x:c>
      <x:c r="G343" t="str">
        <x:v>No</x:v>
      </x:c>
      <x:c r="H343" t="str">
        <x:v>A</x:v>
      </x:c>
      <x:c r="I343" t="str">
        <x:v>Yes</x:v>
      </x:c>
      <x:c r="J343" t="str">
        <x:v>No</x:v>
      </x:c>
      <x:c r="K343" t="str">
        <x:v>No</x:v>
      </x:c>
      <x:c r="L343" t="str">
        <x:f>IF(F343="","UNKNOWN",IF(F343&lt;'WELL INPUTS'!$B$11,"BELOW","OK"))</x:f>
        <x:v>OK</x:v>
      </x:c>
      <x:c r="M343" t="str">
        <x:f>IF(AND('WELL INPUTS'!$B$4="Wet",'WELL INPUTS'!$B$5&gt;0),IF(I343="Yes","CATALOG SOUR","NOT LISTED"),"N/A")</x:f>
        <x:v>N/A</x:v>
      </x:c>
      <x:c r="N343" t="str">
        <x:f>IF(AND('WELL INPUTS'!$B$4="Wet",'WELL INPUTS'!$B$6&gt;0),IF(J343="Yes","ALLOY FAMILY","CORROSION CONTROL"),"N/A")</x:f>
        <x:v>CORROSION CONTROL</x:v>
      </x:c>
      <x:c r="O343" t="str">
        <x:f>IF('WELL INPUTS'!$B$12="Yes",IF(G343="Yes","CLAIMED","NOT LISTED"),"N/A")</x:f>
        <x:v>N/A</x:v>
      </x:c>
      <x:c r="P343" t="str">
        <x:f>IF(OR('WELL INPUTS'!$B$13="Unrestricted",CODE(H343)&lt;=CODE('WELL INPUTS'!$B$13)),"WITHIN TIER","OVER CAP")</x:f>
        <x:v>WITHIN TIER</x:v>
      </x:c>
      <x:c r="Q343" t="n">
        <x:f>MAX(0,MIN(100,43+IF(L343="OK",14,-20)+IF(M343="CATALOG SOUR",24,IF(M343="NOT LISTED",-18,0))+IF(N343="ALLOY FAMILY",14,IF(N343="CORROSION CONTROL",-13,0))+IF(O343="CLAIMED",17,IF(O343="NOT LISTED",-14,0))+IF(K343="Yes",-15,0)+IF('WELL INPUTS'!$B$10="Yes",-17,0)))</x:f>
        <x:v>44</x:v>
      </x:c>
      <x:c r="R343" s="83" t="str">
        <x:f>IF(L343="BELOW","EXCLUDE — STRENGTH",IF(P343="OVER CAP","EXCLUDE — COST",IF(K343="Yes",IF('WELL INPUTS'!$B$14="No","EXCLUDE — REFERENCE","REFERENCE ONLY"),IF(OR(L343="UNKNOWN",M343="NOT LISTED",N343="CORROSION CONTROL",O343="NOT LISTED",'WELL INPUTS'!$B$10="Yes",'WELL INPUTS'!$B$4="Unknown"),"REVIEW","CANDIDATE — VERIFY"))))</x:f>
        <x:v>REVIEW</x:v>
      </x:c>
      <x:c r="S343" t="str">
        <x:f>IF(L343="BELOW","Increase minimum grade strength",IF(P343="OVER CAP","Relax cost tier or exclude",IF(K343="Yes","Identify qualified manufacturer grade",IF(M343="NOT LISTED","Confirm sour-service claim and ISO 15156",IF(O343="NOT LISTED","Obtain manufacturer collapse curve",IF(N343="CORROSION CONTROL","Model CO2 corrosion; review inhibition","Confirm corrosion, cracking, loads and connection"))))))</x:f>
        <x:v>Model CO2 corrosion; review inhibition</x:v>
      </x:c>
      <x:c r="T343" t="str">
        <x:v>https://www.voestalpine.com/tubulars/en/products/Proprietary-Grades/</x:v>
      </x:c>
    </x:row>
    <x:row r="344" ht="23" customHeight="1">
      <x:c r="A344" t="str">
        <x:v>OCTG-0343</x:v>
      </x:c>
      <x:c r="B344" t="str">
        <x:v>voestalpine Tubulars</x:v>
      </x:c>
      <x:c r="C344" t="str">
        <x:v>VA-SS-110-HC</x:v>
      </x:c>
      <x:c r="D344" t="str">
        <x:v>Carbon / low alloy</x:v>
      </x:c>
      <x:c r="E344" t="str">
        <x:v>Sour + high collapse</x:v>
      </x:c>
      <x:c r="F344" s="82" t="n">
        <x:v>110</x:v>
      </x:c>
      <x:c r="G344" t="str">
        <x:v>Yes</x:v>
      </x:c>
      <x:c r="H344" t="str">
        <x:v>A</x:v>
      </x:c>
      <x:c r="I344" t="str">
        <x:v>Yes</x:v>
      </x:c>
      <x:c r="J344" t="str">
        <x:v>No</x:v>
      </x:c>
      <x:c r="K344" t="str">
        <x:v>No</x:v>
      </x:c>
      <x:c r="L344" t="str">
        <x:f>IF(F344="","UNKNOWN",IF(F344&lt;'WELL INPUTS'!$B$11,"BELOW","OK"))</x:f>
        <x:v>OK</x:v>
      </x:c>
      <x:c r="M344" t="str">
        <x:f>IF(AND('WELL INPUTS'!$B$4="Wet",'WELL INPUTS'!$B$5&gt;0),IF(I344="Yes","CATALOG SOUR","NOT LISTED"),"N/A")</x:f>
        <x:v>N/A</x:v>
      </x:c>
      <x:c r="N344" t="str">
        <x:f>IF(AND('WELL INPUTS'!$B$4="Wet",'WELL INPUTS'!$B$6&gt;0),IF(J344="Yes","ALLOY FAMILY","CORROSION CONTROL"),"N/A")</x:f>
        <x:v>CORROSION CONTROL</x:v>
      </x:c>
      <x:c r="O344" t="str">
        <x:f>IF('WELL INPUTS'!$B$12="Yes",IF(G344="Yes","CLAIMED","NOT LISTED"),"N/A")</x:f>
        <x:v>N/A</x:v>
      </x:c>
      <x:c r="P344" t="str">
        <x:f>IF(OR('WELL INPUTS'!$B$13="Unrestricted",CODE(H344)&lt;=CODE('WELL INPUTS'!$B$13)),"WITHIN TIER","OVER CAP")</x:f>
        <x:v>WITHIN TIER</x:v>
      </x:c>
      <x:c r="Q344" t="n">
        <x:f>MAX(0,MIN(100,43+IF(L344="OK",14,-20)+IF(M344="CATALOG SOUR",24,IF(M344="NOT LISTED",-18,0))+IF(N344="ALLOY FAMILY",14,IF(N344="CORROSION CONTROL",-13,0))+IF(O344="CLAIMED",17,IF(O344="NOT LISTED",-14,0))+IF(K344="Yes",-15,0)+IF('WELL INPUTS'!$B$10="Yes",-17,0)))</x:f>
        <x:v>44</x:v>
      </x:c>
      <x:c r="R344" s="83" t="str">
        <x:f>IF(L344="BELOW","EXCLUDE — STRENGTH",IF(P344="OVER CAP","EXCLUDE — COST",IF(K344="Yes",IF('WELL INPUTS'!$B$14="No","EXCLUDE — REFERENCE","REFERENCE ONLY"),IF(OR(L344="UNKNOWN",M344="NOT LISTED",N344="CORROSION CONTROL",O344="NOT LISTED",'WELL INPUTS'!$B$10="Yes",'WELL INPUTS'!$B$4="Unknown"),"REVIEW","CANDIDATE — VERIFY"))))</x:f>
        <x:v>REVIEW</x:v>
      </x:c>
      <x:c r="S344" t="str">
        <x:f>IF(L344="BELOW","Increase minimum grade strength",IF(P344="OVER CAP","Relax cost tier or exclude",IF(K344="Yes","Identify qualified manufacturer grade",IF(M344="NOT LISTED","Confirm sour-service claim and ISO 15156",IF(O344="NOT LISTED","Obtain manufacturer collapse curve",IF(N344="CORROSION CONTROL","Model CO2 corrosion; review inhibition","Confirm corrosion, cracking, loads and connection"))))))</x:f>
        <x:v>Model CO2 corrosion; review inhibition</x:v>
      </x:c>
      <x:c r="T344" t="str">
        <x:v>https://www.voestalpine.com/tubulars/en/products/Proprietary-Grades/</x:v>
      </x:c>
    </x:row>
    <x:row r="345" ht="23" customHeight="1">
      <x:c r="A345" t="str">
        <x:v>OCTG-0344</x:v>
      </x:c>
      <x:c r="B345" t="str">
        <x:v>voestalpine Tubulars</x:v>
      </x:c>
      <x:c r="C345" t="str">
        <x:v>VA-SS-80</x:v>
      </x:c>
      <x:c r="D345" t="str">
        <x:v>Carbon / low alloy</x:v>
      </x:c>
      <x:c r="E345" t="str">
        <x:v>Sour service</x:v>
      </x:c>
      <x:c r="F345" s="82" t="n">
        <x:v>80</x:v>
      </x:c>
      <x:c r="G345" t="str">
        <x:v>No</x:v>
      </x:c>
      <x:c r="H345" t="str">
        <x:v>A</x:v>
      </x:c>
      <x:c r="I345" t="str">
        <x:v>Yes</x:v>
      </x:c>
      <x:c r="J345" t="str">
        <x:v>No</x:v>
      </x:c>
      <x:c r="K345" t="str">
        <x:v>No</x:v>
      </x:c>
      <x:c r="L345" t="str">
        <x:f>IF(F345="","UNKNOWN",IF(F345&lt;'WELL INPUTS'!$B$11,"BELOW","OK"))</x:f>
        <x:v>OK</x:v>
      </x:c>
      <x:c r="M345" t="str">
        <x:f>IF(AND('WELL INPUTS'!$B$4="Wet",'WELL INPUTS'!$B$5&gt;0),IF(I345="Yes","CATALOG SOUR","NOT LISTED"),"N/A")</x:f>
        <x:v>N/A</x:v>
      </x:c>
      <x:c r="N345" t="str">
        <x:f>IF(AND('WELL INPUTS'!$B$4="Wet",'WELL INPUTS'!$B$6&gt;0),IF(J345="Yes","ALLOY FAMILY","CORROSION CONTROL"),"N/A")</x:f>
        <x:v>CORROSION CONTROL</x:v>
      </x:c>
      <x:c r="O345" t="str">
        <x:f>IF('WELL INPUTS'!$B$12="Yes",IF(G345="Yes","CLAIMED","NOT LISTED"),"N/A")</x:f>
        <x:v>N/A</x:v>
      </x:c>
      <x:c r="P345" t="str">
        <x:f>IF(OR('WELL INPUTS'!$B$13="Unrestricted",CODE(H345)&lt;=CODE('WELL INPUTS'!$B$13)),"WITHIN TIER","OVER CAP")</x:f>
        <x:v>WITHIN TIER</x:v>
      </x:c>
      <x:c r="Q345" t="n">
        <x:f>MAX(0,MIN(100,43+IF(L345="OK",14,-20)+IF(M345="CATALOG SOUR",24,IF(M345="NOT LISTED",-18,0))+IF(N345="ALLOY FAMILY",14,IF(N345="CORROSION CONTROL",-13,0))+IF(O345="CLAIMED",17,IF(O345="NOT LISTED",-14,0))+IF(K345="Yes",-15,0)+IF('WELL INPUTS'!$B$10="Yes",-17,0)))</x:f>
        <x:v>44</x:v>
      </x:c>
      <x:c r="R345" s="83" t="str">
        <x:f>IF(L345="BELOW","EXCLUDE — STRENGTH",IF(P345="OVER CAP","EXCLUDE — COST",IF(K345="Yes",IF('WELL INPUTS'!$B$14="No","EXCLUDE — REFERENCE","REFERENCE ONLY"),IF(OR(L345="UNKNOWN",M345="NOT LISTED",N345="CORROSION CONTROL",O345="NOT LISTED",'WELL INPUTS'!$B$10="Yes",'WELL INPUTS'!$B$4="Unknown"),"REVIEW","CANDIDATE — VERIFY"))))</x:f>
        <x:v>REVIEW</x:v>
      </x:c>
      <x:c r="S345" t="str">
        <x:f>IF(L345="BELOW","Increase minimum grade strength",IF(P345="OVER CAP","Relax cost tier or exclude",IF(K345="Yes","Identify qualified manufacturer grade",IF(M345="NOT LISTED","Confirm sour-service claim and ISO 15156",IF(O345="NOT LISTED","Obtain manufacturer collapse curve",IF(N345="CORROSION CONTROL","Model CO2 corrosion; review inhibition","Confirm corrosion, cracking, loads and connection"))))))</x:f>
        <x:v>Model CO2 corrosion; review inhibition</x:v>
      </x:c>
      <x:c r="T345" t="str">
        <x:v>https://www.voestalpine.com/tubulars/en/products/Proprietary-Grades/</x:v>
      </x:c>
    </x:row>
    <x:row r="346" ht="23" customHeight="1">
      <x:c r="A346" t="str">
        <x:v>OCTG-0345</x:v>
      </x:c>
      <x:c r="B346" t="str">
        <x:v>voestalpine Tubulars</x:v>
      </x:c>
      <x:c r="C346" t="str">
        <x:v>VA-SS-80-EP</x:v>
      </x:c>
      <x:c r="D346" t="str">
        <x:v>Carbon / low alloy</x:v>
      </x:c>
      <x:c r="E346" t="str">
        <x:v>Sour + enhanced</x:v>
      </x:c>
      <x:c r="F346" s="82" t="n">
        <x:v>80</x:v>
      </x:c>
      <x:c r="G346" t="str">
        <x:v>No</x:v>
      </x:c>
      <x:c r="H346" t="str">
        <x:v>A</x:v>
      </x:c>
      <x:c r="I346" t="str">
        <x:v>Yes</x:v>
      </x:c>
      <x:c r="J346" t="str">
        <x:v>No</x:v>
      </x:c>
      <x:c r="K346" t="str">
        <x:v>No</x:v>
      </x:c>
      <x:c r="L346" t="str">
        <x:f>IF(F346="","UNKNOWN",IF(F346&lt;'WELL INPUTS'!$B$11,"BELOW","OK"))</x:f>
        <x:v>OK</x:v>
      </x:c>
      <x:c r="M346" t="str">
        <x:f>IF(AND('WELL INPUTS'!$B$4="Wet",'WELL INPUTS'!$B$5&gt;0),IF(I346="Yes","CATALOG SOUR","NOT LISTED"),"N/A")</x:f>
        <x:v>N/A</x:v>
      </x:c>
      <x:c r="N346" t="str">
        <x:f>IF(AND('WELL INPUTS'!$B$4="Wet",'WELL INPUTS'!$B$6&gt;0),IF(J346="Yes","ALLOY FAMILY","CORROSION CONTROL"),"N/A")</x:f>
        <x:v>CORROSION CONTROL</x:v>
      </x:c>
      <x:c r="O346" t="str">
        <x:f>IF('WELL INPUTS'!$B$12="Yes",IF(G346="Yes","CLAIMED","NOT LISTED"),"N/A")</x:f>
        <x:v>N/A</x:v>
      </x:c>
      <x:c r="P346" t="str">
        <x:f>IF(OR('WELL INPUTS'!$B$13="Unrestricted",CODE(H346)&lt;=CODE('WELL INPUTS'!$B$13)),"WITHIN TIER","OVER CAP")</x:f>
        <x:v>WITHIN TIER</x:v>
      </x:c>
      <x:c r="Q346" t="n">
        <x:f>MAX(0,MIN(100,43+IF(L346="OK",14,-20)+IF(M346="CATALOG SOUR",24,IF(M346="NOT LISTED",-18,0))+IF(N346="ALLOY FAMILY",14,IF(N346="CORROSION CONTROL",-13,0))+IF(O346="CLAIMED",17,IF(O346="NOT LISTED",-14,0))+IF(K346="Yes",-15,0)+IF('WELL INPUTS'!$B$10="Yes",-17,0)))</x:f>
        <x:v>44</x:v>
      </x:c>
      <x:c r="R346" s="83" t="str">
        <x:f>IF(L346="BELOW","EXCLUDE — STRENGTH",IF(P346="OVER CAP","EXCLUDE — COST",IF(K346="Yes",IF('WELL INPUTS'!$B$14="No","EXCLUDE — REFERENCE","REFERENCE ONLY"),IF(OR(L346="UNKNOWN",M346="NOT LISTED",N346="CORROSION CONTROL",O346="NOT LISTED",'WELL INPUTS'!$B$10="Yes",'WELL INPUTS'!$B$4="Unknown"),"REVIEW","CANDIDATE — VERIFY"))))</x:f>
        <x:v>REVIEW</x:v>
      </x:c>
      <x:c r="S346" t="str">
        <x:f>IF(L346="BELOW","Increase minimum grade strength",IF(P346="OVER CAP","Relax cost tier or exclude",IF(K346="Yes","Identify qualified manufacturer grade",IF(M346="NOT LISTED","Confirm sour-service claim and ISO 15156",IF(O346="NOT LISTED","Obtain manufacturer collapse curve",IF(N346="CORROSION CONTROL","Model CO2 corrosion; review inhibition","Confirm corrosion, cracking, loads and connection"))))))</x:f>
        <x:v>Model CO2 corrosion; review inhibition</x:v>
      </x:c>
      <x:c r="T346" t="str">
        <x:v>https://www.voestalpine.com/tubulars/en/products/Proprietary-Grades/</x:v>
      </x:c>
    </x:row>
    <x:row r="347" ht="23" customHeight="1">
      <x:c r="A347" t="str">
        <x:v>OCTG-0346</x:v>
      </x:c>
      <x:c r="B347" t="str">
        <x:v>voestalpine Tubulars</x:v>
      </x:c>
      <x:c r="C347" t="str">
        <x:v>VA-SS-80-HC</x:v>
      </x:c>
      <x:c r="D347" t="str">
        <x:v>Carbon / low alloy</x:v>
      </x:c>
      <x:c r="E347" t="str">
        <x:v>Sour + high collapse</x:v>
      </x:c>
      <x:c r="F347" s="82" t="n">
        <x:v>80</x:v>
      </x:c>
      <x:c r="G347" t="str">
        <x:v>Yes</x:v>
      </x:c>
      <x:c r="H347" t="str">
        <x:v>A</x:v>
      </x:c>
      <x:c r="I347" t="str">
        <x:v>Yes</x:v>
      </x:c>
      <x:c r="J347" t="str">
        <x:v>No</x:v>
      </x:c>
      <x:c r="K347" t="str">
        <x:v>No</x:v>
      </x:c>
      <x:c r="L347" t="str">
        <x:f>IF(F347="","UNKNOWN",IF(F347&lt;'WELL INPUTS'!$B$11,"BELOW","OK"))</x:f>
        <x:v>OK</x:v>
      </x:c>
      <x:c r="M347" t="str">
        <x:f>IF(AND('WELL INPUTS'!$B$4="Wet",'WELL INPUTS'!$B$5&gt;0),IF(I347="Yes","CATALOG SOUR","NOT LISTED"),"N/A")</x:f>
        <x:v>N/A</x:v>
      </x:c>
      <x:c r="N347" t="str">
        <x:f>IF(AND('WELL INPUTS'!$B$4="Wet",'WELL INPUTS'!$B$6&gt;0),IF(J347="Yes","ALLOY FAMILY","CORROSION CONTROL"),"N/A")</x:f>
        <x:v>CORROSION CONTROL</x:v>
      </x:c>
      <x:c r="O347" t="str">
        <x:f>IF('WELL INPUTS'!$B$12="Yes",IF(G347="Yes","CLAIMED","NOT LISTED"),"N/A")</x:f>
        <x:v>N/A</x:v>
      </x:c>
      <x:c r="P347" t="str">
        <x:f>IF(OR('WELL INPUTS'!$B$13="Unrestricted",CODE(H347)&lt;=CODE('WELL INPUTS'!$B$13)),"WITHIN TIER","OVER CAP")</x:f>
        <x:v>WITHIN TIER</x:v>
      </x:c>
      <x:c r="Q347" t="n">
        <x:f>MAX(0,MIN(100,43+IF(L347="OK",14,-20)+IF(M347="CATALOG SOUR",24,IF(M347="NOT LISTED",-18,0))+IF(N347="ALLOY FAMILY",14,IF(N347="CORROSION CONTROL",-13,0))+IF(O347="CLAIMED",17,IF(O347="NOT LISTED",-14,0))+IF(K347="Yes",-15,0)+IF('WELL INPUTS'!$B$10="Yes",-17,0)))</x:f>
        <x:v>44</x:v>
      </x:c>
      <x:c r="R347" s="83" t="str">
        <x:f>IF(L347="BELOW","EXCLUDE — STRENGTH",IF(P347="OVER CAP","EXCLUDE — COST",IF(K347="Yes",IF('WELL INPUTS'!$B$14="No","EXCLUDE — REFERENCE","REFERENCE ONLY"),IF(OR(L347="UNKNOWN",M347="NOT LISTED",N347="CORROSION CONTROL",O347="NOT LISTED",'WELL INPUTS'!$B$10="Yes",'WELL INPUTS'!$B$4="Unknown"),"REVIEW","CANDIDATE — VERIFY"))))</x:f>
        <x:v>REVIEW</x:v>
      </x:c>
      <x:c r="S347" t="str">
        <x:f>IF(L347="BELOW","Increase minimum grade strength",IF(P347="OVER CAP","Relax cost tier or exclude",IF(K347="Yes","Identify qualified manufacturer grade",IF(M347="NOT LISTED","Confirm sour-service claim and ISO 15156",IF(O347="NOT LISTED","Obtain manufacturer collapse curve",IF(N347="CORROSION CONTROL","Model CO2 corrosion; review inhibition","Confirm corrosion, cracking, loads and connection"))))))</x:f>
        <x:v>Model CO2 corrosion; review inhibition</x:v>
      </x:c>
      <x:c r="T347" t="str">
        <x:v>https://www.voestalpine.com/tubulars/en/products/Proprietary-Grades/</x:v>
      </x:c>
    </x:row>
    <x:row r="348" ht="23" customHeight="1">
      <x:c r="A348" t="str">
        <x:v>OCTG-0347</x:v>
      </x:c>
      <x:c r="B348" t="str">
        <x:v>voestalpine Tubulars</x:v>
      </x:c>
      <x:c r="C348" t="str">
        <x:v>VA-SS-90</x:v>
      </x:c>
      <x:c r="D348" t="str">
        <x:v>Carbon / low alloy</x:v>
      </x:c>
      <x:c r="E348" t="str">
        <x:v>Sour service</x:v>
      </x:c>
      <x:c r="F348" s="82" t="n">
        <x:v>90</x:v>
      </x:c>
      <x:c r="G348" t="str">
        <x:v>No</x:v>
      </x:c>
      <x:c r="H348" t="str">
        <x:v>A</x:v>
      </x:c>
      <x:c r="I348" t="str">
        <x:v>Yes</x:v>
      </x:c>
      <x:c r="J348" t="str">
        <x:v>No</x:v>
      </x:c>
      <x:c r="K348" t="str">
        <x:v>No</x:v>
      </x:c>
      <x:c r="L348" t="str">
        <x:f>IF(F348="","UNKNOWN",IF(F348&lt;'WELL INPUTS'!$B$11,"BELOW","OK"))</x:f>
        <x:v>OK</x:v>
      </x:c>
      <x:c r="M348" t="str">
        <x:f>IF(AND('WELL INPUTS'!$B$4="Wet",'WELL INPUTS'!$B$5&gt;0),IF(I348="Yes","CATALOG SOUR","NOT LISTED"),"N/A")</x:f>
        <x:v>N/A</x:v>
      </x:c>
      <x:c r="N348" t="str">
        <x:f>IF(AND('WELL INPUTS'!$B$4="Wet",'WELL INPUTS'!$B$6&gt;0),IF(J348="Yes","ALLOY FAMILY","CORROSION CONTROL"),"N/A")</x:f>
        <x:v>CORROSION CONTROL</x:v>
      </x:c>
      <x:c r="O348" t="str">
        <x:f>IF('WELL INPUTS'!$B$12="Yes",IF(G348="Yes","CLAIMED","NOT LISTED"),"N/A")</x:f>
        <x:v>N/A</x:v>
      </x:c>
      <x:c r="P348" t="str">
        <x:f>IF(OR('WELL INPUTS'!$B$13="Unrestricted",CODE(H348)&lt;=CODE('WELL INPUTS'!$B$13)),"WITHIN TIER","OVER CAP")</x:f>
        <x:v>WITHIN TIER</x:v>
      </x:c>
      <x:c r="Q348" t="n">
        <x:f>MAX(0,MIN(100,43+IF(L348="OK",14,-20)+IF(M348="CATALOG SOUR",24,IF(M348="NOT LISTED",-18,0))+IF(N348="ALLOY FAMILY",14,IF(N348="CORROSION CONTROL",-13,0))+IF(O348="CLAIMED",17,IF(O348="NOT LISTED",-14,0))+IF(K348="Yes",-15,0)+IF('WELL INPUTS'!$B$10="Yes",-17,0)))</x:f>
        <x:v>44</x:v>
      </x:c>
      <x:c r="R348" s="83" t="str">
        <x:f>IF(L348="BELOW","EXCLUDE — STRENGTH",IF(P348="OVER CAP","EXCLUDE — COST",IF(K348="Yes",IF('WELL INPUTS'!$B$14="No","EXCLUDE — REFERENCE","REFERENCE ONLY"),IF(OR(L348="UNKNOWN",M348="NOT LISTED",N348="CORROSION CONTROL",O348="NOT LISTED",'WELL INPUTS'!$B$10="Yes",'WELL INPUTS'!$B$4="Unknown"),"REVIEW","CANDIDATE — VERIFY"))))</x:f>
        <x:v>REVIEW</x:v>
      </x:c>
      <x:c r="S348" t="str">
        <x:f>IF(L348="BELOW","Increase minimum grade strength",IF(P348="OVER CAP","Relax cost tier or exclude",IF(K348="Yes","Identify qualified manufacturer grade",IF(M348="NOT LISTED","Confirm sour-service claim and ISO 15156",IF(O348="NOT LISTED","Obtain manufacturer collapse curve",IF(N348="CORROSION CONTROL","Model CO2 corrosion; review inhibition","Confirm corrosion, cracking, loads and connection"))))))</x:f>
        <x:v>Model CO2 corrosion; review inhibition</x:v>
      </x:c>
      <x:c r="T348" t="str">
        <x:v>https://www.voestalpine.com/tubulars/en/products/Proprietary-Grades/</x:v>
      </x:c>
    </x:row>
    <x:row r="349" ht="23" customHeight="1">
      <x:c r="A349" t="str">
        <x:v>OCTG-0348</x:v>
      </x:c>
      <x:c r="B349" t="str">
        <x:v>voestalpine Tubulars</x:v>
      </x:c>
      <x:c r="C349" t="str">
        <x:v>VA-SS-90-EP</x:v>
      </x:c>
      <x:c r="D349" t="str">
        <x:v>Carbon / low alloy</x:v>
      </x:c>
      <x:c r="E349" t="str">
        <x:v>Sour + enhanced</x:v>
      </x:c>
      <x:c r="F349" s="82" t="n">
        <x:v>90</x:v>
      </x:c>
      <x:c r="G349" t="str">
        <x:v>No</x:v>
      </x:c>
      <x:c r="H349" t="str">
        <x:v>A</x:v>
      </x:c>
      <x:c r="I349" t="str">
        <x:v>Yes</x:v>
      </x:c>
      <x:c r="J349" t="str">
        <x:v>No</x:v>
      </x:c>
      <x:c r="K349" t="str">
        <x:v>No</x:v>
      </x:c>
      <x:c r="L349" t="str">
        <x:f>IF(F349="","UNKNOWN",IF(F349&lt;'WELL INPUTS'!$B$11,"BELOW","OK"))</x:f>
        <x:v>OK</x:v>
      </x:c>
      <x:c r="M349" t="str">
        <x:f>IF(AND('WELL INPUTS'!$B$4="Wet",'WELL INPUTS'!$B$5&gt;0),IF(I349="Yes","CATALOG SOUR","NOT LISTED"),"N/A")</x:f>
        <x:v>N/A</x:v>
      </x:c>
      <x:c r="N349" t="str">
        <x:f>IF(AND('WELL INPUTS'!$B$4="Wet",'WELL INPUTS'!$B$6&gt;0),IF(J349="Yes","ALLOY FAMILY","CORROSION CONTROL"),"N/A")</x:f>
        <x:v>CORROSION CONTROL</x:v>
      </x:c>
      <x:c r="O349" t="str">
        <x:f>IF('WELL INPUTS'!$B$12="Yes",IF(G349="Yes","CLAIMED","NOT LISTED"),"N/A")</x:f>
        <x:v>N/A</x:v>
      </x:c>
      <x:c r="P349" t="str">
        <x:f>IF(OR('WELL INPUTS'!$B$13="Unrestricted",CODE(H349)&lt;=CODE('WELL INPUTS'!$B$13)),"WITHIN TIER","OVER CAP")</x:f>
        <x:v>WITHIN TIER</x:v>
      </x:c>
      <x:c r="Q349" t="n">
        <x:f>MAX(0,MIN(100,43+IF(L349="OK",14,-20)+IF(M349="CATALOG SOUR",24,IF(M349="NOT LISTED",-18,0))+IF(N349="ALLOY FAMILY",14,IF(N349="CORROSION CONTROL",-13,0))+IF(O349="CLAIMED",17,IF(O349="NOT LISTED",-14,0))+IF(K349="Yes",-15,0)+IF('WELL INPUTS'!$B$10="Yes",-17,0)))</x:f>
        <x:v>44</x:v>
      </x:c>
      <x:c r="R349" s="83" t="str">
        <x:f>IF(L349="BELOW","EXCLUDE — STRENGTH",IF(P349="OVER CAP","EXCLUDE — COST",IF(K349="Yes",IF('WELL INPUTS'!$B$14="No","EXCLUDE — REFERENCE","REFERENCE ONLY"),IF(OR(L349="UNKNOWN",M349="NOT LISTED",N349="CORROSION CONTROL",O349="NOT LISTED",'WELL INPUTS'!$B$10="Yes",'WELL INPUTS'!$B$4="Unknown"),"REVIEW","CANDIDATE — VERIFY"))))</x:f>
        <x:v>REVIEW</x:v>
      </x:c>
      <x:c r="S349" t="str">
        <x:f>IF(L349="BELOW","Increase minimum grade strength",IF(P349="OVER CAP","Relax cost tier or exclude",IF(K349="Yes","Identify qualified manufacturer grade",IF(M349="NOT LISTED","Confirm sour-service claim and ISO 15156",IF(O349="NOT LISTED","Obtain manufacturer collapse curve",IF(N349="CORROSION CONTROL","Model CO2 corrosion; review inhibition","Confirm corrosion, cracking, loads and connection"))))))</x:f>
        <x:v>Model CO2 corrosion; review inhibition</x:v>
      </x:c>
      <x:c r="T349" t="str">
        <x:v>https://www.voestalpine.com/tubulars/en/products/Proprietary-Grades/</x:v>
      </x:c>
    </x:row>
    <x:row r="350" ht="23" customHeight="1">
      <x:c r="A350" t="str">
        <x:v>OCTG-0349</x:v>
      </x:c>
      <x:c r="B350" t="str">
        <x:v>voestalpine Tubulars</x:v>
      </x:c>
      <x:c r="C350" t="str">
        <x:v>VA-SS-90-HC</x:v>
      </x:c>
      <x:c r="D350" t="str">
        <x:v>Carbon / low alloy</x:v>
      </x:c>
      <x:c r="E350" t="str">
        <x:v>Sour + high collapse</x:v>
      </x:c>
      <x:c r="F350" s="82" t="n">
        <x:v>90</x:v>
      </x:c>
      <x:c r="G350" t="str">
        <x:v>Yes</x:v>
      </x:c>
      <x:c r="H350" t="str">
        <x:v>A</x:v>
      </x:c>
      <x:c r="I350" t="str">
        <x:v>Yes</x:v>
      </x:c>
      <x:c r="J350" t="str">
        <x:v>No</x:v>
      </x:c>
      <x:c r="K350" t="str">
        <x:v>No</x:v>
      </x:c>
      <x:c r="L350" t="str">
        <x:f>IF(F350="","UNKNOWN",IF(F350&lt;'WELL INPUTS'!$B$11,"BELOW","OK"))</x:f>
        <x:v>OK</x:v>
      </x:c>
      <x:c r="M350" t="str">
        <x:f>IF(AND('WELL INPUTS'!$B$4="Wet",'WELL INPUTS'!$B$5&gt;0),IF(I350="Yes","CATALOG SOUR","NOT LISTED"),"N/A")</x:f>
        <x:v>N/A</x:v>
      </x:c>
      <x:c r="N350" t="str">
        <x:f>IF(AND('WELL INPUTS'!$B$4="Wet",'WELL INPUTS'!$B$6&gt;0),IF(J350="Yes","ALLOY FAMILY","CORROSION CONTROL"),"N/A")</x:f>
        <x:v>CORROSION CONTROL</x:v>
      </x:c>
      <x:c r="O350" t="str">
        <x:f>IF('WELL INPUTS'!$B$12="Yes",IF(G350="Yes","CLAIMED","NOT LISTED"),"N/A")</x:f>
        <x:v>N/A</x:v>
      </x:c>
      <x:c r="P350" t="str">
        <x:f>IF(OR('WELL INPUTS'!$B$13="Unrestricted",CODE(H350)&lt;=CODE('WELL INPUTS'!$B$13)),"WITHIN TIER","OVER CAP")</x:f>
        <x:v>WITHIN TIER</x:v>
      </x:c>
      <x:c r="Q350" t="n">
        <x:f>MAX(0,MIN(100,43+IF(L350="OK",14,-20)+IF(M350="CATALOG SOUR",24,IF(M350="NOT LISTED",-18,0))+IF(N350="ALLOY FAMILY",14,IF(N350="CORROSION CONTROL",-13,0))+IF(O350="CLAIMED",17,IF(O350="NOT LISTED",-14,0))+IF(K350="Yes",-15,0)+IF('WELL INPUTS'!$B$10="Yes",-17,0)))</x:f>
        <x:v>44</x:v>
      </x:c>
      <x:c r="R350" s="83" t="str">
        <x:f>IF(L350="BELOW","EXCLUDE — STRENGTH",IF(P350="OVER CAP","EXCLUDE — COST",IF(K350="Yes",IF('WELL INPUTS'!$B$14="No","EXCLUDE — REFERENCE","REFERENCE ONLY"),IF(OR(L350="UNKNOWN",M350="NOT LISTED",N350="CORROSION CONTROL",O350="NOT LISTED",'WELL INPUTS'!$B$10="Yes",'WELL INPUTS'!$B$4="Unknown"),"REVIEW","CANDIDATE — VERIFY"))))</x:f>
        <x:v>REVIEW</x:v>
      </x:c>
      <x:c r="S350" t="str">
        <x:f>IF(L350="BELOW","Increase minimum grade strength",IF(P350="OVER CAP","Relax cost tier or exclude",IF(K350="Yes","Identify qualified manufacturer grade",IF(M350="NOT LISTED","Confirm sour-service claim and ISO 15156",IF(O350="NOT LISTED","Obtain manufacturer collapse curve",IF(N350="CORROSION CONTROL","Model CO2 corrosion; review inhibition","Confirm corrosion, cracking, loads and connection"))))))</x:f>
        <x:v>Model CO2 corrosion; review inhibition</x:v>
      </x:c>
      <x:c r="T350" t="str">
        <x:v>https://www.voestalpine.com/tubulars/en/products/Proprietary-Grades/</x:v>
      </x:c>
    </x:row>
    <x:row r="351" ht="23" customHeight="1">
      <x:c r="A351" t="str">
        <x:v>OCTG-0350</x:v>
      </x:c>
      <x:c r="B351" t="str">
        <x:v>voestalpine Tubulars</x:v>
      </x:c>
      <x:c r="C351" t="str">
        <x:v>VA-SS-95</x:v>
      </x:c>
      <x:c r="D351" t="str">
        <x:v>Carbon / low alloy</x:v>
      </x:c>
      <x:c r="E351" t="str">
        <x:v>Sour service</x:v>
      </x:c>
      <x:c r="F351" s="82" t="n">
        <x:v>95</x:v>
      </x:c>
      <x:c r="G351" t="str">
        <x:v>No</x:v>
      </x:c>
      <x:c r="H351" t="str">
        <x:v>A</x:v>
      </x:c>
      <x:c r="I351" t="str">
        <x:v>Yes</x:v>
      </x:c>
      <x:c r="J351" t="str">
        <x:v>No</x:v>
      </x:c>
      <x:c r="K351" t="str">
        <x:v>No</x:v>
      </x:c>
      <x:c r="L351" t="str">
        <x:f>IF(F351="","UNKNOWN",IF(F351&lt;'WELL INPUTS'!$B$11,"BELOW","OK"))</x:f>
        <x:v>OK</x:v>
      </x:c>
      <x:c r="M351" t="str">
        <x:f>IF(AND('WELL INPUTS'!$B$4="Wet",'WELL INPUTS'!$B$5&gt;0),IF(I351="Yes","CATALOG SOUR","NOT LISTED"),"N/A")</x:f>
        <x:v>N/A</x:v>
      </x:c>
      <x:c r="N351" t="str">
        <x:f>IF(AND('WELL INPUTS'!$B$4="Wet",'WELL INPUTS'!$B$6&gt;0),IF(J351="Yes","ALLOY FAMILY","CORROSION CONTROL"),"N/A")</x:f>
        <x:v>CORROSION CONTROL</x:v>
      </x:c>
      <x:c r="O351" t="str">
        <x:f>IF('WELL INPUTS'!$B$12="Yes",IF(G351="Yes","CLAIMED","NOT LISTED"),"N/A")</x:f>
        <x:v>N/A</x:v>
      </x:c>
      <x:c r="P351" t="str">
        <x:f>IF(OR('WELL INPUTS'!$B$13="Unrestricted",CODE(H351)&lt;=CODE('WELL INPUTS'!$B$13)),"WITHIN TIER","OVER CAP")</x:f>
        <x:v>WITHIN TIER</x:v>
      </x:c>
      <x:c r="Q351" t="n">
        <x:f>MAX(0,MIN(100,43+IF(L351="OK",14,-20)+IF(M351="CATALOG SOUR",24,IF(M351="NOT LISTED",-18,0))+IF(N351="ALLOY FAMILY",14,IF(N351="CORROSION CONTROL",-13,0))+IF(O351="CLAIMED",17,IF(O351="NOT LISTED",-14,0))+IF(K351="Yes",-15,0)+IF('WELL INPUTS'!$B$10="Yes",-17,0)))</x:f>
        <x:v>44</x:v>
      </x:c>
      <x:c r="R351" s="83" t="str">
        <x:f>IF(L351="BELOW","EXCLUDE — STRENGTH",IF(P351="OVER CAP","EXCLUDE — COST",IF(K351="Yes",IF('WELL INPUTS'!$B$14="No","EXCLUDE — REFERENCE","REFERENCE ONLY"),IF(OR(L351="UNKNOWN",M351="NOT LISTED",N351="CORROSION CONTROL",O351="NOT LISTED",'WELL INPUTS'!$B$10="Yes",'WELL INPUTS'!$B$4="Unknown"),"REVIEW","CANDIDATE — VERIFY"))))</x:f>
        <x:v>REVIEW</x:v>
      </x:c>
      <x:c r="S351" t="str">
        <x:f>IF(L351="BELOW","Increase minimum grade strength",IF(P351="OVER CAP","Relax cost tier or exclude",IF(K351="Yes","Identify qualified manufacturer grade",IF(M351="NOT LISTED","Confirm sour-service claim and ISO 15156",IF(O351="NOT LISTED","Obtain manufacturer collapse curve",IF(N351="CORROSION CONTROL","Model CO2 corrosion; review inhibition","Confirm corrosion, cracking, loads and connection"))))))</x:f>
        <x:v>Model CO2 corrosion; review inhibition</x:v>
      </x:c>
      <x:c r="T351" t="str">
        <x:v>https://www.voestalpine.com/tubulars/en/products/Proprietary-Grades/</x:v>
      </x:c>
    </x:row>
    <x:row r="352" ht="23" customHeight="1">
      <x:c r="A352" t="str">
        <x:v>OCTG-0351</x:v>
      </x:c>
      <x:c r="B352" t="str">
        <x:v>voestalpine Tubulars</x:v>
      </x:c>
      <x:c r="C352" t="str">
        <x:v>VA-SS-95-EP</x:v>
      </x:c>
      <x:c r="D352" t="str">
        <x:v>Carbon / low alloy</x:v>
      </x:c>
      <x:c r="E352" t="str">
        <x:v>Sour + enhanced</x:v>
      </x:c>
      <x:c r="F352" s="82" t="n">
        <x:v>95</x:v>
      </x:c>
      <x:c r="G352" t="str">
        <x:v>No</x:v>
      </x:c>
      <x:c r="H352" t="str">
        <x:v>A</x:v>
      </x:c>
      <x:c r="I352" t="str">
        <x:v>Yes</x:v>
      </x:c>
      <x:c r="J352" t="str">
        <x:v>No</x:v>
      </x:c>
      <x:c r="K352" t="str">
        <x:v>No</x:v>
      </x:c>
      <x:c r="L352" t="str">
        <x:f>IF(F352="","UNKNOWN",IF(F352&lt;'WELL INPUTS'!$B$11,"BELOW","OK"))</x:f>
        <x:v>OK</x:v>
      </x:c>
      <x:c r="M352" t="str">
        <x:f>IF(AND('WELL INPUTS'!$B$4="Wet",'WELL INPUTS'!$B$5&gt;0),IF(I352="Yes","CATALOG SOUR","NOT LISTED"),"N/A")</x:f>
        <x:v>N/A</x:v>
      </x:c>
      <x:c r="N352" t="str">
        <x:f>IF(AND('WELL INPUTS'!$B$4="Wet",'WELL INPUTS'!$B$6&gt;0),IF(J352="Yes","ALLOY FAMILY","CORROSION CONTROL"),"N/A")</x:f>
        <x:v>CORROSION CONTROL</x:v>
      </x:c>
      <x:c r="O352" t="str">
        <x:f>IF('WELL INPUTS'!$B$12="Yes",IF(G352="Yes","CLAIMED","NOT LISTED"),"N/A")</x:f>
        <x:v>N/A</x:v>
      </x:c>
      <x:c r="P352" t="str">
        <x:f>IF(OR('WELL INPUTS'!$B$13="Unrestricted",CODE(H352)&lt;=CODE('WELL INPUTS'!$B$13)),"WITHIN TIER","OVER CAP")</x:f>
        <x:v>WITHIN TIER</x:v>
      </x:c>
      <x:c r="Q352" t="n">
        <x:f>MAX(0,MIN(100,43+IF(L352="OK",14,-20)+IF(M352="CATALOG SOUR",24,IF(M352="NOT LISTED",-18,0))+IF(N352="ALLOY FAMILY",14,IF(N352="CORROSION CONTROL",-13,0))+IF(O352="CLAIMED",17,IF(O352="NOT LISTED",-14,0))+IF(K352="Yes",-15,0)+IF('WELL INPUTS'!$B$10="Yes",-17,0)))</x:f>
        <x:v>44</x:v>
      </x:c>
      <x:c r="R352" s="83" t="str">
        <x:f>IF(L352="BELOW","EXCLUDE — STRENGTH",IF(P352="OVER CAP","EXCLUDE — COST",IF(K352="Yes",IF('WELL INPUTS'!$B$14="No","EXCLUDE — REFERENCE","REFERENCE ONLY"),IF(OR(L352="UNKNOWN",M352="NOT LISTED",N352="CORROSION CONTROL",O352="NOT LISTED",'WELL INPUTS'!$B$10="Yes",'WELL INPUTS'!$B$4="Unknown"),"REVIEW","CANDIDATE — VERIFY"))))</x:f>
        <x:v>REVIEW</x:v>
      </x:c>
      <x:c r="S352" t="str">
        <x:f>IF(L352="BELOW","Increase minimum grade strength",IF(P352="OVER CAP","Relax cost tier or exclude",IF(K352="Yes","Identify qualified manufacturer grade",IF(M352="NOT LISTED","Confirm sour-service claim and ISO 15156",IF(O352="NOT LISTED","Obtain manufacturer collapse curve",IF(N352="CORROSION CONTROL","Model CO2 corrosion; review inhibition","Confirm corrosion, cracking, loads and connection"))))))</x:f>
        <x:v>Model CO2 corrosion; review inhibition</x:v>
      </x:c>
      <x:c r="T352" t="str">
        <x:v>https://www.voestalpine.com/tubulars/en/products/Proprietary-Grades/</x:v>
      </x:c>
    </x:row>
    <x:row r="353" ht="23" customHeight="1">
      <x:c r="A353" t="str">
        <x:v>OCTG-0352</x:v>
      </x:c>
      <x:c r="B353" t="str">
        <x:v>voestalpine Tubulars</x:v>
      </x:c>
      <x:c r="C353" t="str">
        <x:v>VA-SS-95-HC</x:v>
      </x:c>
      <x:c r="D353" t="str">
        <x:v>Carbon / low alloy</x:v>
      </x:c>
      <x:c r="E353" t="str">
        <x:v>Sour + high collapse</x:v>
      </x:c>
      <x:c r="F353" s="82" t="n">
        <x:v>95</x:v>
      </x:c>
      <x:c r="G353" t="str">
        <x:v>Yes</x:v>
      </x:c>
      <x:c r="H353" t="str">
        <x:v>A</x:v>
      </x:c>
      <x:c r="I353" t="str">
        <x:v>Yes</x:v>
      </x:c>
      <x:c r="J353" t="str">
        <x:v>No</x:v>
      </x:c>
      <x:c r="K353" t="str">
        <x:v>No</x:v>
      </x:c>
      <x:c r="L353" t="str">
        <x:f>IF(F353="","UNKNOWN",IF(F353&lt;'WELL INPUTS'!$B$11,"BELOW","OK"))</x:f>
        <x:v>OK</x:v>
      </x:c>
      <x:c r="M353" t="str">
        <x:f>IF(AND('WELL INPUTS'!$B$4="Wet",'WELL INPUTS'!$B$5&gt;0),IF(I353="Yes","CATALOG SOUR","NOT LISTED"),"N/A")</x:f>
        <x:v>N/A</x:v>
      </x:c>
      <x:c r="N353" t="str">
        <x:f>IF(AND('WELL INPUTS'!$B$4="Wet",'WELL INPUTS'!$B$6&gt;0),IF(J353="Yes","ALLOY FAMILY","CORROSION CONTROL"),"N/A")</x:f>
        <x:v>CORROSION CONTROL</x:v>
      </x:c>
      <x:c r="O353" t="str">
        <x:f>IF('WELL INPUTS'!$B$12="Yes",IF(G353="Yes","CLAIMED","NOT LISTED"),"N/A")</x:f>
        <x:v>N/A</x:v>
      </x:c>
      <x:c r="P353" t="str">
        <x:f>IF(OR('WELL INPUTS'!$B$13="Unrestricted",CODE(H353)&lt;=CODE('WELL INPUTS'!$B$13)),"WITHIN TIER","OVER CAP")</x:f>
        <x:v>WITHIN TIER</x:v>
      </x:c>
      <x:c r="Q353" t="n">
        <x:f>MAX(0,MIN(100,43+IF(L353="OK",14,-20)+IF(M353="CATALOG SOUR",24,IF(M353="NOT LISTED",-18,0))+IF(N353="ALLOY FAMILY",14,IF(N353="CORROSION CONTROL",-13,0))+IF(O353="CLAIMED",17,IF(O353="NOT LISTED",-14,0))+IF(K353="Yes",-15,0)+IF('WELL INPUTS'!$B$10="Yes",-17,0)))</x:f>
        <x:v>44</x:v>
      </x:c>
      <x:c r="R353" s="83" t="str">
        <x:f>IF(L353="BELOW","EXCLUDE — STRENGTH",IF(P353="OVER CAP","EXCLUDE — COST",IF(K353="Yes",IF('WELL INPUTS'!$B$14="No","EXCLUDE — REFERENCE","REFERENCE ONLY"),IF(OR(L353="UNKNOWN",M353="NOT LISTED",N353="CORROSION CONTROL",O353="NOT LISTED",'WELL INPUTS'!$B$10="Yes",'WELL INPUTS'!$B$4="Unknown"),"REVIEW","CANDIDATE — VERIFY"))))</x:f>
        <x:v>REVIEW</x:v>
      </x:c>
      <x:c r="S353" t="str">
        <x:f>IF(L353="BELOW","Increase minimum grade strength",IF(P353="OVER CAP","Relax cost tier or exclude",IF(K353="Yes","Identify qualified manufacturer grade",IF(M353="NOT LISTED","Confirm sour-service claim and ISO 15156",IF(O353="NOT LISTED","Obtain manufacturer collapse curve",IF(N353="CORROSION CONTROL","Model CO2 corrosion; review inhibition","Confirm corrosion, cracking, loads and connection"))))))</x:f>
        <x:v>Model CO2 corrosion; review inhibition</x:v>
      </x:c>
      <x:c r="T353" t="str">
        <x:v>https://www.voestalpine.com/tubulars/en/products/Proprietary-Grades/</x:v>
      </x:c>
    </x:row>
    <x:row r="354" ht="23" customHeight="1">
      <x:c r="A354" t="str">
        <x:v>OCTG-0353</x:v>
      </x:c>
      <x:c r="B354" t="str">
        <x:v>voestalpine Tubulars</x:v>
      </x:c>
      <x:c r="C354" t="str">
        <x:v>VA-XP-C90</x:v>
      </x:c>
      <x:c r="D354" t="str">
        <x:v>Carbon / low alloy</x:v>
      </x:c>
      <x:c r="E354" t="str">
        <x:v>Extreme performance</x:v>
      </x:c>
      <x:c r="F354" s="82" t="n">
        <x:v>90</x:v>
      </x:c>
      <x:c r="G354" t="str">
        <x:v>No</x:v>
      </x:c>
      <x:c r="H354" t="str">
        <x:v>A</x:v>
      </x:c>
      <x:c r="I354" t="str">
        <x:v>No</x:v>
      </x:c>
      <x:c r="J354" t="str">
        <x:v>No</x:v>
      </x:c>
      <x:c r="K354" t="str">
        <x:v>No</x:v>
      </x:c>
      <x:c r="L354" t="str">
        <x:f>IF(F354="","UNKNOWN",IF(F354&lt;'WELL INPUTS'!$B$11,"BELOW","OK"))</x:f>
        <x:v>OK</x:v>
      </x:c>
      <x:c r="M354" t="str">
        <x:f>IF(AND('WELL INPUTS'!$B$4="Wet",'WELL INPUTS'!$B$5&gt;0),IF(I354="Yes","CATALOG SOUR","NOT LISTED"),"N/A")</x:f>
        <x:v>N/A</x:v>
      </x:c>
      <x:c r="N354" t="str">
        <x:f>IF(AND('WELL INPUTS'!$B$4="Wet",'WELL INPUTS'!$B$6&gt;0),IF(J354="Yes","ALLOY FAMILY","CORROSION CONTROL"),"N/A")</x:f>
        <x:v>CORROSION CONTROL</x:v>
      </x:c>
      <x:c r="O354" t="str">
        <x:f>IF('WELL INPUTS'!$B$12="Yes",IF(G354="Yes","CLAIMED","NOT LISTED"),"N/A")</x:f>
        <x:v>N/A</x:v>
      </x:c>
      <x:c r="P354" t="str">
        <x:f>IF(OR('WELL INPUTS'!$B$13="Unrestricted",CODE(H354)&lt;=CODE('WELL INPUTS'!$B$13)),"WITHIN TIER","OVER CAP")</x:f>
        <x:v>WITHIN TIER</x:v>
      </x:c>
      <x:c r="Q354" t="n">
        <x:f>MAX(0,MIN(100,43+IF(L354="OK",14,-20)+IF(M354="CATALOG SOUR",24,IF(M354="NOT LISTED",-18,0))+IF(N354="ALLOY FAMILY",14,IF(N354="CORROSION CONTROL",-13,0))+IF(O354="CLAIMED",17,IF(O354="NOT LISTED",-14,0))+IF(K354="Yes",-15,0)+IF('WELL INPUTS'!$B$10="Yes",-17,0)))</x:f>
        <x:v>44</x:v>
      </x:c>
      <x:c r="R354" s="83" t="str">
        <x:f>IF(L354="BELOW","EXCLUDE — STRENGTH",IF(P354="OVER CAP","EXCLUDE — COST",IF(K354="Yes",IF('WELL INPUTS'!$B$14="No","EXCLUDE — REFERENCE","REFERENCE ONLY"),IF(OR(L354="UNKNOWN",M354="NOT LISTED",N354="CORROSION CONTROL",O354="NOT LISTED",'WELL INPUTS'!$B$10="Yes",'WELL INPUTS'!$B$4="Unknown"),"REVIEW","CANDIDATE — VERIFY"))))</x:f>
        <x:v>REVIEW</x:v>
      </x:c>
      <x:c r="S354" t="str">
        <x:f>IF(L354="BELOW","Increase minimum grade strength",IF(P354="OVER CAP","Relax cost tier or exclude",IF(K354="Yes","Identify qualified manufacturer grade",IF(M354="NOT LISTED","Confirm sour-service claim and ISO 15156",IF(O354="NOT LISTED","Obtain manufacturer collapse curve",IF(N354="CORROSION CONTROL","Model CO2 corrosion; review inhibition","Confirm corrosion, cracking, loads and connection"))))))</x:f>
        <x:v>Model CO2 corrosion; review inhibition</x:v>
      </x:c>
      <x:c r="T354" t="str">
        <x:v>https://www.voestalpine.com/tubulars/en/products/Proprietary-Grades/</x:v>
      </x:c>
    </x:row>
    <x:row r="355" ht="23" customHeight="1">
      <x:c r="A355" t="str">
        <x:v>OCTG-0354</x:v>
      </x:c>
      <x:c r="B355" t="str">
        <x:v>voestalpine Tubulars</x:v>
      </x:c>
      <x:c r="C355" t="str">
        <x:v>VA-XP-L80-1</x:v>
      </x:c>
      <x:c r="D355" t="str">
        <x:v>Carbon / low alloy</x:v>
      </x:c>
      <x:c r="E355" t="str">
        <x:v>Extreme performance</x:v>
      </x:c>
      <x:c r="F355" s="82" t="n">
        <x:v>80</x:v>
      </x:c>
      <x:c r="G355" t="str">
        <x:v>No</x:v>
      </x:c>
      <x:c r="H355" t="str">
        <x:v>A</x:v>
      </x:c>
      <x:c r="I355" t="str">
        <x:v>No</x:v>
      </x:c>
      <x:c r="J355" t="str">
        <x:v>No</x:v>
      </x:c>
      <x:c r="K355" t="str">
        <x:v>No</x:v>
      </x:c>
      <x:c r="L355" t="str">
        <x:f>IF(F355="","UNKNOWN",IF(F355&lt;'WELL INPUTS'!$B$11,"BELOW","OK"))</x:f>
        <x:v>OK</x:v>
      </x:c>
      <x:c r="M355" t="str">
        <x:f>IF(AND('WELL INPUTS'!$B$4="Wet",'WELL INPUTS'!$B$5&gt;0),IF(I355="Yes","CATALOG SOUR","NOT LISTED"),"N/A")</x:f>
        <x:v>N/A</x:v>
      </x:c>
      <x:c r="N355" t="str">
        <x:f>IF(AND('WELL INPUTS'!$B$4="Wet",'WELL INPUTS'!$B$6&gt;0),IF(J355="Yes","ALLOY FAMILY","CORROSION CONTROL"),"N/A")</x:f>
        <x:v>CORROSION CONTROL</x:v>
      </x:c>
      <x:c r="O355" t="str">
        <x:f>IF('WELL INPUTS'!$B$12="Yes",IF(G355="Yes","CLAIMED","NOT LISTED"),"N/A")</x:f>
        <x:v>N/A</x:v>
      </x:c>
      <x:c r="P355" t="str">
        <x:f>IF(OR('WELL INPUTS'!$B$13="Unrestricted",CODE(H355)&lt;=CODE('WELL INPUTS'!$B$13)),"WITHIN TIER","OVER CAP")</x:f>
        <x:v>WITHIN TIER</x:v>
      </x:c>
      <x:c r="Q355" t="n">
        <x:f>MAX(0,MIN(100,43+IF(L355="OK",14,-20)+IF(M355="CATALOG SOUR",24,IF(M355="NOT LISTED",-18,0))+IF(N355="ALLOY FAMILY",14,IF(N355="CORROSION CONTROL",-13,0))+IF(O355="CLAIMED",17,IF(O355="NOT LISTED",-14,0))+IF(K355="Yes",-15,0)+IF('WELL INPUTS'!$B$10="Yes",-17,0)))</x:f>
        <x:v>44</x:v>
      </x:c>
      <x:c r="R355" s="83" t="str">
        <x:f>IF(L355="BELOW","EXCLUDE — STRENGTH",IF(P355="OVER CAP","EXCLUDE — COST",IF(K355="Yes",IF('WELL INPUTS'!$B$14="No","EXCLUDE — REFERENCE","REFERENCE ONLY"),IF(OR(L355="UNKNOWN",M355="NOT LISTED",N355="CORROSION CONTROL",O355="NOT LISTED",'WELL INPUTS'!$B$10="Yes",'WELL INPUTS'!$B$4="Unknown"),"REVIEW","CANDIDATE — VERIFY"))))</x:f>
        <x:v>REVIEW</x:v>
      </x:c>
      <x:c r="S355" t="str">
        <x:f>IF(L355="BELOW","Increase minimum grade strength",IF(P355="OVER CAP","Relax cost tier or exclude",IF(K355="Yes","Identify qualified manufacturer grade",IF(M355="NOT LISTED","Confirm sour-service claim and ISO 15156",IF(O355="NOT LISTED","Obtain manufacturer collapse curve",IF(N355="CORROSION CONTROL","Model CO2 corrosion; review inhibition","Confirm corrosion, cracking, loads and connection"))))))</x:f>
        <x:v>Model CO2 corrosion; review inhibition</x:v>
      </x:c>
      <x:c r="T355" t="str">
        <x:v>https://www.voestalpine.com/tubulars/en/products/Proprietary-Grades/</x:v>
      </x:c>
    </x:row>
    <x:row r="356" ht="23" customHeight="1">
      <x:c r="A356" t="str">
        <x:v>OCTG-0355</x:v>
      </x:c>
      <x:c r="B356" t="str">
        <x:v>voestalpine Tubulars</x:v>
      </x:c>
      <x:c r="C356" t="str">
        <x:v>VA-XP-N80-Q</x:v>
      </x:c>
      <x:c r="D356" t="str">
        <x:v>Carbon / low alloy</x:v>
      </x:c>
      <x:c r="E356" t="str">
        <x:v>Extreme performance</x:v>
      </x:c>
      <x:c r="F356" s="82" t="n">
        <x:v>80</x:v>
      </x:c>
      <x:c r="G356" t="str">
        <x:v>No</x:v>
      </x:c>
      <x:c r="H356" t="str">
        <x:v>A</x:v>
      </x:c>
      <x:c r="I356" t="str">
        <x:v>No</x:v>
      </x:c>
      <x:c r="J356" t="str">
        <x:v>No</x:v>
      </x:c>
      <x:c r="K356" t="str">
        <x:v>No</x:v>
      </x:c>
      <x:c r="L356" t="str">
        <x:f>IF(F356="","UNKNOWN",IF(F356&lt;'WELL INPUTS'!$B$11,"BELOW","OK"))</x:f>
        <x:v>OK</x:v>
      </x:c>
      <x:c r="M356" t="str">
        <x:f>IF(AND('WELL INPUTS'!$B$4="Wet",'WELL INPUTS'!$B$5&gt;0),IF(I356="Yes","CATALOG SOUR","NOT LISTED"),"N/A")</x:f>
        <x:v>N/A</x:v>
      </x:c>
      <x:c r="N356" t="str">
        <x:f>IF(AND('WELL INPUTS'!$B$4="Wet",'WELL INPUTS'!$B$6&gt;0),IF(J356="Yes","ALLOY FAMILY","CORROSION CONTROL"),"N/A")</x:f>
        <x:v>CORROSION CONTROL</x:v>
      </x:c>
      <x:c r="O356" t="str">
        <x:f>IF('WELL INPUTS'!$B$12="Yes",IF(G356="Yes","CLAIMED","NOT LISTED"),"N/A")</x:f>
        <x:v>N/A</x:v>
      </x:c>
      <x:c r="P356" t="str">
        <x:f>IF(OR('WELL INPUTS'!$B$13="Unrestricted",CODE(H356)&lt;=CODE('WELL INPUTS'!$B$13)),"WITHIN TIER","OVER CAP")</x:f>
        <x:v>WITHIN TIER</x:v>
      </x:c>
      <x:c r="Q356" t="n">
        <x:f>MAX(0,MIN(100,43+IF(L356="OK",14,-20)+IF(M356="CATALOG SOUR",24,IF(M356="NOT LISTED",-18,0))+IF(N356="ALLOY FAMILY",14,IF(N356="CORROSION CONTROL",-13,0))+IF(O356="CLAIMED",17,IF(O356="NOT LISTED",-14,0))+IF(K356="Yes",-15,0)+IF('WELL INPUTS'!$B$10="Yes",-17,0)))</x:f>
        <x:v>44</x:v>
      </x:c>
      <x:c r="R356" s="83" t="str">
        <x:f>IF(L356="BELOW","EXCLUDE — STRENGTH",IF(P356="OVER CAP","EXCLUDE — COST",IF(K356="Yes",IF('WELL INPUTS'!$B$14="No","EXCLUDE — REFERENCE","REFERENCE ONLY"),IF(OR(L356="UNKNOWN",M356="NOT LISTED",N356="CORROSION CONTROL",O356="NOT LISTED",'WELL INPUTS'!$B$10="Yes",'WELL INPUTS'!$B$4="Unknown"),"REVIEW","CANDIDATE — VERIFY"))))</x:f>
        <x:v>REVIEW</x:v>
      </x:c>
      <x:c r="S356" t="str">
        <x:f>IF(L356="BELOW","Increase minimum grade strength",IF(P356="OVER CAP","Relax cost tier or exclude",IF(K356="Yes","Identify qualified manufacturer grade",IF(M356="NOT LISTED","Confirm sour-service claim and ISO 15156",IF(O356="NOT LISTED","Obtain manufacturer collapse curve",IF(N356="CORROSION CONTROL","Model CO2 corrosion; review inhibition","Confirm corrosion, cracking, loads and connection"))))))</x:f>
        <x:v>Model CO2 corrosion; review inhibition</x:v>
      </x:c>
      <x:c r="T356" t="str">
        <x:v>https://www.voestalpine.com/tubulars/en/products/Proprietary-Grades/</x:v>
      </x:c>
    </x:row>
    <x:row r="357" ht="23" customHeight="1">
      <x:c r="A357" t="str">
        <x:v>OCTG-0356</x:v>
      </x:c>
      <x:c r="B357" t="str">
        <x:v>voestalpine Tubulars</x:v>
      </x:c>
      <x:c r="C357" t="str">
        <x:v>VA-XP-P110</x:v>
      </x:c>
      <x:c r="D357" t="str">
        <x:v>Carbon / low alloy</x:v>
      </x:c>
      <x:c r="E357" t="str">
        <x:v>Extreme performance</x:v>
      </x:c>
      <x:c r="F357" s="82" t="n">
        <x:v>110</x:v>
      </x:c>
      <x:c r="G357" t="str">
        <x:v>No</x:v>
      </x:c>
      <x:c r="H357" t="str">
        <x:v>A</x:v>
      </x:c>
      <x:c r="I357" t="str">
        <x:v>No</x:v>
      </x:c>
      <x:c r="J357" t="str">
        <x:v>No</x:v>
      </x:c>
      <x:c r="K357" t="str">
        <x:v>No</x:v>
      </x:c>
      <x:c r="L357" t="str">
        <x:f>IF(F357="","UNKNOWN",IF(F357&lt;'WELL INPUTS'!$B$11,"BELOW","OK"))</x:f>
        <x:v>OK</x:v>
      </x:c>
      <x:c r="M357" t="str">
        <x:f>IF(AND('WELL INPUTS'!$B$4="Wet",'WELL INPUTS'!$B$5&gt;0),IF(I357="Yes","CATALOG SOUR","NOT LISTED"),"N/A")</x:f>
        <x:v>N/A</x:v>
      </x:c>
      <x:c r="N357" t="str">
        <x:f>IF(AND('WELL INPUTS'!$B$4="Wet",'WELL INPUTS'!$B$6&gt;0),IF(J357="Yes","ALLOY FAMILY","CORROSION CONTROL"),"N/A")</x:f>
        <x:v>CORROSION CONTROL</x:v>
      </x:c>
      <x:c r="O357" t="str">
        <x:f>IF('WELL INPUTS'!$B$12="Yes",IF(G357="Yes","CLAIMED","NOT LISTED"),"N/A")</x:f>
        <x:v>N/A</x:v>
      </x:c>
      <x:c r="P357" t="str">
        <x:f>IF(OR('WELL INPUTS'!$B$13="Unrestricted",CODE(H357)&lt;=CODE('WELL INPUTS'!$B$13)),"WITHIN TIER","OVER CAP")</x:f>
        <x:v>WITHIN TIER</x:v>
      </x:c>
      <x:c r="Q357" t="n">
        <x:f>MAX(0,MIN(100,43+IF(L357="OK",14,-20)+IF(M357="CATALOG SOUR",24,IF(M357="NOT LISTED",-18,0))+IF(N357="ALLOY FAMILY",14,IF(N357="CORROSION CONTROL",-13,0))+IF(O357="CLAIMED",17,IF(O357="NOT LISTED",-14,0))+IF(K357="Yes",-15,0)+IF('WELL INPUTS'!$B$10="Yes",-17,0)))</x:f>
        <x:v>44</x:v>
      </x:c>
      <x:c r="R357" s="83" t="str">
        <x:f>IF(L357="BELOW","EXCLUDE — STRENGTH",IF(P357="OVER CAP","EXCLUDE — COST",IF(K357="Yes",IF('WELL INPUTS'!$B$14="No","EXCLUDE — REFERENCE","REFERENCE ONLY"),IF(OR(L357="UNKNOWN",M357="NOT LISTED",N357="CORROSION CONTROL",O357="NOT LISTED",'WELL INPUTS'!$B$10="Yes",'WELL INPUTS'!$B$4="Unknown"),"REVIEW","CANDIDATE — VERIFY"))))</x:f>
        <x:v>REVIEW</x:v>
      </x:c>
      <x:c r="S357" t="str">
        <x:f>IF(L357="BELOW","Increase minimum grade strength",IF(P357="OVER CAP","Relax cost tier or exclude",IF(K357="Yes","Identify qualified manufacturer grade",IF(M357="NOT LISTED","Confirm sour-service claim and ISO 15156",IF(O357="NOT LISTED","Obtain manufacturer collapse curve",IF(N357="CORROSION CONTROL","Model CO2 corrosion; review inhibition","Confirm corrosion, cracking, loads and connection"))))))</x:f>
        <x:v>Model CO2 corrosion; review inhibition</x:v>
      </x:c>
      <x:c r="T357" t="str">
        <x:v>https://www.voestalpine.com/tubulars/en/products/Proprietary-Grades/</x:v>
      </x:c>
    </x:row>
    <x:row r="358" ht="23" customHeight="1">
      <x:c r="A358" t="str">
        <x:v>OCTG-0357</x:v>
      </x:c>
      <x:c r="B358" t="str">
        <x:v>voestalpine Tubulars</x:v>
      </x:c>
      <x:c r="C358" t="str">
        <x:v>VA-XP-Q125</x:v>
      </x:c>
      <x:c r="D358" t="str">
        <x:v>Carbon / low alloy</x:v>
      </x:c>
      <x:c r="E358" t="str">
        <x:v>Extreme performance</x:v>
      </x:c>
      <x:c r="F358" s="82" t="n">
        <x:v>125</x:v>
      </x:c>
      <x:c r="G358" t="str">
        <x:v>No</x:v>
      </x:c>
      <x:c r="H358" t="str">
        <x:v>A</x:v>
      </x:c>
      <x:c r="I358" t="str">
        <x:v>No</x:v>
      </x:c>
      <x:c r="J358" t="str">
        <x:v>No</x:v>
      </x:c>
      <x:c r="K358" t="str">
        <x:v>No</x:v>
      </x:c>
      <x:c r="L358" t="str">
        <x:f>IF(F358="","UNKNOWN",IF(F358&lt;'WELL INPUTS'!$B$11,"BELOW","OK"))</x:f>
        <x:v>OK</x:v>
      </x:c>
      <x:c r="M358" t="str">
        <x:f>IF(AND('WELL INPUTS'!$B$4="Wet",'WELL INPUTS'!$B$5&gt;0),IF(I358="Yes","CATALOG SOUR","NOT LISTED"),"N/A")</x:f>
        <x:v>N/A</x:v>
      </x:c>
      <x:c r="N358" t="str">
        <x:f>IF(AND('WELL INPUTS'!$B$4="Wet",'WELL INPUTS'!$B$6&gt;0),IF(J358="Yes","ALLOY FAMILY","CORROSION CONTROL"),"N/A")</x:f>
        <x:v>CORROSION CONTROL</x:v>
      </x:c>
      <x:c r="O358" t="str">
        <x:f>IF('WELL INPUTS'!$B$12="Yes",IF(G358="Yes","CLAIMED","NOT LISTED"),"N/A")</x:f>
        <x:v>N/A</x:v>
      </x:c>
      <x:c r="P358" t="str">
        <x:f>IF(OR('WELL INPUTS'!$B$13="Unrestricted",CODE(H358)&lt;=CODE('WELL INPUTS'!$B$13)),"WITHIN TIER","OVER CAP")</x:f>
        <x:v>WITHIN TIER</x:v>
      </x:c>
      <x:c r="Q358" t="n">
        <x:f>MAX(0,MIN(100,43+IF(L358="OK",14,-20)+IF(M358="CATALOG SOUR",24,IF(M358="NOT LISTED",-18,0))+IF(N358="ALLOY FAMILY",14,IF(N358="CORROSION CONTROL",-13,0))+IF(O358="CLAIMED",17,IF(O358="NOT LISTED",-14,0))+IF(K358="Yes",-15,0)+IF('WELL INPUTS'!$B$10="Yes",-17,0)))</x:f>
        <x:v>44</x:v>
      </x:c>
      <x:c r="R358" s="83" t="str">
        <x:f>IF(L358="BELOW","EXCLUDE — STRENGTH",IF(P358="OVER CAP","EXCLUDE — COST",IF(K358="Yes",IF('WELL INPUTS'!$B$14="No","EXCLUDE — REFERENCE","REFERENCE ONLY"),IF(OR(L358="UNKNOWN",M358="NOT LISTED",N358="CORROSION CONTROL",O358="NOT LISTED",'WELL INPUTS'!$B$10="Yes",'WELL INPUTS'!$B$4="Unknown"),"REVIEW","CANDIDATE — VERIFY"))))</x:f>
        <x:v>REVIEW</x:v>
      </x:c>
      <x:c r="S358" t="str">
        <x:f>IF(L358="BELOW","Increase minimum grade strength",IF(P358="OVER CAP","Relax cost tier or exclude",IF(K358="Yes","Identify qualified manufacturer grade",IF(M358="NOT LISTED","Confirm sour-service claim and ISO 15156",IF(O358="NOT LISTED","Obtain manufacturer collapse curve",IF(N358="CORROSION CONTROL","Model CO2 corrosion; review inhibition","Confirm corrosion, cracking, loads and connection"))))))</x:f>
        <x:v>Model CO2 corrosion; review inhibition</x:v>
      </x:c>
      <x:c r="T358" t="str">
        <x:v>https://www.voestalpine.com/tubulars/en/products/Proprietary-Grades/</x:v>
      </x:c>
    </x:row>
    <x:row r="359" ht="23" customHeight="1">
      <x:c r="A359" t="str">
        <x:v>OCTG-0358</x:v>
      </x:c>
      <x:c r="B359" t="str">
        <x:v>voestalpine Tubulars</x:v>
      </x:c>
      <x:c r="C359" t="str">
        <x:v>VA-XP-R95</x:v>
      </x:c>
      <x:c r="D359" t="str">
        <x:v>Carbon / low alloy</x:v>
      </x:c>
      <x:c r="E359" t="str">
        <x:v>Extreme performance</x:v>
      </x:c>
      <x:c r="F359" s="82" t="n">
        <x:v>95</x:v>
      </x:c>
      <x:c r="G359" t="str">
        <x:v>No</x:v>
      </x:c>
      <x:c r="H359" t="str">
        <x:v>A</x:v>
      </x:c>
      <x:c r="I359" t="str">
        <x:v>No</x:v>
      </x:c>
      <x:c r="J359" t="str">
        <x:v>No</x:v>
      </x:c>
      <x:c r="K359" t="str">
        <x:v>No</x:v>
      </x:c>
      <x:c r="L359" t="str">
        <x:f>IF(F359="","UNKNOWN",IF(F359&lt;'WELL INPUTS'!$B$11,"BELOW","OK"))</x:f>
        <x:v>OK</x:v>
      </x:c>
      <x:c r="M359" t="str">
        <x:f>IF(AND('WELL INPUTS'!$B$4="Wet",'WELL INPUTS'!$B$5&gt;0),IF(I359="Yes","CATALOG SOUR","NOT LISTED"),"N/A")</x:f>
        <x:v>N/A</x:v>
      </x:c>
      <x:c r="N359" t="str">
        <x:f>IF(AND('WELL INPUTS'!$B$4="Wet",'WELL INPUTS'!$B$6&gt;0),IF(J359="Yes","ALLOY FAMILY","CORROSION CONTROL"),"N/A")</x:f>
        <x:v>CORROSION CONTROL</x:v>
      </x:c>
      <x:c r="O359" t="str">
        <x:f>IF('WELL INPUTS'!$B$12="Yes",IF(G359="Yes","CLAIMED","NOT LISTED"),"N/A")</x:f>
        <x:v>N/A</x:v>
      </x:c>
      <x:c r="P359" t="str">
        <x:f>IF(OR('WELL INPUTS'!$B$13="Unrestricted",CODE(H359)&lt;=CODE('WELL INPUTS'!$B$13)),"WITHIN TIER","OVER CAP")</x:f>
        <x:v>WITHIN TIER</x:v>
      </x:c>
      <x:c r="Q359" t="n">
        <x:f>MAX(0,MIN(100,43+IF(L359="OK",14,-20)+IF(M359="CATALOG SOUR",24,IF(M359="NOT LISTED",-18,0))+IF(N359="ALLOY FAMILY",14,IF(N359="CORROSION CONTROL",-13,0))+IF(O359="CLAIMED",17,IF(O359="NOT LISTED",-14,0))+IF(K359="Yes",-15,0)+IF('WELL INPUTS'!$B$10="Yes",-17,0)))</x:f>
        <x:v>44</x:v>
      </x:c>
      <x:c r="R359" s="83" t="str">
        <x:f>IF(L359="BELOW","EXCLUDE — STRENGTH",IF(P359="OVER CAP","EXCLUDE — COST",IF(K359="Yes",IF('WELL INPUTS'!$B$14="No","EXCLUDE — REFERENCE","REFERENCE ONLY"),IF(OR(L359="UNKNOWN",M359="NOT LISTED",N359="CORROSION CONTROL",O359="NOT LISTED",'WELL INPUTS'!$B$10="Yes",'WELL INPUTS'!$B$4="Unknown"),"REVIEW","CANDIDATE — VERIFY"))))</x:f>
        <x:v>REVIEW</x:v>
      </x:c>
      <x:c r="S359" t="str">
        <x:f>IF(L359="BELOW","Increase minimum grade strength",IF(P359="OVER CAP","Relax cost tier or exclude",IF(K359="Yes","Identify qualified manufacturer grade",IF(M359="NOT LISTED","Confirm sour-service claim and ISO 15156",IF(O359="NOT LISTED","Obtain manufacturer collapse curve",IF(N359="CORROSION CONTROL","Model CO2 corrosion; review inhibition","Confirm corrosion, cracking, loads and connection"))))))</x:f>
        <x:v>Model CO2 corrosion; review inhibition</x:v>
      </x:c>
      <x:c r="T359" t="str">
        <x:v>https://www.voestalpine.com/tubulars/en/products/Proprietary-Grades/</x:v>
      </x:c>
    </x:row>
    <x:row r="360" ht="23" customHeight="1">
      <x:c r="A360" t="str">
        <x:v>OCTG-0359</x:v>
      </x:c>
      <x:c r="B360" t="str">
        <x:v>voestalpine Tubulars</x:v>
      </x:c>
      <x:c r="C360" t="str">
        <x:v>VA-XP-T95</x:v>
      </x:c>
      <x:c r="D360" t="str">
        <x:v>Carbon / low alloy</x:v>
      </x:c>
      <x:c r="E360" t="str">
        <x:v>Extreme performance</x:v>
      </x:c>
      <x:c r="F360" s="82" t="n">
        <x:v>95</x:v>
      </x:c>
      <x:c r="G360" t="str">
        <x:v>No</x:v>
      </x:c>
      <x:c r="H360" t="str">
        <x:v>A</x:v>
      </x:c>
      <x:c r="I360" t="str">
        <x:v>No</x:v>
      </x:c>
      <x:c r="J360" t="str">
        <x:v>No</x:v>
      </x:c>
      <x:c r="K360" t="str">
        <x:v>No</x:v>
      </x:c>
      <x:c r="L360" t="str">
        <x:f>IF(F360="","UNKNOWN",IF(F360&lt;'WELL INPUTS'!$B$11,"BELOW","OK"))</x:f>
        <x:v>OK</x:v>
      </x:c>
      <x:c r="M360" t="str">
        <x:f>IF(AND('WELL INPUTS'!$B$4="Wet",'WELL INPUTS'!$B$5&gt;0),IF(I360="Yes","CATALOG SOUR","NOT LISTED"),"N/A")</x:f>
        <x:v>N/A</x:v>
      </x:c>
      <x:c r="N360" t="str">
        <x:f>IF(AND('WELL INPUTS'!$B$4="Wet",'WELL INPUTS'!$B$6&gt;0),IF(J360="Yes","ALLOY FAMILY","CORROSION CONTROL"),"N/A")</x:f>
        <x:v>CORROSION CONTROL</x:v>
      </x:c>
      <x:c r="O360" t="str">
        <x:f>IF('WELL INPUTS'!$B$12="Yes",IF(G360="Yes","CLAIMED","NOT LISTED"),"N/A")</x:f>
        <x:v>N/A</x:v>
      </x:c>
      <x:c r="P360" t="str">
        <x:f>IF(OR('WELL INPUTS'!$B$13="Unrestricted",CODE(H360)&lt;=CODE('WELL INPUTS'!$B$13)),"WITHIN TIER","OVER CAP")</x:f>
        <x:v>WITHIN TIER</x:v>
      </x:c>
      <x:c r="Q360" t="n">
        <x:f>MAX(0,MIN(100,43+IF(L360="OK",14,-20)+IF(M360="CATALOG SOUR",24,IF(M360="NOT LISTED",-18,0))+IF(N360="ALLOY FAMILY",14,IF(N360="CORROSION CONTROL",-13,0))+IF(O360="CLAIMED",17,IF(O360="NOT LISTED",-14,0))+IF(K360="Yes",-15,0)+IF('WELL INPUTS'!$B$10="Yes",-17,0)))</x:f>
        <x:v>44</x:v>
      </x:c>
      <x:c r="R360" s="83" t="str">
        <x:f>IF(L360="BELOW","EXCLUDE — STRENGTH",IF(P360="OVER CAP","EXCLUDE — COST",IF(K360="Yes",IF('WELL INPUTS'!$B$14="No","EXCLUDE — REFERENCE","REFERENCE ONLY"),IF(OR(L360="UNKNOWN",M360="NOT LISTED",N360="CORROSION CONTROL",O360="NOT LISTED",'WELL INPUTS'!$B$10="Yes",'WELL INPUTS'!$B$4="Unknown"),"REVIEW","CANDIDATE — VERIFY"))))</x:f>
        <x:v>REVIEW</x:v>
      </x:c>
      <x:c r="S360" t="str">
        <x:f>IF(L360="BELOW","Increase minimum grade strength",IF(P360="OVER CAP","Relax cost tier or exclude",IF(K360="Yes","Identify qualified manufacturer grade",IF(M360="NOT LISTED","Confirm sour-service claim and ISO 15156",IF(O360="NOT LISTED","Obtain manufacturer collapse curve",IF(N360="CORROSION CONTROL","Model CO2 corrosion; review inhibition","Confirm corrosion, cracking, loads and connection"))))))</x:f>
        <x:v>Model CO2 corrosion; review inhibition</x:v>
      </x:c>
      <x:c r="T360" t="str">
        <x:v>https://www.voestalpine.com/tubulars/en/products/Proprietary-Grades/</x:v>
      </x:c>
    </x:row>
    <x:row r="361" ht="23" customHeight="1">
      <x:c r="A361" t="str">
        <x:v>OCTG-0360</x:v>
      </x:c>
      <x:c r="B361" t="str">
        <x:v>voestalpine Tubulars</x:v>
      </x:c>
      <x:c r="C361" t="str">
        <x:v>VA-FP-55-1CR</x:v>
      </x:c>
      <x:c r="D361" t="str">
        <x:v>Low-Cr alloy steel</x:v>
      </x:c>
      <x:c r="E361" t="str">
        <x:v>Mild wet CO2 / sweet service</x:v>
      </x:c>
      <x:c r="F361" s="82" t="n">
        <x:v>55</x:v>
      </x:c>
      <x:c r="G361" t="str">
        <x:v>No</x:v>
      </x:c>
      <x:c r="H361" t="str">
        <x:v>B</x:v>
      </x:c>
      <x:c r="I361" t="str">
        <x:v>No</x:v>
      </x:c>
      <x:c r="J361" t="str">
        <x:v>Yes</x:v>
      </x:c>
      <x:c r="K361" t="str">
        <x:v>No</x:v>
      </x:c>
      <x:c r="L361" t="str">
        <x:f>IF(F361="","UNKNOWN",IF(F361&lt;'WELL INPUTS'!$B$11,"BELOW","OK"))</x:f>
        <x:v>BELOW</x:v>
      </x:c>
      <x:c r="M361" t="str">
        <x:f>IF(AND('WELL INPUTS'!$B$4="Wet",'WELL INPUTS'!$B$5&gt;0),IF(I361="Yes","CATALOG SOUR","NOT LISTED"),"N/A")</x:f>
        <x:v>N/A</x:v>
      </x:c>
      <x:c r="N361" t="str">
        <x:f>IF(AND('WELL INPUTS'!$B$4="Wet",'WELL INPUTS'!$B$6&gt;0),IF(J361="Yes","ALLOY FAMILY","CORROSION CONTROL"),"N/A")</x:f>
        <x:v>ALLOY FAMILY</x:v>
      </x:c>
      <x:c r="O361" t="str">
        <x:f>IF('WELL INPUTS'!$B$12="Yes",IF(G361="Yes","CLAIMED","NOT LISTED"),"N/A")</x:f>
        <x:v>N/A</x:v>
      </x:c>
      <x:c r="P361" t="str">
        <x:f>IF(OR('WELL INPUTS'!$B$13="Unrestricted",CODE(H361)&lt;=CODE('WELL INPUTS'!$B$13)),"WITHIN TIER","OVER CAP")</x:f>
        <x:v>WITHIN TIER</x:v>
      </x:c>
      <x:c r="Q361" t="n">
        <x:f>MAX(0,MIN(100,43+IF(L361="OK",14,-20)+IF(M361="CATALOG SOUR",24,IF(M361="NOT LISTED",-18,0))+IF(N361="ALLOY FAMILY",14,IF(N361="CORROSION CONTROL",-13,0))+IF(O361="CLAIMED",17,IF(O361="NOT LISTED",-14,0))+IF(K361="Yes",-15,0)+IF('WELL INPUTS'!$B$10="Yes",-17,0)))</x:f>
        <x:v>37</x:v>
      </x:c>
      <x:c r="R361" s="83" t="str">
        <x:f>IF(L361="BELOW","EXCLUDE — STRENGTH",IF(P361="OVER CAP","EXCLUDE — COST",IF(K361="Yes",IF('WELL INPUTS'!$B$14="No","EXCLUDE — REFERENCE","REFERENCE ONLY"),IF(OR(L361="UNKNOWN",M361="NOT LISTED",N361="CORROSION CONTROL",O361="NOT LISTED",'WELL INPUTS'!$B$10="Yes",'WELL INPUTS'!$B$4="Unknown"),"REVIEW","CANDIDATE — VERIFY"))))</x:f>
        <x:v>EXCLUDE — STRENGTH</x:v>
      </x:c>
      <x:c r="S361" t="str">
        <x:f>IF(L361="BELOW","Increase minimum grade strength",IF(P361="OVER CAP","Relax cost tier or exclude",IF(K361="Yes","Identify qualified manufacturer grade",IF(M361="NOT LISTED","Confirm sour-service claim and ISO 15156",IF(O361="NOT LISTED","Obtain manufacturer collapse curve",IF(N361="CORROSION CONTROL","Model CO2 corrosion; review inhibition","Confirm corrosion, cracking, loads and connection"))))))</x:f>
        <x:v>Increase minimum grade strength</x:v>
      </x:c>
      <x:c r="T361" t="str">
        <x:v>https://www.voestalpine.com/tubulars/en/products/Proprietary-Grades/</x:v>
      </x:c>
    </x:row>
    <x:row r="362" ht="23" customHeight="1">
      <x:c r="A362" t="str">
        <x:v>OCTG-0361</x:v>
      </x:c>
      <x:c r="B362" t="str">
        <x:v>voestalpine Tubulars</x:v>
      </x:c>
      <x:c r="C362" t="str">
        <x:v>VA-FP-75-1CR</x:v>
      </x:c>
      <x:c r="D362" t="str">
        <x:v>Low-Cr alloy steel</x:v>
      </x:c>
      <x:c r="E362" t="str">
        <x:v>Mild wet CO2 / sweet service</x:v>
      </x:c>
      <x:c r="F362" s="82" t="n">
        <x:v>75</x:v>
      </x:c>
      <x:c r="G362" t="str">
        <x:v>No</x:v>
      </x:c>
      <x:c r="H362" t="str">
        <x:v>B</x:v>
      </x:c>
      <x:c r="I362" t="str">
        <x:v>No</x:v>
      </x:c>
      <x:c r="J362" t="str">
        <x:v>Yes</x:v>
      </x:c>
      <x:c r="K362" t="str">
        <x:v>No</x:v>
      </x:c>
      <x:c r="L362" t="str">
        <x:f>IF(F362="","UNKNOWN",IF(F362&lt;'WELL INPUTS'!$B$11,"BELOW","OK"))</x:f>
        <x:v>BELOW</x:v>
      </x:c>
      <x:c r="M362" t="str">
        <x:f>IF(AND('WELL INPUTS'!$B$4="Wet",'WELL INPUTS'!$B$5&gt;0),IF(I362="Yes","CATALOG SOUR","NOT LISTED"),"N/A")</x:f>
        <x:v>N/A</x:v>
      </x:c>
      <x:c r="N362" t="str">
        <x:f>IF(AND('WELL INPUTS'!$B$4="Wet",'WELL INPUTS'!$B$6&gt;0),IF(J362="Yes","ALLOY FAMILY","CORROSION CONTROL"),"N/A")</x:f>
        <x:v>ALLOY FAMILY</x:v>
      </x:c>
      <x:c r="O362" t="str">
        <x:f>IF('WELL INPUTS'!$B$12="Yes",IF(G362="Yes","CLAIMED","NOT LISTED"),"N/A")</x:f>
        <x:v>N/A</x:v>
      </x:c>
      <x:c r="P362" t="str">
        <x:f>IF(OR('WELL INPUTS'!$B$13="Unrestricted",CODE(H362)&lt;=CODE('WELL INPUTS'!$B$13)),"WITHIN TIER","OVER CAP")</x:f>
        <x:v>WITHIN TIER</x:v>
      </x:c>
      <x:c r="Q362" t="n">
        <x:f>MAX(0,MIN(100,43+IF(L362="OK",14,-20)+IF(M362="CATALOG SOUR",24,IF(M362="NOT LISTED",-18,0))+IF(N362="ALLOY FAMILY",14,IF(N362="CORROSION CONTROL",-13,0))+IF(O362="CLAIMED",17,IF(O362="NOT LISTED",-14,0))+IF(K362="Yes",-15,0)+IF('WELL INPUTS'!$B$10="Yes",-17,0)))</x:f>
        <x:v>37</x:v>
      </x:c>
      <x:c r="R362" s="83" t="str">
        <x:f>IF(L362="BELOW","EXCLUDE — STRENGTH",IF(P362="OVER CAP","EXCLUDE — COST",IF(K362="Yes",IF('WELL INPUTS'!$B$14="No","EXCLUDE — REFERENCE","REFERENCE ONLY"),IF(OR(L362="UNKNOWN",M362="NOT LISTED",N362="CORROSION CONTROL",O362="NOT LISTED",'WELL INPUTS'!$B$10="Yes",'WELL INPUTS'!$B$4="Unknown"),"REVIEW","CANDIDATE — VERIFY"))))</x:f>
        <x:v>EXCLUDE — STRENGTH</x:v>
      </x:c>
      <x:c r="S362" t="str">
        <x:f>IF(L362="BELOW","Increase minimum grade strength",IF(P362="OVER CAP","Relax cost tier or exclude",IF(K362="Yes","Identify qualified manufacturer grade",IF(M362="NOT LISTED","Confirm sour-service claim and ISO 15156",IF(O362="NOT LISTED","Obtain manufacturer collapse curve",IF(N362="CORROSION CONTROL","Model CO2 corrosion; review inhibition","Confirm corrosion, cracking, loads and connection"))))))</x:f>
        <x:v>Increase minimum grade strength</x:v>
      </x:c>
      <x:c r="T362" t="str">
        <x:v>https://www.voestalpine.com/tubulars/en/products/Proprietary-Grades/</x:v>
      </x:c>
    </x:row>
    <x:row r="363" ht="23" customHeight="1">
      <x:c r="A363" t="str">
        <x:v>OCTG-0362</x:v>
      </x:c>
      <x:c r="B363" t="str">
        <x:v>voestalpine Tubulars</x:v>
      </x:c>
      <x:c r="C363" t="str">
        <x:v>VA-FP-80-1CR</x:v>
      </x:c>
      <x:c r="D363" t="str">
        <x:v>Low-Cr alloy steel</x:v>
      </x:c>
      <x:c r="E363" t="str">
        <x:v>Mild wet CO2 / sweet service</x:v>
      </x:c>
      <x:c r="F363" s="82" t="n">
        <x:v>80</x:v>
      </x:c>
      <x:c r="G363" t="str">
        <x:v>No</x:v>
      </x:c>
      <x:c r="H363" t="str">
        <x:v>B</x:v>
      </x:c>
      <x:c r="I363" t="str">
        <x:v>No</x:v>
      </x:c>
      <x:c r="J363" t="str">
        <x:v>Yes</x:v>
      </x:c>
      <x:c r="K363" t="str">
        <x:v>No</x:v>
      </x:c>
      <x:c r="L363" t="str">
        <x:f>IF(F363="","UNKNOWN",IF(F363&lt;'WELL INPUTS'!$B$11,"BELOW","OK"))</x:f>
        <x:v>OK</x:v>
      </x:c>
      <x:c r="M363" t="str">
        <x:f>IF(AND('WELL INPUTS'!$B$4="Wet",'WELL INPUTS'!$B$5&gt;0),IF(I363="Yes","CATALOG SOUR","NOT LISTED"),"N/A")</x:f>
        <x:v>N/A</x:v>
      </x:c>
      <x:c r="N363" t="str">
        <x:f>IF(AND('WELL INPUTS'!$B$4="Wet",'WELL INPUTS'!$B$6&gt;0),IF(J363="Yes","ALLOY FAMILY","CORROSION CONTROL"),"N/A")</x:f>
        <x:v>ALLOY FAMILY</x:v>
      </x:c>
      <x:c r="O363" t="str">
        <x:f>IF('WELL INPUTS'!$B$12="Yes",IF(G363="Yes","CLAIMED","NOT LISTED"),"N/A")</x:f>
        <x:v>N/A</x:v>
      </x:c>
      <x:c r="P363" t="str">
        <x:f>IF(OR('WELL INPUTS'!$B$13="Unrestricted",CODE(H363)&lt;=CODE('WELL INPUTS'!$B$13)),"WITHIN TIER","OVER CAP")</x:f>
        <x:v>WITHIN TIER</x:v>
      </x:c>
      <x:c r="Q363" t="n">
        <x:f>MAX(0,MIN(100,43+IF(L363="OK",14,-20)+IF(M363="CATALOG SOUR",24,IF(M363="NOT LISTED",-18,0))+IF(N363="ALLOY FAMILY",14,IF(N363="CORROSION CONTROL",-13,0))+IF(O363="CLAIMED",17,IF(O363="NOT LISTED",-14,0))+IF(K363="Yes",-15,0)+IF('WELL INPUTS'!$B$10="Yes",-17,0)))</x:f>
        <x:v>71</x:v>
      </x:c>
      <x:c r="R363" s="83" t="str">
        <x:f>IF(L363="BELOW","EXCLUDE — STRENGTH",IF(P363="OVER CAP","EXCLUDE — COST",IF(K363="Yes",IF('WELL INPUTS'!$B$14="No","EXCLUDE — REFERENCE","REFERENCE ONLY"),IF(OR(L363="UNKNOWN",M363="NOT LISTED",N363="CORROSION CONTROL",O363="NOT LISTED",'WELL INPUTS'!$B$10="Yes",'WELL INPUTS'!$B$4="Unknown"),"REVIEW","CANDIDATE — VERIFY"))))</x:f>
        <x:v>CANDIDATE — VERIFY</x:v>
      </x:c>
      <x:c r="S363" t="str">
        <x:f>IF(L363="BELOW","Increase minimum grade strength",IF(P363="OVER CAP","Relax cost tier or exclude",IF(K363="Yes","Identify qualified manufacturer grade",IF(M363="NOT LISTED","Confirm sour-service claim and ISO 15156",IF(O363="NOT LISTED","Obtain manufacturer collapse curve",IF(N363="CORROSION CONTROL","Model CO2 corrosion; review inhibition","Confirm corrosion, cracking, loads and connection"))))))</x:f>
        <x:v>Confirm corrosion, cracking, loads and connection</x:v>
      </x:c>
      <x:c r="T363" t="str">
        <x:v>https://www.voestalpine.com/tubulars/en/products/Proprietary-Grades/</x:v>
      </x:c>
    </x:row>
    <x:row r="364" ht="23" customHeight="1">
      <x:c r="A364" t="str">
        <x:v>OCTG-0363</x:v>
      </x:c>
      <x:c r="B364" t="str">
        <x:v>voestalpine Tubulars</x:v>
      </x:c>
      <x:c r="C364" t="str">
        <x:v>VA-L80-1-1CR</x:v>
      </x:c>
      <x:c r="D364" t="str">
        <x:v>Low-Cr alloy steel</x:v>
      </x:c>
      <x:c r="E364" t="str">
        <x:v>Mild wet CO2 / sweet service</x:v>
      </x:c>
      <x:c r="F364" s="82" t="n">
        <x:v>80</x:v>
      </x:c>
      <x:c r="G364" t="str">
        <x:v>No</x:v>
      </x:c>
      <x:c r="H364" t="str">
        <x:v>B</x:v>
      </x:c>
      <x:c r="I364" t="str">
        <x:v>No</x:v>
      </x:c>
      <x:c r="J364" t="str">
        <x:v>Yes</x:v>
      </x:c>
      <x:c r="K364" t="str">
        <x:v>No</x:v>
      </x:c>
      <x:c r="L364" t="str">
        <x:f>IF(F364="","UNKNOWN",IF(F364&lt;'WELL INPUTS'!$B$11,"BELOW","OK"))</x:f>
        <x:v>OK</x:v>
      </x:c>
      <x:c r="M364" t="str">
        <x:f>IF(AND('WELL INPUTS'!$B$4="Wet",'WELL INPUTS'!$B$5&gt;0),IF(I364="Yes","CATALOG SOUR","NOT LISTED"),"N/A")</x:f>
        <x:v>N/A</x:v>
      </x:c>
      <x:c r="N364" t="str">
        <x:f>IF(AND('WELL INPUTS'!$B$4="Wet",'WELL INPUTS'!$B$6&gt;0),IF(J364="Yes","ALLOY FAMILY","CORROSION CONTROL"),"N/A")</x:f>
        <x:v>ALLOY FAMILY</x:v>
      </x:c>
      <x:c r="O364" t="str">
        <x:f>IF('WELL INPUTS'!$B$12="Yes",IF(G364="Yes","CLAIMED","NOT LISTED"),"N/A")</x:f>
        <x:v>N/A</x:v>
      </x:c>
      <x:c r="P364" t="str">
        <x:f>IF(OR('WELL INPUTS'!$B$13="Unrestricted",CODE(H364)&lt;=CODE('WELL INPUTS'!$B$13)),"WITHIN TIER","OVER CAP")</x:f>
        <x:v>WITHIN TIER</x:v>
      </x:c>
      <x:c r="Q364" t="n">
        <x:f>MAX(0,MIN(100,43+IF(L364="OK",14,-20)+IF(M364="CATALOG SOUR",24,IF(M364="NOT LISTED",-18,0))+IF(N364="ALLOY FAMILY",14,IF(N364="CORROSION CONTROL",-13,0))+IF(O364="CLAIMED",17,IF(O364="NOT LISTED",-14,0))+IF(K364="Yes",-15,0)+IF('WELL INPUTS'!$B$10="Yes",-17,0)))</x:f>
        <x:v>71</x:v>
      </x:c>
      <x:c r="R364" s="83" t="str">
        <x:f>IF(L364="BELOW","EXCLUDE — STRENGTH",IF(P364="OVER CAP","EXCLUDE — COST",IF(K364="Yes",IF('WELL INPUTS'!$B$14="No","EXCLUDE — REFERENCE","REFERENCE ONLY"),IF(OR(L364="UNKNOWN",M364="NOT LISTED",N364="CORROSION CONTROL",O364="NOT LISTED",'WELL INPUTS'!$B$10="Yes",'WELL INPUTS'!$B$4="Unknown"),"REVIEW","CANDIDATE — VERIFY"))))</x:f>
        <x:v>CANDIDATE — VERIFY</x:v>
      </x:c>
      <x:c r="S364" t="str">
        <x:f>IF(L364="BELOW","Increase minimum grade strength",IF(P364="OVER CAP","Relax cost tier or exclude",IF(K364="Yes","Identify qualified manufacturer grade",IF(M364="NOT LISTED","Confirm sour-service claim and ISO 15156",IF(O364="NOT LISTED","Obtain manufacturer collapse curve",IF(N364="CORROSION CONTROL","Model CO2 corrosion; review inhibition","Confirm corrosion, cracking, loads and connection"))))))</x:f>
        <x:v>Confirm corrosion, cracking, loads and connection</x:v>
      </x:c>
      <x:c r="T364" t="str">
        <x:v>https://www.voestalpine.com/tubulars/en/products/Proprietary-Grades/</x:v>
      </x:c>
    </x:row>
    <x:row r="365" ht="23" customHeight="1">
      <x:c r="A365" t="str">
        <x:v>OCTG-0364</x:v>
      </x:c>
      <x:c r="B365" t="str">
        <x:v>voestalpine Tubulars</x:v>
      </x:c>
      <x:c r="C365" t="str">
        <x:v>VA-N80-Q-1CR</x:v>
      </x:c>
      <x:c r="D365" t="str">
        <x:v>Low-Cr alloy steel</x:v>
      </x:c>
      <x:c r="E365" t="str">
        <x:v>Mild wet CO2 / sweet service</x:v>
      </x:c>
      <x:c r="F365" s="82" t="n">
        <x:v>80</x:v>
      </x:c>
      <x:c r="G365" t="str">
        <x:v>No</x:v>
      </x:c>
      <x:c r="H365" t="str">
        <x:v>B</x:v>
      </x:c>
      <x:c r="I365" t="str">
        <x:v>No</x:v>
      </x:c>
      <x:c r="J365" t="str">
        <x:v>Yes</x:v>
      </x:c>
      <x:c r="K365" t="str">
        <x:v>No</x:v>
      </x:c>
      <x:c r="L365" t="str">
        <x:f>IF(F365="","UNKNOWN",IF(F365&lt;'WELL INPUTS'!$B$11,"BELOW","OK"))</x:f>
        <x:v>OK</x:v>
      </x:c>
      <x:c r="M365" t="str">
        <x:f>IF(AND('WELL INPUTS'!$B$4="Wet",'WELL INPUTS'!$B$5&gt;0),IF(I365="Yes","CATALOG SOUR","NOT LISTED"),"N/A")</x:f>
        <x:v>N/A</x:v>
      </x:c>
      <x:c r="N365" t="str">
        <x:f>IF(AND('WELL INPUTS'!$B$4="Wet",'WELL INPUTS'!$B$6&gt;0),IF(J365="Yes","ALLOY FAMILY","CORROSION CONTROL"),"N/A")</x:f>
        <x:v>ALLOY FAMILY</x:v>
      </x:c>
      <x:c r="O365" t="str">
        <x:f>IF('WELL INPUTS'!$B$12="Yes",IF(G365="Yes","CLAIMED","NOT LISTED"),"N/A")</x:f>
        <x:v>N/A</x:v>
      </x:c>
      <x:c r="P365" t="str">
        <x:f>IF(OR('WELL INPUTS'!$B$13="Unrestricted",CODE(H365)&lt;=CODE('WELL INPUTS'!$B$13)),"WITHIN TIER","OVER CAP")</x:f>
        <x:v>WITHIN TIER</x:v>
      </x:c>
      <x:c r="Q365" t="n">
        <x:f>MAX(0,MIN(100,43+IF(L365="OK",14,-20)+IF(M365="CATALOG SOUR",24,IF(M365="NOT LISTED",-18,0))+IF(N365="ALLOY FAMILY",14,IF(N365="CORROSION CONTROL",-13,0))+IF(O365="CLAIMED",17,IF(O365="NOT LISTED",-14,0))+IF(K365="Yes",-15,0)+IF('WELL INPUTS'!$B$10="Yes",-17,0)))</x:f>
        <x:v>71</x:v>
      </x:c>
      <x:c r="R365" s="83" t="str">
        <x:f>IF(L365="BELOW","EXCLUDE — STRENGTH",IF(P365="OVER CAP","EXCLUDE — COST",IF(K365="Yes",IF('WELL INPUTS'!$B$14="No","EXCLUDE — REFERENCE","REFERENCE ONLY"),IF(OR(L365="UNKNOWN",M365="NOT LISTED",N365="CORROSION CONTROL",O365="NOT LISTED",'WELL INPUTS'!$B$10="Yes",'WELL INPUTS'!$B$4="Unknown"),"REVIEW","CANDIDATE — VERIFY"))))</x:f>
        <x:v>CANDIDATE — VERIFY</x:v>
      </x:c>
      <x:c r="S365" t="str">
        <x:f>IF(L365="BELOW","Increase minimum grade strength",IF(P365="OVER CAP","Relax cost tier or exclude",IF(K365="Yes","Identify qualified manufacturer grade",IF(M365="NOT LISTED","Confirm sour-service claim and ISO 15156",IF(O365="NOT LISTED","Obtain manufacturer collapse curve",IF(N365="CORROSION CONTROL","Model CO2 corrosion; review inhibition","Confirm corrosion, cracking, loads and connection"))))))</x:f>
        <x:v>Confirm corrosion, cracking, loads and connection</x:v>
      </x:c>
      <x:c r="T365" t="str">
        <x:v>https://www.voestalpine.com/tubulars/en/products/Proprietary-Grades/</x:v>
      </x:c>
    </x:row>
    <x:row r="366" ht="23" customHeight="1">
      <x:c r="A366" t="str">
        <x:v>OCTG-0365</x:v>
      </x:c>
      <x:c r="B366" t="str">
        <x:v>voestalpine Tubulars</x:v>
      </x:c>
      <x:c r="C366" t="str">
        <x:v>VA-N80-Q-3CR</x:v>
      </x:c>
      <x:c r="D366" t="str">
        <x:v>Low-Cr alloy steel</x:v>
      </x:c>
      <x:c r="E366" t="str">
        <x:v>Mild wet CO2 / sweet service</x:v>
      </x:c>
      <x:c r="F366" s="82" t="n">
        <x:v>80</x:v>
      </x:c>
      <x:c r="G366" t="str">
        <x:v>No</x:v>
      </x:c>
      <x:c r="H366" t="str">
        <x:v>B</x:v>
      </x:c>
      <x:c r="I366" t="str">
        <x:v>No</x:v>
      </x:c>
      <x:c r="J366" t="str">
        <x:v>Yes</x:v>
      </x:c>
      <x:c r="K366" t="str">
        <x:v>No</x:v>
      </x:c>
      <x:c r="L366" t="str">
        <x:f>IF(F366="","UNKNOWN",IF(F366&lt;'WELL INPUTS'!$B$11,"BELOW","OK"))</x:f>
        <x:v>OK</x:v>
      </x:c>
      <x:c r="M366" t="str">
        <x:f>IF(AND('WELL INPUTS'!$B$4="Wet",'WELL INPUTS'!$B$5&gt;0),IF(I366="Yes","CATALOG SOUR","NOT LISTED"),"N/A")</x:f>
        <x:v>N/A</x:v>
      </x:c>
      <x:c r="N366" t="str">
        <x:f>IF(AND('WELL INPUTS'!$B$4="Wet",'WELL INPUTS'!$B$6&gt;0),IF(J366="Yes","ALLOY FAMILY","CORROSION CONTROL"),"N/A")</x:f>
        <x:v>ALLOY FAMILY</x:v>
      </x:c>
      <x:c r="O366" t="str">
        <x:f>IF('WELL INPUTS'!$B$12="Yes",IF(G366="Yes","CLAIMED","NOT LISTED"),"N/A")</x:f>
        <x:v>N/A</x:v>
      </x:c>
      <x:c r="P366" t="str">
        <x:f>IF(OR('WELL INPUTS'!$B$13="Unrestricted",CODE(H366)&lt;=CODE('WELL INPUTS'!$B$13)),"WITHIN TIER","OVER CAP")</x:f>
        <x:v>WITHIN TIER</x:v>
      </x:c>
      <x:c r="Q366" t="n">
        <x:f>MAX(0,MIN(100,43+IF(L366="OK",14,-20)+IF(M366="CATALOG SOUR",24,IF(M366="NOT LISTED",-18,0))+IF(N366="ALLOY FAMILY",14,IF(N366="CORROSION CONTROL",-13,0))+IF(O366="CLAIMED",17,IF(O366="NOT LISTED",-14,0))+IF(K366="Yes",-15,0)+IF('WELL INPUTS'!$B$10="Yes",-17,0)))</x:f>
        <x:v>71</x:v>
      </x:c>
      <x:c r="R366" s="83" t="str">
        <x:f>IF(L366="BELOW","EXCLUDE — STRENGTH",IF(P366="OVER CAP","EXCLUDE — COST",IF(K366="Yes",IF('WELL INPUTS'!$B$14="No","EXCLUDE — REFERENCE","REFERENCE ONLY"),IF(OR(L366="UNKNOWN",M366="NOT LISTED",N366="CORROSION CONTROL",O366="NOT LISTED",'WELL INPUTS'!$B$10="Yes",'WELL INPUTS'!$B$4="Unknown"),"REVIEW","CANDIDATE — VERIFY"))))</x:f>
        <x:v>CANDIDATE — VERIFY</x:v>
      </x:c>
      <x:c r="S366" t="str">
        <x:f>IF(L366="BELOW","Increase minimum grade strength",IF(P366="OVER CAP","Relax cost tier or exclude",IF(K366="Yes","Identify qualified manufacturer grade",IF(M366="NOT LISTED","Confirm sour-service claim and ISO 15156",IF(O366="NOT LISTED","Obtain manufacturer collapse curve",IF(N366="CORROSION CONTROL","Model CO2 corrosion; review inhibition","Confirm corrosion, cracking, loads and connection"))))))</x:f>
        <x:v>Confirm corrosion, cracking, loads and connection</x:v>
      </x:c>
      <x:c r="T366" t="str">
        <x:v>https://www.voestalpine.com/tubulars/en/products/Proprietary-Grades/</x:v>
      </x:c>
    </x:row>
    <x:row r="367" ht="23" customHeight="1">
      <x:c r="A367" t="str">
        <x:v>OCTG-0366</x:v>
      </x:c>
      <x:c r="B367" t="str">
        <x:v>voestalpine Tubulars</x:v>
      </x:c>
      <x:c r="C367" t="str">
        <x:v>VA-P110-1CR</x:v>
      </x:c>
      <x:c r="D367" t="str">
        <x:v>Low-Cr alloy steel</x:v>
      </x:c>
      <x:c r="E367" t="str">
        <x:v>Mild wet CO2 / sweet service</x:v>
      </x:c>
      <x:c r="F367" s="82" t="n">
        <x:v>110</x:v>
      </x:c>
      <x:c r="G367" t="str">
        <x:v>No</x:v>
      </x:c>
      <x:c r="H367" t="str">
        <x:v>B</x:v>
      </x:c>
      <x:c r="I367" t="str">
        <x:v>No</x:v>
      </x:c>
      <x:c r="J367" t="str">
        <x:v>Yes</x:v>
      </x:c>
      <x:c r="K367" t="str">
        <x:v>No</x:v>
      </x:c>
      <x:c r="L367" t="str">
        <x:f>IF(F367="","UNKNOWN",IF(F367&lt;'WELL INPUTS'!$B$11,"BELOW","OK"))</x:f>
        <x:v>OK</x:v>
      </x:c>
      <x:c r="M367" t="str">
        <x:f>IF(AND('WELL INPUTS'!$B$4="Wet",'WELL INPUTS'!$B$5&gt;0),IF(I367="Yes","CATALOG SOUR","NOT LISTED"),"N/A")</x:f>
        <x:v>N/A</x:v>
      </x:c>
      <x:c r="N367" t="str">
        <x:f>IF(AND('WELL INPUTS'!$B$4="Wet",'WELL INPUTS'!$B$6&gt;0),IF(J367="Yes","ALLOY FAMILY","CORROSION CONTROL"),"N/A")</x:f>
        <x:v>ALLOY FAMILY</x:v>
      </x:c>
      <x:c r="O367" t="str">
        <x:f>IF('WELL INPUTS'!$B$12="Yes",IF(G367="Yes","CLAIMED","NOT LISTED"),"N/A")</x:f>
        <x:v>N/A</x:v>
      </x:c>
      <x:c r="P367" t="str">
        <x:f>IF(OR('WELL INPUTS'!$B$13="Unrestricted",CODE(H367)&lt;=CODE('WELL INPUTS'!$B$13)),"WITHIN TIER","OVER CAP")</x:f>
        <x:v>WITHIN TIER</x:v>
      </x:c>
      <x:c r="Q367" t="n">
        <x:f>MAX(0,MIN(100,43+IF(L367="OK",14,-20)+IF(M367="CATALOG SOUR",24,IF(M367="NOT LISTED",-18,0))+IF(N367="ALLOY FAMILY",14,IF(N367="CORROSION CONTROL",-13,0))+IF(O367="CLAIMED",17,IF(O367="NOT LISTED",-14,0))+IF(K367="Yes",-15,0)+IF('WELL INPUTS'!$B$10="Yes",-17,0)))</x:f>
        <x:v>71</x:v>
      </x:c>
      <x:c r="R367" s="83" t="str">
        <x:f>IF(L367="BELOW","EXCLUDE — STRENGTH",IF(P367="OVER CAP","EXCLUDE — COST",IF(K367="Yes",IF('WELL INPUTS'!$B$14="No","EXCLUDE — REFERENCE","REFERENCE ONLY"),IF(OR(L367="UNKNOWN",M367="NOT LISTED",N367="CORROSION CONTROL",O367="NOT LISTED",'WELL INPUTS'!$B$10="Yes",'WELL INPUTS'!$B$4="Unknown"),"REVIEW","CANDIDATE — VERIFY"))))</x:f>
        <x:v>CANDIDATE — VERIFY</x:v>
      </x:c>
      <x:c r="S367" t="str">
        <x:f>IF(L367="BELOW","Increase minimum grade strength",IF(P367="OVER CAP","Relax cost tier or exclude",IF(K367="Yes","Identify qualified manufacturer grade",IF(M367="NOT LISTED","Confirm sour-service claim and ISO 15156",IF(O367="NOT LISTED","Obtain manufacturer collapse curve",IF(N367="CORROSION CONTROL","Model CO2 corrosion; review inhibition","Confirm corrosion, cracking, loads and connection"))))))</x:f>
        <x:v>Confirm corrosion, cracking, loads and connection</x:v>
      </x:c>
      <x:c r="T367" t="str">
        <x:v>https://www.voestalpine.com/tubulars/en/products/Proprietary-Grades/</x:v>
      </x:c>
    </x:row>
    <x:row r="368" ht="23" customHeight="1">
      <x:c r="A368" t="str">
        <x:v>OCTG-0367</x:v>
      </x:c>
      <x:c r="B368" t="str">
        <x:v>voestalpine Tubulars</x:v>
      </x:c>
      <x:c r="C368" t="str">
        <x:v>VA-P110-3CR</x:v>
      </x:c>
      <x:c r="D368" t="str">
        <x:v>Low-Cr alloy steel</x:v>
      </x:c>
      <x:c r="E368" t="str">
        <x:v>Mild wet CO2 / sweet service</x:v>
      </x:c>
      <x:c r="F368" s="82" t="n">
        <x:v>110</x:v>
      </x:c>
      <x:c r="G368" t="str">
        <x:v>No</x:v>
      </x:c>
      <x:c r="H368" t="str">
        <x:v>B</x:v>
      </x:c>
      <x:c r="I368" t="str">
        <x:v>No</x:v>
      </x:c>
      <x:c r="J368" t="str">
        <x:v>Yes</x:v>
      </x:c>
      <x:c r="K368" t="str">
        <x:v>No</x:v>
      </x:c>
      <x:c r="L368" t="str">
        <x:f>IF(F368="","UNKNOWN",IF(F368&lt;'WELL INPUTS'!$B$11,"BELOW","OK"))</x:f>
        <x:v>OK</x:v>
      </x:c>
      <x:c r="M368" t="str">
        <x:f>IF(AND('WELL INPUTS'!$B$4="Wet",'WELL INPUTS'!$B$5&gt;0),IF(I368="Yes","CATALOG SOUR","NOT LISTED"),"N/A")</x:f>
        <x:v>N/A</x:v>
      </x:c>
      <x:c r="N368" t="str">
        <x:f>IF(AND('WELL INPUTS'!$B$4="Wet",'WELL INPUTS'!$B$6&gt;0),IF(J368="Yes","ALLOY FAMILY","CORROSION CONTROL"),"N/A")</x:f>
        <x:v>ALLOY FAMILY</x:v>
      </x:c>
      <x:c r="O368" t="str">
        <x:f>IF('WELL INPUTS'!$B$12="Yes",IF(G368="Yes","CLAIMED","NOT LISTED"),"N/A")</x:f>
        <x:v>N/A</x:v>
      </x:c>
      <x:c r="P368" t="str">
        <x:f>IF(OR('WELL INPUTS'!$B$13="Unrestricted",CODE(H368)&lt;=CODE('WELL INPUTS'!$B$13)),"WITHIN TIER","OVER CAP")</x:f>
        <x:v>WITHIN TIER</x:v>
      </x:c>
      <x:c r="Q368" t="n">
        <x:f>MAX(0,MIN(100,43+IF(L368="OK",14,-20)+IF(M368="CATALOG SOUR",24,IF(M368="NOT LISTED",-18,0))+IF(N368="ALLOY FAMILY",14,IF(N368="CORROSION CONTROL",-13,0))+IF(O368="CLAIMED",17,IF(O368="NOT LISTED",-14,0))+IF(K368="Yes",-15,0)+IF('WELL INPUTS'!$B$10="Yes",-17,0)))</x:f>
        <x:v>71</x:v>
      </x:c>
      <x:c r="R368" s="83" t="str">
        <x:f>IF(L368="BELOW","EXCLUDE — STRENGTH",IF(P368="OVER CAP","EXCLUDE — COST",IF(K368="Yes",IF('WELL INPUTS'!$B$14="No","EXCLUDE — REFERENCE","REFERENCE ONLY"),IF(OR(L368="UNKNOWN",M368="NOT LISTED",N368="CORROSION CONTROL",O368="NOT LISTED",'WELL INPUTS'!$B$10="Yes",'WELL INPUTS'!$B$4="Unknown"),"REVIEW","CANDIDATE — VERIFY"))))</x:f>
        <x:v>CANDIDATE — VERIFY</x:v>
      </x:c>
      <x:c r="S368" t="str">
        <x:f>IF(L368="BELOW","Increase minimum grade strength",IF(P368="OVER CAP","Relax cost tier or exclude",IF(K368="Yes","Identify qualified manufacturer grade",IF(M368="NOT LISTED","Confirm sour-service claim and ISO 15156",IF(O368="NOT LISTED","Obtain manufacturer collapse curve",IF(N368="CORROSION CONTROL","Model CO2 corrosion; review inhibition","Confirm corrosion, cracking, loads and connection"))))))</x:f>
        <x:v>Confirm corrosion, cracking, loads and connection</x:v>
      </x:c>
      <x:c r="T368" t="str">
        <x:v>https://www.voestalpine.com/tubulars/en/products/Proprietary-Grades/</x:v>
      </x:c>
    </x:row>
    <x:row r="369" ht="23" customHeight="1">
      <x:c r="A369" t="str">
        <x:v>OCTG-0368</x:v>
      </x:c>
      <x:c r="B369" t="str">
        <x:v>voestalpine Tubulars</x:v>
      </x:c>
      <x:c r="C369" t="str">
        <x:v>VA-R95-1CR</x:v>
      </x:c>
      <x:c r="D369" t="str">
        <x:v>Low-Cr alloy steel</x:v>
      </x:c>
      <x:c r="E369" t="str">
        <x:v>Mild wet CO2 / sweet service</x:v>
      </x:c>
      <x:c r="F369" s="82" t="n">
        <x:v>95</x:v>
      </x:c>
      <x:c r="G369" t="str">
        <x:v>No</x:v>
      </x:c>
      <x:c r="H369" t="str">
        <x:v>B</x:v>
      </x:c>
      <x:c r="I369" t="str">
        <x:v>No</x:v>
      </x:c>
      <x:c r="J369" t="str">
        <x:v>Yes</x:v>
      </x:c>
      <x:c r="K369" t="str">
        <x:v>No</x:v>
      </x:c>
      <x:c r="L369" t="str">
        <x:f>IF(F369="","UNKNOWN",IF(F369&lt;'WELL INPUTS'!$B$11,"BELOW","OK"))</x:f>
        <x:v>OK</x:v>
      </x:c>
      <x:c r="M369" t="str">
        <x:f>IF(AND('WELL INPUTS'!$B$4="Wet",'WELL INPUTS'!$B$5&gt;0),IF(I369="Yes","CATALOG SOUR","NOT LISTED"),"N/A")</x:f>
        <x:v>N/A</x:v>
      </x:c>
      <x:c r="N369" t="str">
        <x:f>IF(AND('WELL INPUTS'!$B$4="Wet",'WELL INPUTS'!$B$6&gt;0),IF(J369="Yes","ALLOY FAMILY","CORROSION CONTROL"),"N/A")</x:f>
        <x:v>ALLOY FAMILY</x:v>
      </x:c>
      <x:c r="O369" t="str">
        <x:f>IF('WELL INPUTS'!$B$12="Yes",IF(G369="Yes","CLAIMED","NOT LISTED"),"N/A")</x:f>
        <x:v>N/A</x:v>
      </x:c>
      <x:c r="P369" t="str">
        <x:f>IF(OR('WELL INPUTS'!$B$13="Unrestricted",CODE(H369)&lt;=CODE('WELL INPUTS'!$B$13)),"WITHIN TIER","OVER CAP")</x:f>
        <x:v>WITHIN TIER</x:v>
      </x:c>
      <x:c r="Q369" t="n">
        <x:f>MAX(0,MIN(100,43+IF(L369="OK",14,-20)+IF(M369="CATALOG SOUR",24,IF(M369="NOT LISTED",-18,0))+IF(N369="ALLOY FAMILY",14,IF(N369="CORROSION CONTROL",-13,0))+IF(O369="CLAIMED",17,IF(O369="NOT LISTED",-14,0))+IF(K369="Yes",-15,0)+IF('WELL INPUTS'!$B$10="Yes",-17,0)))</x:f>
        <x:v>71</x:v>
      </x:c>
      <x:c r="R369" s="83" t="str">
        <x:f>IF(L369="BELOW","EXCLUDE — STRENGTH",IF(P369="OVER CAP","EXCLUDE — COST",IF(K369="Yes",IF('WELL INPUTS'!$B$14="No","EXCLUDE — REFERENCE","REFERENCE ONLY"),IF(OR(L369="UNKNOWN",M369="NOT LISTED",N369="CORROSION CONTROL",O369="NOT LISTED",'WELL INPUTS'!$B$10="Yes",'WELL INPUTS'!$B$4="Unknown"),"REVIEW","CANDIDATE — VERIFY"))))</x:f>
        <x:v>CANDIDATE — VERIFY</x:v>
      </x:c>
      <x:c r="S369" t="str">
        <x:f>IF(L369="BELOW","Increase minimum grade strength",IF(P369="OVER CAP","Relax cost tier or exclude",IF(K369="Yes","Identify qualified manufacturer grade",IF(M369="NOT LISTED","Confirm sour-service claim and ISO 15156",IF(O369="NOT LISTED","Obtain manufacturer collapse curve",IF(N369="CORROSION CONTROL","Model CO2 corrosion; review inhibition","Confirm corrosion, cracking, loads and connection"))))))</x:f>
        <x:v>Confirm corrosion, cracking, loads and connection</x:v>
      </x:c>
      <x:c r="T369" t="str">
        <x:v>https://www.voestalpine.com/tubulars/en/products/Proprietary-Grades/</x:v>
      </x:c>
    </x:row>
    <x:row r="370" ht="23" customHeight="1">
      <x:c r="A370" t="str">
        <x:v>OCTG-0369</x:v>
      </x:c>
      <x:c r="B370" t="str">
        <x:v>voestalpine Tubulars</x:v>
      </x:c>
      <x:c r="C370" t="str">
        <x:v>VA-R95-3CR</x:v>
      </x:c>
      <x:c r="D370" t="str">
        <x:v>Low-Cr alloy steel</x:v>
      </x:c>
      <x:c r="E370" t="str">
        <x:v>Mild wet CO2 / sweet service</x:v>
      </x:c>
      <x:c r="F370" s="82" t="n">
        <x:v>95</x:v>
      </x:c>
      <x:c r="G370" t="str">
        <x:v>No</x:v>
      </x:c>
      <x:c r="H370" t="str">
        <x:v>B</x:v>
      </x:c>
      <x:c r="I370" t="str">
        <x:v>No</x:v>
      </x:c>
      <x:c r="J370" t="str">
        <x:v>Yes</x:v>
      </x:c>
      <x:c r="K370" t="str">
        <x:v>No</x:v>
      </x:c>
      <x:c r="L370" t="str">
        <x:f>IF(F370="","UNKNOWN",IF(F370&lt;'WELL INPUTS'!$B$11,"BELOW","OK"))</x:f>
        <x:v>OK</x:v>
      </x:c>
      <x:c r="M370" t="str">
        <x:f>IF(AND('WELL INPUTS'!$B$4="Wet",'WELL INPUTS'!$B$5&gt;0),IF(I370="Yes","CATALOG SOUR","NOT LISTED"),"N/A")</x:f>
        <x:v>N/A</x:v>
      </x:c>
      <x:c r="N370" t="str">
        <x:f>IF(AND('WELL INPUTS'!$B$4="Wet",'WELL INPUTS'!$B$6&gt;0),IF(J370="Yes","ALLOY FAMILY","CORROSION CONTROL"),"N/A")</x:f>
        <x:v>ALLOY FAMILY</x:v>
      </x:c>
      <x:c r="O370" t="str">
        <x:f>IF('WELL INPUTS'!$B$12="Yes",IF(G370="Yes","CLAIMED","NOT LISTED"),"N/A")</x:f>
        <x:v>N/A</x:v>
      </x:c>
      <x:c r="P370" t="str">
        <x:f>IF(OR('WELL INPUTS'!$B$13="Unrestricted",CODE(H370)&lt;=CODE('WELL INPUTS'!$B$13)),"WITHIN TIER","OVER CAP")</x:f>
        <x:v>WITHIN TIER</x:v>
      </x:c>
      <x:c r="Q370" t="n">
        <x:f>MAX(0,MIN(100,43+IF(L370="OK",14,-20)+IF(M370="CATALOG SOUR",24,IF(M370="NOT LISTED",-18,0))+IF(N370="ALLOY FAMILY",14,IF(N370="CORROSION CONTROL",-13,0))+IF(O370="CLAIMED",17,IF(O370="NOT LISTED",-14,0))+IF(K370="Yes",-15,0)+IF('WELL INPUTS'!$B$10="Yes",-17,0)))</x:f>
        <x:v>71</x:v>
      </x:c>
      <x:c r="R370" s="83" t="str">
        <x:f>IF(L370="BELOW","EXCLUDE — STRENGTH",IF(P370="OVER CAP","EXCLUDE — COST",IF(K370="Yes",IF('WELL INPUTS'!$B$14="No","EXCLUDE — REFERENCE","REFERENCE ONLY"),IF(OR(L370="UNKNOWN",M370="NOT LISTED",N370="CORROSION CONTROL",O370="NOT LISTED",'WELL INPUTS'!$B$10="Yes",'WELL INPUTS'!$B$4="Unknown"),"REVIEW","CANDIDATE — VERIFY"))))</x:f>
        <x:v>CANDIDATE — VERIFY</x:v>
      </x:c>
      <x:c r="S370" t="str">
        <x:f>IF(L370="BELOW","Increase minimum grade strength",IF(P370="OVER CAP","Relax cost tier or exclude",IF(K370="Yes","Identify qualified manufacturer grade",IF(M370="NOT LISTED","Confirm sour-service claim and ISO 15156",IF(O370="NOT LISTED","Obtain manufacturer collapse curve",IF(N370="CORROSION CONTROL","Model CO2 corrosion; review inhibition","Confirm corrosion, cracking, loads and connection"))))))</x:f>
        <x:v>Confirm corrosion, cracking, loads and connection</x:v>
      </x:c>
      <x:c r="T370" t="str">
        <x:v>https://www.voestalpine.com/tubulars/en/products/Proprietary-Grades/</x:v>
      </x:c>
    </x:row>
    <x:row r="371" ht="23" customHeight="1">
      <x:c r="A371" t="str">
        <x:v>OCTG-0370</x:v>
      </x:c>
      <x:c r="B371" t="str">
        <x:v>voestalpine Tubulars</x:v>
      </x:c>
      <x:c r="C371" t="str">
        <x:v>VA-110-13CR</x:v>
      </x:c>
      <x:c r="D371" t="str">
        <x:v>Martensitic 13Cr</x:v>
      </x:c>
      <x:c r="E371" t="str">
        <x:v>Sweet wet CO2</x:v>
      </x:c>
      <x:c r="F371" s="82" t="n">
        <x:v>110</x:v>
      </x:c>
      <x:c r="G371" t="str">
        <x:v>No</x:v>
      </x:c>
      <x:c r="H371" t="str">
        <x:v>D</x:v>
      </x:c>
      <x:c r="I371" t="str">
        <x:v>No</x:v>
      </x:c>
      <x:c r="J371" t="str">
        <x:v>Yes</x:v>
      </x:c>
      <x:c r="K371" t="str">
        <x:v>No</x:v>
      </x:c>
      <x:c r="L371" t="str">
        <x:f>IF(F371="","UNKNOWN",IF(F371&lt;'WELL INPUTS'!$B$11,"BELOW","OK"))</x:f>
        <x:v>OK</x:v>
      </x:c>
      <x:c r="M371" t="str">
        <x:f>IF(AND('WELL INPUTS'!$B$4="Wet",'WELL INPUTS'!$B$5&gt;0),IF(I371="Yes","CATALOG SOUR","NOT LISTED"),"N/A")</x:f>
        <x:v>N/A</x:v>
      </x:c>
      <x:c r="N371" t="str">
        <x:f>IF(AND('WELL INPUTS'!$B$4="Wet",'WELL INPUTS'!$B$6&gt;0),IF(J371="Yes","ALLOY FAMILY","CORROSION CONTROL"),"N/A")</x:f>
        <x:v>ALLOY FAMILY</x:v>
      </x:c>
      <x:c r="O371" t="str">
        <x:f>IF('WELL INPUTS'!$B$12="Yes",IF(G371="Yes","CLAIMED","NOT LISTED"),"N/A")</x:f>
        <x:v>N/A</x:v>
      </x:c>
      <x:c r="P371" t="str">
        <x:f>IF(OR('WELL INPUTS'!$B$13="Unrestricted",CODE(H371)&lt;=CODE('WELL INPUTS'!$B$13)),"WITHIN TIER","OVER CAP")</x:f>
        <x:v>WITHIN TIER</x:v>
      </x:c>
      <x:c r="Q371" t="n">
        <x:f>MAX(0,MIN(100,43+IF(L371="OK",14,-20)+IF(M371="CATALOG SOUR",24,IF(M371="NOT LISTED",-18,0))+IF(N371="ALLOY FAMILY",14,IF(N371="CORROSION CONTROL",-13,0))+IF(O371="CLAIMED",17,IF(O371="NOT LISTED",-14,0))+IF(K371="Yes",-15,0)+IF('WELL INPUTS'!$B$10="Yes",-17,0)))</x:f>
        <x:v>71</x:v>
      </x:c>
      <x:c r="R371" s="83" t="str">
        <x:f>IF(L371="BELOW","EXCLUDE — STRENGTH",IF(P371="OVER CAP","EXCLUDE — COST",IF(K371="Yes",IF('WELL INPUTS'!$B$14="No","EXCLUDE — REFERENCE","REFERENCE ONLY"),IF(OR(L371="UNKNOWN",M371="NOT LISTED",N371="CORROSION CONTROL",O371="NOT LISTED",'WELL INPUTS'!$B$10="Yes",'WELL INPUTS'!$B$4="Unknown"),"REVIEW","CANDIDATE — VERIFY"))))</x:f>
        <x:v>CANDIDATE — VERIFY</x:v>
      </x:c>
      <x:c r="S371" t="str">
        <x:f>IF(L371="BELOW","Increase minimum grade strength",IF(P371="OVER CAP","Relax cost tier or exclude",IF(K371="Yes","Identify qualified manufacturer grade",IF(M371="NOT LISTED","Confirm sour-service claim and ISO 15156",IF(O371="NOT LISTED","Obtain manufacturer collapse curve",IF(N371="CORROSION CONTROL","Model CO2 corrosion; review inhibition","Confirm corrosion, cracking, loads and connection"))))))</x:f>
        <x:v>Confirm corrosion, cracking, loads and connection</x:v>
      </x:c>
      <x:c r="T371" t="str">
        <x:v>https://www.voestalpine.com/tubulars/en/products/Proprietary-Grades/</x:v>
      </x:c>
    </x:row>
    <x:row r="372" ht="23" customHeight="1">
      <x:c r="A372" t="str">
        <x:v>OCTG-0371</x:v>
      </x:c>
      <x:c r="B372" t="str">
        <x:v>voestalpine Tubulars</x:v>
      </x:c>
      <x:c r="C372" t="str">
        <x:v>VA-95-13CR</x:v>
      </x:c>
      <x:c r="D372" t="str">
        <x:v>Martensitic 13Cr</x:v>
      </x:c>
      <x:c r="E372" t="str">
        <x:v>Sweet wet CO2</x:v>
      </x:c>
      <x:c r="F372" s="82" t="n">
        <x:v>95</x:v>
      </x:c>
      <x:c r="G372" t="str">
        <x:v>No</x:v>
      </x:c>
      <x:c r="H372" t="str">
        <x:v>D</x:v>
      </x:c>
      <x:c r="I372" t="str">
        <x:v>No</x:v>
      </x:c>
      <x:c r="J372" t="str">
        <x:v>Yes</x:v>
      </x:c>
      <x:c r="K372" t="str">
        <x:v>No</x:v>
      </x:c>
      <x:c r="L372" t="str">
        <x:f>IF(F372="","UNKNOWN",IF(F372&lt;'WELL INPUTS'!$B$11,"BELOW","OK"))</x:f>
        <x:v>OK</x:v>
      </x:c>
      <x:c r="M372" t="str">
        <x:f>IF(AND('WELL INPUTS'!$B$4="Wet",'WELL INPUTS'!$B$5&gt;0),IF(I372="Yes","CATALOG SOUR","NOT LISTED"),"N/A")</x:f>
        <x:v>N/A</x:v>
      </x:c>
      <x:c r="N372" t="str">
        <x:f>IF(AND('WELL INPUTS'!$B$4="Wet",'WELL INPUTS'!$B$6&gt;0),IF(J372="Yes","ALLOY FAMILY","CORROSION CONTROL"),"N/A")</x:f>
        <x:v>ALLOY FAMILY</x:v>
      </x:c>
      <x:c r="O372" t="str">
        <x:f>IF('WELL INPUTS'!$B$12="Yes",IF(G372="Yes","CLAIMED","NOT LISTED"),"N/A")</x:f>
        <x:v>N/A</x:v>
      </x:c>
      <x:c r="P372" t="str">
        <x:f>IF(OR('WELL INPUTS'!$B$13="Unrestricted",CODE(H372)&lt;=CODE('WELL INPUTS'!$B$13)),"WITHIN TIER","OVER CAP")</x:f>
        <x:v>WITHIN TIER</x:v>
      </x:c>
      <x:c r="Q372" t="n">
        <x:f>MAX(0,MIN(100,43+IF(L372="OK",14,-20)+IF(M372="CATALOG SOUR",24,IF(M372="NOT LISTED",-18,0))+IF(N372="ALLOY FAMILY",14,IF(N372="CORROSION CONTROL",-13,0))+IF(O372="CLAIMED",17,IF(O372="NOT LISTED",-14,0))+IF(K372="Yes",-15,0)+IF('WELL INPUTS'!$B$10="Yes",-17,0)))</x:f>
        <x:v>71</x:v>
      </x:c>
      <x:c r="R372" s="83" t="str">
        <x:f>IF(L372="BELOW","EXCLUDE — STRENGTH",IF(P372="OVER CAP","EXCLUDE — COST",IF(K372="Yes",IF('WELL INPUTS'!$B$14="No","EXCLUDE — REFERENCE","REFERENCE ONLY"),IF(OR(L372="UNKNOWN",M372="NOT LISTED",N372="CORROSION CONTROL",O372="NOT LISTED",'WELL INPUTS'!$B$10="Yes",'WELL INPUTS'!$B$4="Unknown"),"REVIEW","CANDIDATE — VERIFY"))))</x:f>
        <x:v>CANDIDATE — VERIFY</x:v>
      </x:c>
      <x:c r="S372" t="str">
        <x:f>IF(L372="BELOW","Increase minimum grade strength",IF(P372="OVER CAP","Relax cost tier or exclude",IF(K372="Yes","Identify qualified manufacturer grade",IF(M372="NOT LISTED","Confirm sour-service claim and ISO 15156",IF(O372="NOT LISTED","Obtain manufacturer collapse curve",IF(N372="CORROSION CONTROL","Model CO2 corrosion; review inhibition","Confirm corrosion, cracking, loads and connection"))))))</x:f>
        <x:v>Confirm corrosion, cracking, loads and connection</x:v>
      </x:c>
      <x:c r="T372" t="str">
        <x:v>https://www.voestalpine.com/tubulars/en/products/Proprietary-Grades/</x:v>
      </x:c>
    </x:row>
    <x:row r="373" ht="23" customHeight="1">
      <x:c r="A373" t="str">
        <x:v>OCTG-0372</x:v>
      </x:c>
      <x:c r="B373" t="str">
        <x:v>U. S. Steel Tubular</x:v>
      </x:c>
      <x:c r="C373" t="str">
        <x:v>L80 HC</x:v>
      </x:c>
      <x:c r="D373" t="str">
        <x:v>Carbon / low alloy</x:v>
      </x:c>
      <x:c r="E373" t="str">
        <x:v>Enhanced API grade / collapse, burst or restricted yield</x:v>
      </x:c>
      <x:c r="F373" s="82" t="n">
        <x:v>80</x:v>
      </x:c>
      <x:c r="G373" t="str">
        <x:v>Yes</x:v>
      </x:c>
      <x:c r="H373" t="str">
        <x:v>A</x:v>
      </x:c>
      <x:c r="I373" t="str">
        <x:v>No</x:v>
      </x:c>
      <x:c r="J373" t="str">
        <x:v>No</x:v>
      </x:c>
      <x:c r="K373" t="str">
        <x:v>No</x:v>
      </x:c>
      <x:c r="L373" t="str">
        <x:f>IF(F373="","UNKNOWN",IF(F373&lt;'WELL INPUTS'!$B$11,"BELOW","OK"))</x:f>
        <x:v>OK</x:v>
      </x:c>
      <x:c r="M373" t="str">
        <x:f>IF(AND('WELL INPUTS'!$B$4="Wet",'WELL INPUTS'!$B$5&gt;0),IF(I373="Yes","CATALOG SOUR","NOT LISTED"),"N/A")</x:f>
        <x:v>N/A</x:v>
      </x:c>
      <x:c r="N373" t="str">
        <x:f>IF(AND('WELL INPUTS'!$B$4="Wet",'WELL INPUTS'!$B$6&gt;0),IF(J373="Yes","ALLOY FAMILY","CORROSION CONTROL"),"N/A")</x:f>
        <x:v>CORROSION CONTROL</x:v>
      </x:c>
      <x:c r="O373" t="str">
        <x:f>IF('WELL INPUTS'!$B$12="Yes",IF(G373="Yes","CLAIMED","NOT LISTED"),"N/A")</x:f>
        <x:v>N/A</x:v>
      </x:c>
      <x:c r="P373" t="str">
        <x:f>IF(OR('WELL INPUTS'!$B$13="Unrestricted",CODE(H373)&lt;=CODE('WELL INPUTS'!$B$13)),"WITHIN TIER","OVER CAP")</x:f>
        <x:v>WITHIN TIER</x:v>
      </x:c>
      <x:c r="Q373" t="n">
        <x:f>MAX(0,MIN(100,43+IF(L373="OK",14,-20)+IF(M373="CATALOG SOUR",24,IF(M373="NOT LISTED",-18,0))+IF(N373="ALLOY FAMILY",14,IF(N373="CORROSION CONTROL",-13,0))+IF(O373="CLAIMED",17,IF(O373="NOT LISTED",-14,0))+IF(K373="Yes",-15,0)+IF('WELL INPUTS'!$B$10="Yes",-17,0)))</x:f>
        <x:v>44</x:v>
      </x:c>
      <x:c r="R373" s="83" t="str">
        <x:f>IF(L373="BELOW","EXCLUDE — STRENGTH",IF(P373="OVER CAP","EXCLUDE — COST",IF(K373="Yes",IF('WELL INPUTS'!$B$14="No","EXCLUDE — REFERENCE","REFERENCE ONLY"),IF(OR(L373="UNKNOWN",M373="NOT LISTED",N373="CORROSION CONTROL",O373="NOT LISTED",'WELL INPUTS'!$B$10="Yes",'WELL INPUTS'!$B$4="Unknown"),"REVIEW","CANDIDATE — VERIFY"))))</x:f>
        <x:v>REVIEW</x:v>
      </x:c>
      <x:c r="S373" t="str">
        <x:f>IF(L373="BELOW","Increase minimum grade strength",IF(P373="OVER CAP","Relax cost tier or exclude",IF(K373="Yes","Identify qualified manufacturer grade",IF(M373="NOT LISTED","Confirm sour-service claim and ISO 15156",IF(O373="NOT LISTED","Obtain manufacturer collapse curve",IF(N373="CORROSION CONTROL","Model CO2 corrosion; review inhibition","Confirm corrosion, cracking, loads and connection"))))))</x:f>
        <x:v>Model CO2 corrosion; review inhibition</x:v>
      </x:c>
      <x:c r="T373" t="str">
        <x:v>https://www.ussteel.com/customers/products/tubular/octg</x:v>
      </x:c>
    </x:row>
    <x:row r="374" ht="23" customHeight="1">
      <x:c r="A374" t="str">
        <x:v>OCTG-0373</x:v>
      </x:c>
      <x:c r="B374" t="str">
        <x:v>U. S. Steel Tubular</x:v>
      </x:c>
      <x:c r="C374" t="str">
        <x:v>L80 HP</x:v>
      </x:c>
      <x:c r="D374" t="str">
        <x:v>Carbon / low alloy</x:v>
      </x:c>
      <x:c r="E374" t="str">
        <x:v>Enhanced API grade / collapse, burst or restricted yield</x:v>
      </x:c>
      <x:c r="F374" s="82" t="n">
        <x:v>80</x:v>
      </x:c>
      <x:c r="G374" t="str">
        <x:v>Yes</x:v>
      </x:c>
      <x:c r="H374" t="str">
        <x:v>A</x:v>
      </x:c>
      <x:c r="I374" t="str">
        <x:v>No</x:v>
      </x:c>
      <x:c r="J374" t="str">
        <x:v>No</x:v>
      </x:c>
      <x:c r="K374" t="str">
        <x:v>No</x:v>
      </x:c>
      <x:c r="L374" t="str">
        <x:f>IF(F374="","UNKNOWN",IF(F374&lt;'WELL INPUTS'!$B$11,"BELOW","OK"))</x:f>
        <x:v>OK</x:v>
      </x:c>
      <x:c r="M374" t="str">
        <x:f>IF(AND('WELL INPUTS'!$B$4="Wet",'WELL INPUTS'!$B$5&gt;0),IF(I374="Yes","CATALOG SOUR","NOT LISTED"),"N/A")</x:f>
        <x:v>N/A</x:v>
      </x:c>
      <x:c r="N374" t="str">
        <x:f>IF(AND('WELL INPUTS'!$B$4="Wet",'WELL INPUTS'!$B$6&gt;0),IF(J374="Yes","ALLOY FAMILY","CORROSION CONTROL"),"N/A")</x:f>
        <x:v>CORROSION CONTROL</x:v>
      </x:c>
      <x:c r="O374" t="str">
        <x:f>IF('WELL INPUTS'!$B$12="Yes",IF(G374="Yes","CLAIMED","NOT LISTED"),"N/A")</x:f>
        <x:v>N/A</x:v>
      </x:c>
      <x:c r="P374" t="str">
        <x:f>IF(OR('WELL INPUTS'!$B$13="Unrestricted",CODE(H374)&lt;=CODE('WELL INPUTS'!$B$13)),"WITHIN TIER","OVER CAP")</x:f>
        <x:v>WITHIN TIER</x:v>
      </x:c>
      <x:c r="Q374" t="n">
        <x:f>MAX(0,MIN(100,43+IF(L374="OK",14,-20)+IF(M374="CATALOG SOUR",24,IF(M374="NOT LISTED",-18,0))+IF(N374="ALLOY FAMILY",14,IF(N374="CORROSION CONTROL",-13,0))+IF(O374="CLAIMED",17,IF(O374="NOT LISTED",-14,0))+IF(K374="Yes",-15,0)+IF('WELL INPUTS'!$B$10="Yes",-17,0)))</x:f>
        <x:v>44</x:v>
      </x:c>
      <x:c r="R374" s="83" t="str">
        <x:f>IF(L374="BELOW","EXCLUDE — STRENGTH",IF(P374="OVER CAP","EXCLUDE — COST",IF(K374="Yes",IF('WELL INPUTS'!$B$14="No","EXCLUDE — REFERENCE","REFERENCE ONLY"),IF(OR(L374="UNKNOWN",M374="NOT LISTED",N374="CORROSION CONTROL",O374="NOT LISTED",'WELL INPUTS'!$B$10="Yes",'WELL INPUTS'!$B$4="Unknown"),"REVIEW","CANDIDATE — VERIFY"))))</x:f>
        <x:v>REVIEW</x:v>
      </x:c>
      <x:c r="S374" t="str">
        <x:f>IF(L374="BELOW","Increase minimum grade strength",IF(P374="OVER CAP","Relax cost tier or exclude",IF(K374="Yes","Identify qualified manufacturer grade",IF(M374="NOT LISTED","Confirm sour-service claim and ISO 15156",IF(O374="NOT LISTED","Obtain manufacturer collapse curve",IF(N374="CORROSION CONTROL","Model CO2 corrosion; review inhibition","Confirm corrosion, cracking, loads and connection"))))))</x:f>
        <x:v>Model CO2 corrosion; review inhibition</x:v>
      </x:c>
      <x:c r="T374" t="str">
        <x:v>https://www.ussteel.com/customers/products/tubular/octg</x:v>
      </x:c>
    </x:row>
    <x:row r="375" ht="23" customHeight="1">
      <x:c r="A375" t="str">
        <x:v>OCTG-0374</x:v>
      </x:c>
      <x:c r="B375" t="str">
        <x:v>U. S. Steel Tubular</x:v>
      </x:c>
      <x:c r="C375" t="str">
        <x:v>N80 HC</x:v>
      </x:c>
      <x:c r="D375" t="str">
        <x:v>Carbon / low alloy</x:v>
      </x:c>
      <x:c r="E375" t="str">
        <x:v>Enhanced API grade / collapse, burst or restricted yield</x:v>
      </x:c>
      <x:c r="F375" s="82" t="n">
        <x:v>80</x:v>
      </x:c>
      <x:c r="G375" t="str">
        <x:v>Yes</x:v>
      </x:c>
      <x:c r="H375" t="str">
        <x:v>A</x:v>
      </x:c>
      <x:c r="I375" t="str">
        <x:v>No</x:v>
      </x:c>
      <x:c r="J375" t="str">
        <x:v>No</x:v>
      </x:c>
      <x:c r="K375" t="str">
        <x:v>No</x:v>
      </x:c>
      <x:c r="L375" t="str">
        <x:f>IF(F375="","UNKNOWN",IF(F375&lt;'WELL INPUTS'!$B$11,"BELOW","OK"))</x:f>
        <x:v>OK</x:v>
      </x:c>
      <x:c r="M375" t="str">
        <x:f>IF(AND('WELL INPUTS'!$B$4="Wet",'WELL INPUTS'!$B$5&gt;0),IF(I375="Yes","CATALOG SOUR","NOT LISTED"),"N/A")</x:f>
        <x:v>N/A</x:v>
      </x:c>
      <x:c r="N375" t="str">
        <x:f>IF(AND('WELL INPUTS'!$B$4="Wet",'WELL INPUTS'!$B$6&gt;0),IF(J375="Yes","ALLOY FAMILY","CORROSION CONTROL"),"N/A")</x:f>
        <x:v>CORROSION CONTROL</x:v>
      </x:c>
      <x:c r="O375" t="str">
        <x:f>IF('WELL INPUTS'!$B$12="Yes",IF(G375="Yes","CLAIMED","NOT LISTED"),"N/A")</x:f>
        <x:v>N/A</x:v>
      </x:c>
      <x:c r="P375" t="str">
        <x:f>IF(OR('WELL INPUTS'!$B$13="Unrestricted",CODE(H375)&lt;=CODE('WELL INPUTS'!$B$13)),"WITHIN TIER","OVER CAP")</x:f>
        <x:v>WITHIN TIER</x:v>
      </x:c>
      <x:c r="Q375" t="n">
        <x:f>MAX(0,MIN(100,43+IF(L375="OK",14,-20)+IF(M375="CATALOG SOUR",24,IF(M375="NOT LISTED",-18,0))+IF(N375="ALLOY FAMILY",14,IF(N375="CORROSION CONTROL",-13,0))+IF(O375="CLAIMED",17,IF(O375="NOT LISTED",-14,0))+IF(K375="Yes",-15,0)+IF('WELL INPUTS'!$B$10="Yes",-17,0)))</x:f>
        <x:v>44</x:v>
      </x:c>
      <x:c r="R375" s="83" t="str">
        <x:f>IF(L375="BELOW","EXCLUDE — STRENGTH",IF(P375="OVER CAP","EXCLUDE — COST",IF(K375="Yes",IF('WELL INPUTS'!$B$14="No","EXCLUDE — REFERENCE","REFERENCE ONLY"),IF(OR(L375="UNKNOWN",M375="NOT LISTED",N375="CORROSION CONTROL",O375="NOT LISTED",'WELL INPUTS'!$B$10="Yes",'WELL INPUTS'!$B$4="Unknown"),"REVIEW","CANDIDATE — VERIFY"))))</x:f>
        <x:v>REVIEW</x:v>
      </x:c>
      <x:c r="S375" t="str">
        <x:f>IF(L375="BELOW","Increase minimum grade strength",IF(P375="OVER CAP","Relax cost tier or exclude",IF(K375="Yes","Identify qualified manufacturer grade",IF(M375="NOT LISTED","Confirm sour-service claim and ISO 15156",IF(O375="NOT LISTED","Obtain manufacturer collapse curve",IF(N375="CORROSION CONTROL","Model CO2 corrosion; review inhibition","Confirm corrosion, cracking, loads and connection"))))))</x:f>
        <x:v>Model CO2 corrosion; review inhibition</x:v>
      </x:c>
      <x:c r="T375" t="str">
        <x:v>https://www.ussteel.com/customers/products/tubular/octg</x:v>
      </x:c>
    </x:row>
    <x:row r="376" ht="23" customHeight="1">
      <x:c r="A376" t="str">
        <x:v>OCTG-0375</x:v>
      </x:c>
      <x:c r="B376" t="str">
        <x:v>U. S. Steel Tubular</x:v>
      </x:c>
      <x:c r="C376" t="str">
        <x:v>N80 HP</x:v>
      </x:c>
      <x:c r="D376" t="str">
        <x:v>Carbon / low alloy</x:v>
      </x:c>
      <x:c r="E376" t="str">
        <x:v>Enhanced API grade / collapse, burst or restricted yield</x:v>
      </x:c>
      <x:c r="F376" s="82" t="n">
        <x:v>80</x:v>
      </x:c>
      <x:c r="G376" t="str">
        <x:v>Yes</x:v>
      </x:c>
      <x:c r="H376" t="str">
        <x:v>A</x:v>
      </x:c>
      <x:c r="I376" t="str">
        <x:v>No</x:v>
      </x:c>
      <x:c r="J376" t="str">
        <x:v>No</x:v>
      </x:c>
      <x:c r="K376" t="str">
        <x:v>No</x:v>
      </x:c>
      <x:c r="L376" t="str">
        <x:f>IF(F376="","UNKNOWN",IF(F376&lt;'WELL INPUTS'!$B$11,"BELOW","OK"))</x:f>
        <x:v>OK</x:v>
      </x:c>
      <x:c r="M376" t="str">
        <x:f>IF(AND('WELL INPUTS'!$B$4="Wet",'WELL INPUTS'!$B$5&gt;0),IF(I376="Yes","CATALOG SOUR","NOT LISTED"),"N/A")</x:f>
        <x:v>N/A</x:v>
      </x:c>
      <x:c r="N376" t="str">
        <x:f>IF(AND('WELL INPUTS'!$B$4="Wet",'WELL INPUTS'!$B$6&gt;0),IF(J376="Yes","ALLOY FAMILY","CORROSION CONTROL"),"N/A")</x:f>
        <x:v>CORROSION CONTROL</x:v>
      </x:c>
      <x:c r="O376" t="str">
        <x:f>IF('WELL INPUTS'!$B$12="Yes",IF(G376="Yes","CLAIMED","NOT LISTED"),"N/A")</x:f>
        <x:v>N/A</x:v>
      </x:c>
      <x:c r="P376" t="str">
        <x:f>IF(OR('WELL INPUTS'!$B$13="Unrestricted",CODE(H376)&lt;=CODE('WELL INPUTS'!$B$13)),"WITHIN TIER","OVER CAP")</x:f>
        <x:v>WITHIN TIER</x:v>
      </x:c>
      <x:c r="Q376" t="n">
        <x:f>MAX(0,MIN(100,43+IF(L376="OK",14,-20)+IF(M376="CATALOG SOUR",24,IF(M376="NOT LISTED",-18,0))+IF(N376="ALLOY FAMILY",14,IF(N376="CORROSION CONTROL",-13,0))+IF(O376="CLAIMED",17,IF(O376="NOT LISTED",-14,0))+IF(K376="Yes",-15,0)+IF('WELL INPUTS'!$B$10="Yes",-17,0)))</x:f>
        <x:v>44</x:v>
      </x:c>
      <x:c r="R376" s="83" t="str">
        <x:f>IF(L376="BELOW","EXCLUDE — STRENGTH",IF(P376="OVER CAP","EXCLUDE — COST",IF(K376="Yes",IF('WELL INPUTS'!$B$14="No","EXCLUDE — REFERENCE","REFERENCE ONLY"),IF(OR(L376="UNKNOWN",M376="NOT LISTED",N376="CORROSION CONTROL",O376="NOT LISTED",'WELL INPUTS'!$B$10="Yes",'WELL INPUTS'!$B$4="Unknown"),"REVIEW","CANDIDATE — VERIFY"))))</x:f>
        <x:v>REVIEW</x:v>
      </x:c>
      <x:c r="S376" t="str">
        <x:f>IF(L376="BELOW","Increase minimum grade strength",IF(P376="OVER CAP","Relax cost tier or exclude",IF(K376="Yes","Identify qualified manufacturer grade",IF(M376="NOT LISTED","Confirm sour-service claim and ISO 15156",IF(O376="NOT LISTED","Obtain manufacturer collapse curve",IF(N376="CORROSION CONTROL","Model CO2 corrosion; review inhibition","Confirm corrosion, cracking, loads and connection"))))))</x:f>
        <x:v>Model CO2 corrosion; review inhibition</x:v>
      </x:c>
      <x:c r="T376" t="str">
        <x:v>https://www.ussteel.com/customers/products/tubular/octg</x:v>
      </x:c>
    </x:row>
    <x:row r="377" ht="23" customHeight="1">
      <x:c r="A377" t="str">
        <x:v>OCTG-0376</x:v>
      </x:c>
      <x:c r="B377" t="str">
        <x:v>U. S. Steel Tubular</x:v>
      </x:c>
      <x:c r="C377" t="str">
        <x:v>P110 HC</x:v>
      </x:c>
      <x:c r="D377" t="str">
        <x:v>Carbon / low alloy</x:v>
      </x:c>
      <x:c r="E377" t="str">
        <x:v>Enhanced API grade / collapse, burst or restricted yield</x:v>
      </x:c>
      <x:c r="F377" s="82" t="n">
        <x:v>110</x:v>
      </x:c>
      <x:c r="G377" t="str">
        <x:v>Yes</x:v>
      </x:c>
      <x:c r="H377" t="str">
        <x:v>A</x:v>
      </x:c>
      <x:c r="I377" t="str">
        <x:v>No</x:v>
      </x:c>
      <x:c r="J377" t="str">
        <x:v>No</x:v>
      </x:c>
      <x:c r="K377" t="str">
        <x:v>No</x:v>
      </x:c>
      <x:c r="L377" t="str">
        <x:f>IF(F377="","UNKNOWN",IF(F377&lt;'WELL INPUTS'!$B$11,"BELOW","OK"))</x:f>
        <x:v>OK</x:v>
      </x:c>
      <x:c r="M377" t="str">
        <x:f>IF(AND('WELL INPUTS'!$B$4="Wet",'WELL INPUTS'!$B$5&gt;0),IF(I377="Yes","CATALOG SOUR","NOT LISTED"),"N/A")</x:f>
        <x:v>N/A</x:v>
      </x:c>
      <x:c r="N377" t="str">
        <x:f>IF(AND('WELL INPUTS'!$B$4="Wet",'WELL INPUTS'!$B$6&gt;0),IF(J377="Yes","ALLOY FAMILY","CORROSION CONTROL"),"N/A")</x:f>
        <x:v>CORROSION CONTROL</x:v>
      </x:c>
      <x:c r="O377" t="str">
        <x:f>IF('WELL INPUTS'!$B$12="Yes",IF(G377="Yes","CLAIMED","NOT LISTED"),"N/A")</x:f>
        <x:v>N/A</x:v>
      </x:c>
      <x:c r="P377" t="str">
        <x:f>IF(OR('WELL INPUTS'!$B$13="Unrestricted",CODE(H377)&lt;=CODE('WELL INPUTS'!$B$13)),"WITHIN TIER","OVER CAP")</x:f>
        <x:v>WITHIN TIER</x:v>
      </x:c>
      <x:c r="Q377" t="n">
        <x:f>MAX(0,MIN(100,43+IF(L377="OK",14,-20)+IF(M377="CATALOG SOUR",24,IF(M377="NOT LISTED",-18,0))+IF(N377="ALLOY FAMILY",14,IF(N377="CORROSION CONTROL",-13,0))+IF(O377="CLAIMED",17,IF(O377="NOT LISTED",-14,0))+IF(K377="Yes",-15,0)+IF('WELL INPUTS'!$B$10="Yes",-17,0)))</x:f>
        <x:v>44</x:v>
      </x:c>
      <x:c r="R377" s="83" t="str">
        <x:f>IF(L377="BELOW","EXCLUDE — STRENGTH",IF(P377="OVER CAP","EXCLUDE — COST",IF(K377="Yes",IF('WELL INPUTS'!$B$14="No","EXCLUDE — REFERENCE","REFERENCE ONLY"),IF(OR(L377="UNKNOWN",M377="NOT LISTED",N377="CORROSION CONTROL",O377="NOT LISTED",'WELL INPUTS'!$B$10="Yes",'WELL INPUTS'!$B$4="Unknown"),"REVIEW","CANDIDATE — VERIFY"))))</x:f>
        <x:v>REVIEW</x:v>
      </x:c>
      <x:c r="S377" t="str">
        <x:f>IF(L377="BELOW","Increase minimum grade strength",IF(P377="OVER CAP","Relax cost tier or exclude",IF(K377="Yes","Identify qualified manufacturer grade",IF(M377="NOT LISTED","Confirm sour-service claim and ISO 15156",IF(O377="NOT LISTED","Obtain manufacturer collapse curve",IF(N377="CORROSION CONTROL","Model CO2 corrosion; review inhibition","Confirm corrosion, cracking, loads and connection"))))))</x:f>
        <x:v>Model CO2 corrosion; review inhibition</x:v>
      </x:c>
      <x:c r="T377" t="str">
        <x:v>https://www.ussteel.com/customers/products/tubular/octg</x:v>
      </x:c>
    </x:row>
    <x:row r="378" ht="23" customHeight="1">
      <x:c r="A378" t="str">
        <x:v>OCTG-0377</x:v>
      </x:c>
      <x:c r="B378" t="str">
        <x:v>U. S. Steel Tubular</x:v>
      </x:c>
      <x:c r="C378" t="str">
        <x:v>P110 HP</x:v>
      </x:c>
      <x:c r="D378" t="str">
        <x:v>Carbon / low alloy</x:v>
      </x:c>
      <x:c r="E378" t="str">
        <x:v>Enhanced API grade / collapse, burst or restricted yield</x:v>
      </x:c>
      <x:c r="F378" s="82" t="n">
        <x:v>110</x:v>
      </x:c>
      <x:c r="G378" t="str">
        <x:v>Yes</x:v>
      </x:c>
      <x:c r="H378" t="str">
        <x:v>A</x:v>
      </x:c>
      <x:c r="I378" t="str">
        <x:v>No</x:v>
      </x:c>
      <x:c r="J378" t="str">
        <x:v>No</x:v>
      </x:c>
      <x:c r="K378" t="str">
        <x:v>No</x:v>
      </x:c>
      <x:c r="L378" t="str">
        <x:f>IF(F378="","UNKNOWN",IF(F378&lt;'WELL INPUTS'!$B$11,"BELOW","OK"))</x:f>
        <x:v>OK</x:v>
      </x:c>
      <x:c r="M378" t="str">
        <x:f>IF(AND('WELL INPUTS'!$B$4="Wet",'WELL INPUTS'!$B$5&gt;0),IF(I378="Yes","CATALOG SOUR","NOT LISTED"),"N/A")</x:f>
        <x:v>N/A</x:v>
      </x:c>
      <x:c r="N378" t="str">
        <x:f>IF(AND('WELL INPUTS'!$B$4="Wet",'WELL INPUTS'!$B$6&gt;0),IF(J378="Yes","ALLOY FAMILY","CORROSION CONTROL"),"N/A")</x:f>
        <x:v>CORROSION CONTROL</x:v>
      </x:c>
      <x:c r="O378" t="str">
        <x:f>IF('WELL INPUTS'!$B$12="Yes",IF(G378="Yes","CLAIMED","NOT LISTED"),"N/A")</x:f>
        <x:v>N/A</x:v>
      </x:c>
      <x:c r="P378" t="str">
        <x:f>IF(OR('WELL INPUTS'!$B$13="Unrestricted",CODE(H378)&lt;=CODE('WELL INPUTS'!$B$13)),"WITHIN TIER","OVER CAP")</x:f>
        <x:v>WITHIN TIER</x:v>
      </x:c>
      <x:c r="Q378" t="n">
        <x:f>MAX(0,MIN(100,43+IF(L378="OK",14,-20)+IF(M378="CATALOG SOUR",24,IF(M378="NOT LISTED",-18,0))+IF(N378="ALLOY FAMILY",14,IF(N378="CORROSION CONTROL",-13,0))+IF(O378="CLAIMED",17,IF(O378="NOT LISTED",-14,0))+IF(K378="Yes",-15,0)+IF('WELL INPUTS'!$B$10="Yes",-17,0)))</x:f>
        <x:v>44</x:v>
      </x:c>
      <x:c r="R378" s="83" t="str">
        <x:f>IF(L378="BELOW","EXCLUDE — STRENGTH",IF(P378="OVER CAP","EXCLUDE — COST",IF(K378="Yes",IF('WELL INPUTS'!$B$14="No","EXCLUDE — REFERENCE","REFERENCE ONLY"),IF(OR(L378="UNKNOWN",M378="NOT LISTED",N378="CORROSION CONTROL",O378="NOT LISTED",'WELL INPUTS'!$B$10="Yes",'WELL INPUTS'!$B$4="Unknown"),"REVIEW","CANDIDATE — VERIFY"))))</x:f>
        <x:v>REVIEW</x:v>
      </x:c>
      <x:c r="S378" t="str">
        <x:f>IF(L378="BELOW","Increase minimum grade strength",IF(P378="OVER CAP","Relax cost tier or exclude",IF(K378="Yes","Identify qualified manufacturer grade",IF(M378="NOT LISTED","Confirm sour-service claim and ISO 15156",IF(O378="NOT LISTED","Obtain manufacturer collapse curve",IF(N378="CORROSION CONTROL","Model CO2 corrosion; review inhibition","Confirm corrosion, cracking, loads and connection"))))))</x:f>
        <x:v>Model CO2 corrosion; review inhibition</x:v>
      </x:c>
      <x:c r="T378" t="str">
        <x:v>https://www.ussteel.com/customers/products/tubular/octg</x:v>
      </x:c>
    </x:row>
    <x:row r="379" ht="23" customHeight="1">
      <x:c r="A379" t="str">
        <x:v>OCTG-0378</x:v>
      </x:c>
      <x:c r="B379" t="str">
        <x:v>U. S. Steel Tubular</x:v>
      </x:c>
      <x:c r="C379" t="str">
        <x:v>P110 RY</x:v>
      </x:c>
      <x:c r="D379" t="str">
        <x:v>Carbon / low alloy</x:v>
      </x:c>
      <x:c r="E379" t="str">
        <x:v>Enhanced API grade / collapse, burst or restricted yield</x:v>
      </x:c>
      <x:c r="F379" s="82" t="n">
        <x:v>110</x:v>
      </x:c>
      <x:c r="G379" t="str">
        <x:v>Yes</x:v>
      </x:c>
      <x:c r="H379" t="str">
        <x:v>A</x:v>
      </x:c>
      <x:c r="I379" t="str">
        <x:v>No</x:v>
      </x:c>
      <x:c r="J379" t="str">
        <x:v>No</x:v>
      </x:c>
      <x:c r="K379" t="str">
        <x:v>No</x:v>
      </x:c>
      <x:c r="L379" t="str">
        <x:f>IF(F379="","UNKNOWN",IF(F379&lt;'WELL INPUTS'!$B$11,"BELOW","OK"))</x:f>
        <x:v>OK</x:v>
      </x:c>
      <x:c r="M379" t="str">
        <x:f>IF(AND('WELL INPUTS'!$B$4="Wet",'WELL INPUTS'!$B$5&gt;0),IF(I379="Yes","CATALOG SOUR","NOT LISTED"),"N/A")</x:f>
        <x:v>N/A</x:v>
      </x:c>
      <x:c r="N379" t="str">
        <x:f>IF(AND('WELL INPUTS'!$B$4="Wet",'WELL INPUTS'!$B$6&gt;0),IF(J379="Yes","ALLOY FAMILY","CORROSION CONTROL"),"N/A")</x:f>
        <x:v>CORROSION CONTROL</x:v>
      </x:c>
      <x:c r="O379" t="str">
        <x:f>IF('WELL INPUTS'!$B$12="Yes",IF(G379="Yes","CLAIMED","NOT LISTED"),"N/A")</x:f>
        <x:v>N/A</x:v>
      </x:c>
      <x:c r="P379" t="str">
        <x:f>IF(OR('WELL INPUTS'!$B$13="Unrestricted",CODE(H379)&lt;=CODE('WELL INPUTS'!$B$13)),"WITHIN TIER","OVER CAP")</x:f>
        <x:v>WITHIN TIER</x:v>
      </x:c>
      <x:c r="Q379" t="n">
        <x:f>MAX(0,MIN(100,43+IF(L379="OK",14,-20)+IF(M379="CATALOG SOUR",24,IF(M379="NOT LISTED",-18,0))+IF(N379="ALLOY FAMILY",14,IF(N379="CORROSION CONTROL",-13,0))+IF(O379="CLAIMED",17,IF(O379="NOT LISTED",-14,0))+IF(K379="Yes",-15,0)+IF('WELL INPUTS'!$B$10="Yes",-17,0)))</x:f>
        <x:v>44</x:v>
      </x:c>
      <x:c r="R379" s="83" t="str">
        <x:f>IF(L379="BELOW","EXCLUDE — STRENGTH",IF(P379="OVER CAP","EXCLUDE — COST",IF(K379="Yes",IF('WELL INPUTS'!$B$14="No","EXCLUDE — REFERENCE","REFERENCE ONLY"),IF(OR(L379="UNKNOWN",M379="NOT LISTED",N379="CORROSION CONTROL",O379="NOT LISTED",'WELL INPUTS'!$B$10="Yes",'WELL INPUTS'!$B$4="Unknown"),"REVIEW","CANDIDATE — VERIFY"))))</x:f>
        <x:v>REVIEW</x:v>
      </x:c>
      <x:c r="S379" t="str">
        <x:f>IF(L379="BELOW","Increase minimum grade strength",IF(P379="OVER CAP","Relax cost tier or exclude",IF(K379="Yes","Identify qualified manufacturer grade",IF(M379="NOT LISTED","Confirm sour-service claim and ISO 15156",IF(O379="NOT LISTED","Obtain manufacturer collapse curve",IF(N379="CORROSION CONTROL","Model CO2 corrosion; review inhibition","Confirm corrosion, cracking, loads and connection"))))))</x:f>
        <x:v>Model CO2 corrosion; review inhibition</x:v>
      </x:c>
      <x:c r="T379" t="str">
        <x:v>https://www.ussteel.com/customers/products/tubular/octg</x:v>
      </x:c>
    </x:row>
    <x:row r="380" ht="23" customHeight="1">
      <x:c r="A380" t="str">
        <x:v>OCTG-0379</x:v>
      </x:c>
      <x:c r="B380" t="str">
        <x:v>U. S. Steel Tubular</x:v>
      </x:c>
      <x:c r="C380" t="str">
        <x:v>Q125 HC</x:v>
      </x:c>
      <x:c r="D380" t="str">
        <x:v>Carbon / low alloy</x:v>
      </x:c>
      <x:c r="E380" t="str">
        <x:v>Enhanced API grade / collapse, burst or restricted yield</x:v>
      </x:c>
      <x:c r="F380" s="82" t="n">
        <x:v>125</x:v>
      </x:c>
      <x:c r="G380" t="str">
        <x:v>Yes</x:v>
      </x:c>
      <x:c r="H380" t="str">
        <x:v>A</x:v>
      </x:c>
      <x:c r="I380" t="str">
        <x:v>No</x:v>
      </x:c>
      <x:c r="J380" t="str">
        <x:v>No</x:v>
      </x:c>
      <x:c r="K380" t="str">
        <x:v>No</x:v>
      </x:c>
      <x:c r="L380" t="str">
        <x:f>IF(F380="","UNKNOWN",IF(F380&lt;'WELL INPUTS'!$B$11,"BELOW","OK"))</x:f>
        <x:v>OK</x:v>
      </x:c>
      <x:c r="M380" t="str">
        <x:f>IF(AND('WELL INPUTS'!$B$4="Wet",'WELL INPUTS'!$B$5&gt;0),IF(I380="Yes","CATALOG SOUR","NOT LISTED"),"N/A")</x:f>
        <x:v>N/A</x:v>
      </x:c>
      <x:c r="N380" t="str">
        <x:f>IF(AND('WELL INPUTS'!$B$4="Wet",'WELL INPUTS'!$B$6&gt;0),IF(J380="Yes","ALLOY FAMILY","CORROSION CONTROL"),"N/A")</x:f>
        <x:v>CORROSION CONTROL</x:v>
      </x:c>
      <x:c r="O380" t="str">
        <x:f>IF('WELL INPUTS'!$B$12="Yes",IF(G380="Yes","CLAIMED","NOT LISTED"),"N/A")</x:f>
        <x:v>N/A</x:v>
      </x:c>
      <x:c r="P380" t="str">
        <x:f>IF(OR('WELL INPUTS'!$B$13="Unrestricted",CODE(H380)&lt;=CODE('WELL INPUTS'!$B$13)),"WITHIN TIER","OVER CAP")</x:f>
        <x:v>WITHIN TIER</x:v>
      </x:c>
      <x:c r="Q380" t="n">
        <x:f>MAX(0,MIN(100,43+IF(L380="OK",14,-20)+IF(M380="CATALOG SOUR",24,IF(M380="NOT LISTED",-18,0))+IF(N380="ALLOY FAMILY",14,IF(N380="CORROSION CONTROL",-13,0))+IF(O380="CLAIMED",17,IF(O380="NOT LISTED",-14,0))+IF(K380="Yes",-15,0)+IF('WELL INPUTS'!$B$10="Yes",-17,0)))</x:f>
        <x:v>44</x:v>
      </x:c>
      <x:c r="R380" s="83" t="str">
        <x:f>IF(L380="BELOW","EXCLUDE — STRENGTH",IF(P380="OVER CAP","EXCLUDE — COST",IF(K380="Yes",IF('WELL INPUTS'!$B$14="No","EXCLUDE — REFERENCE","REFERENCE ONLY"),IF(OR(L380="UNKNOWN",M380="NOT LISTED",N380="CORROSION CONTROL",O380="NOT LISTED",'WELL INPUTS'!$B$10="Yes",'WELL INPUTS'!$B$4="Unknown"),"REVIEW","CANDIDATE — VERIFY"))))</x:f>
        <x:v>REVIEW</x:v>
      </x:c>
      <x:c r="S380" t="str">
        <x:f>IF(L380="BELOW","Increase minimum grade strength",IF(P380="OVER CAP","Relax cost tier or exclude",IF(K380="Yes","Identify qualified manufacturer grade",IF(M380="NOT LISTED","Confirm sour-service claim and ISO 15156",IF(O380="NOT LISTED","Obtain manufacturer collapse curve",IF(N380="CORROSION CONTROL","Model CO2 corrosion; review inhibition","Confirm corrosion, cracking, loads and connection"))))))</x:f>
        <x:v>Model CO2 corrosion; review inhibition</x:v>
      </x:c>
      <x:c r="T380" t="str">
        <x:v>https://www.ussteel.com/customers/products/tubular/octg</x:v>
      </x:c>
    </x:row>
    <x:row r="381" ht="23" customHeight="1">
      <x:c r="A381" t="str">
        <x:v>OCTG-0380</x:v>
      </x:c>
      <x:c r="B381" t="str">
        <x:v>U. S. Steel Tubular</x:v>
      </x:c>
      <x:c r="C381" t="str">
        <x:v>Q125 HP</x:v>
      </x:c>
      <x:c r="D381" t="str">
        <x:v>Carbon / low alloy</x:v>
      </x:c>
      <x:c r="E381" t="str">
        <x:v>Enhanced API grade / collapse, burst or restricted yield</x:v>
      </x:c>
      <x:c r="F381" s="82" t="n">
        <x:v>125</x:v>
      </x:c>
      <x:c r="G381" t="str">
        <x:v>Yes</x:v>
      </x:c>
      <x:c r="H381" t="str">
        <x:v>A</x:v>
      </x:c>
      <x:c r="I381" t="str">
        <x:v>No</x:v>
      </x:c>
      <x:c r="J381" t="str">
        <x:v>No</x:v>
      </x:c>
      <x:c r="K381" t="str">
        <x:v>No</x:v>
      </x:c>
      <x:c r="L381" t="str">
        <x:f>IF(F381="","UNKNOWN",IF(F381&lt;'WELL INPUTS'!$B$11,"BELOW","OK"))</x:f>
        <x:v>OK</x:v>
      </x:c>
      <x:c r="M381" t="str">
        <x:f>IF(AND('WELL INPUTS'!$B$4="Wet",'WELL INPUTS'!$B$5&gt;0),IF(I381="Yes","CATALOG SOUR","NOT LISTED"),"N/A")</x:f>
        <x:v>N/A</x:v>
      </x:c>
      <x:c r="N381" t="str">
        <x:f>IF(AND('WELL INPUTS'!$B$4="Wet",'WELL INPUTS'!$B$6&gt;0),IF(J381="Yes","ALLOY FAMILY","CORROSION CONTROL"),"N/A")</x:f>
        <x:v>CORROSION CONTROL</x:v>
      </x:c>
      <x:c r="O381" t="str">
        <x:f>IF('WELL INPUTS'!$B$12="Yes",IF(G381="Yes","CLAIMED","NOT LISTED"),"N/A")</x:f>
        <x:v>N/A</x:v>
      </x:c>
      <x:c r="P381" t="str">
        <x:f>IF(OR('WELL INPUTS'!$B$13="Unrestricted",CODE(H381)&lt;=CODE('WELL INPUTS'!$B$13)),"WITHIN TIER","OVER CAP")</x:f>
        <x:v>WITHIN TIER</x:v>
      </x:c>
      <x:c r="Q381" t="n">
        <x:f>MAX(0,MIN(100,43+IF(L381="OK",14,-20)+IF(M381="CATALOG SOUR",24,IF(M381="NOT LISTED",-18,0))+IF(N381="ALLOY FAMILY",14,IF(N381="CORROSION CONTROL",-13,0))+IF(O381="CLAIMED",17,IF(O381="NOT LISTED",-14,0))+IF(K381="Yes",-15,0)+IF('WELL INPUTS'!$B$10="Yes",-17,0)))</x:f>
        <x:v>44</x:v>
      </x:c>
      <x:c r="R381" s="83" t="str">
        <x:f>IF(L381="BELOW","EXCLUDE — STRENGTH",IF(P381="OVER CAP","EXCLUDE — COST",IF(K381="Yes",IF('WELL INPUTS'!$B$14="No","EXCLUDE — REFERENCE","REFERENCE ONLY"),IF(OR(L381="UNKNOWN",M381="NOT LISTED",N381="CORROSION CONTROL",O381="NOT LISTED",'WELL INPUTS'!$B$10="Yes",'WELL INPUTS'!$B$4="Unknown"),"REVIEW","CANDIDATE — VERIFY"))))</x:f>
        <x:v>REVIEW</x:v>
      </x:c>
      <x:c r="S381" t="str">
        <x:f>IF(L381="BELOW","Increase minimum grade strength",IF(P381="OVER CAP","Relax cost tier or exclude",IF(K381="Yes","Identify qualified manufacturer grade",IF(M381="NOT LISTED","Confirm sour-service claim and ISO 15156",IF(O381="NOT LISTED","Obtain manufacturer collapse curve",IF(N381="CORROSION CONTROL","Model CO2 corrosion; review inhibition","Confirm corrosion, cracking, loads and connection"))))))</x:f>
        <x:v>Model CO2 corrosion; review inhibition</x:v>
      </x:c>
      <x:c r="T381" t="str">
        <x:v>https://www.ussteel.com/customers/products/tubular/octg</x:v>
      </x:c>
    </x:row>
    <x:row r="382" ht="23" customHeight="1">
      <x:c r="A382" t="str">
        <x:v>OCTG-0381</x:v>
      </x:c>
      <x:c r="B382" t="str">
        <x:v>U. S. Steel Tubular</x:v>
      </x:c>
      <x:c r="C382" t="str">
        <x:v>Q125 XHP</x:v>
      </x:c>
      <x:c r="D382" t="str">
        <x:v>Carbon / low alloy</x:v>
      </x:c>
      <x:c r="E382" t="str">
        <x:v>Enhanced API grade / collapse, burst or restricted yield</x:v>
      </x:c>
      <x:c r="F382" s="82" t="n">
        <x:v>125</x:v>
      </x:c>
      <x:c r="G382" t="str">
        <x:v>Yes</x:v>
      </x:c>
      <x:c r="H382" t="str">
        <x:v>A</x:v>
      </x:c>
      <x:c r="I382" t="str">
        <x:v>No</x:v>
      </x:c>
      <x:c r="J382" t="str">
        <x:v>No</x:v>
      </x:c>
      <x:c r="K382" t="str">
        <x:v>No</x:v>
      </x:c>
      <x:c r="L382" t="str">
        <x:f>IF(F382="","UNKNOWN",IF(F382&lt;'WELL INPUTS'!$B$11,"BELOW","OK"))</x:f>
        <x:v>OK</x:v>
      </x:c>
      <x:c r="M382" t="str">
        <x:f>IF(AND('WELL INPUTS'!$B$4="Wet",'WELL INPUTS'!$B$5&gt;0),IF(I382="Yes","CATALOG SOUR","NOT LISTED"),"N/A")</x:f>
        <x:v>N/A</x:v>
      </x:c>
      <x:c r="N382" t="str">
        <x:f>IF(AND('WELL INPUTS'!$B$4="Wet",'WELL INPUTS'!$B$6&gt;0),IF(J382="Yes","ALLOY FAMILY","CORROSION CONTROL"),"N/A")</x:f>
        <x:v>CORROSION CONTROL</x:v>
      </x:c>
      <x:c r="O382" t="str">
        <x:f>IF('WELL INPUTS'!$B$12="Yes",IF(G382="Yes","CLAIMED","NOT LISTED"),"N/A")</x:f>
        <x:v>N/A</x:v>
      </x:c>
      <x:c r="P382" t="str">
        <x:f>IF(OR('WELL INPUTS'!$B$13="Unrestricted",CODE(H382)&lt;=CODE('WELL INPUTS'!$B$13)),"WITHIN TIER","OVER CAP")</x:f>
        <x:v>WITHIN TIER</x:v>
      </x:c>
      <x:c r="Q382" t="n">
        <x:f>MAX(0,MIN(100,43+IF(L382="OK",14,-20)+IF(M382="CATALOG SOUR",24,IF(M382="NOT LISTED",-18,0))+IF(N382="ALLOY FAMILY",14,IF(N382="CORROSION CONTROL",-13,0))+IF(O382="CLAIMED",17,IF(O382="NOT LISTED",-14,0))+IF(K382="Yes",-15,0)+IF('WELL INPUTS'!$B$10="Yes",-17,0)))</x:f>
        <x:v>44</x:v>
      </x:c>
      <x:c r="R382" s="83" t="str">
        <x:f>IF(L382="BELOW","EXCLUDE — STRENGTH",IF(P382="OVER CAP","EXCLUDE — COST",IF(K382="Yes",IF('WELL INPUTS'!$B$14="No","EXCLUDE — REFERENCE","REFERENCE ONLY"),IF(OR(L382="UNKNOWN",M382="NOT LISTED",N382="CORROSION CONTROL",O382="NOT LISTED",'WELL INPUTS'!$B$10="Yes",'WELL INPUTS'!$B$4="Unknown"),"REVIEW","CANDIDATE — VERIFY"))))</x:f>
        <x:v>REVIEW</x:v>
      </x:c>
      <x:c r="S382" t="str">
        <x:f>IF(L382="BELOW","Increase minimum grade strength",IF(P382="OVER CAP","Relax cost tier or exclude",IF(K382="Yes","Identify qualified manufacturer grade",IF(M382="NOT LISTED","Confirm sour-service claim and ISO 15156",IF(O382="NOT LISTED","Obtain manufacturer collapse curve",IF(N382="CORROSION CONTROL","Model CO2 corrosion; review inhibition","Confirm corrosion, cracking, loads and connection"))))))</x:f>
        <x:v>Model CO2 corrosion; review inhibition</x:v>
      </x:c>
      <x:c r="T382" t="str">
        <x:v>https://www.ussteel.com/customers/products/tubular/octg</x:v>
      </x:c>
    </x:row>
    <x:row r="383" ht="23" customHeight="1">
      <x:c r="A383" t="str">
        <x:v>OCTG-0382</x:v>
      </x:c>
      <x:c r="B383" t="str">
        <x:v>U. S. Steel Tubular</x:v>
      </x:c>
      <x:c r="C383" t="str">
        <x:v>T95 HY</x:v>
      </x:c>
      <x:c r="D383" t="str">
        <x:v>Carbon / low alloy</x:v>
      </x:c>
      <x:c r="E383" t="str">
        <x:v>Enhanced API grade / collapse, burst or restricted yield</x:v>
      </x:c>
      <x:c r="F383" s="82" t="n">
        <x:v>95</x:v>
      </x:c>
      <x:c r="G383" t="str">
        <x:v>Yes</x:v>
      </x:c>
      <x:c r="H383" t="str">
        <x:v>A</x:v>
      </x:c>
      <x:c r="I383" t="str">
        <x:v>No</x:v>
      </x:c>
      <x:c r="J383" t="str">
        <x:v>No</x:v>
      </x:c>
      <x:c r="K383" t="str">
        <x:v>No</x:v>
      </x:c>
      <x:c r="L383" t="str">
        <x:f>IF(F383="","UNKNOWN",IF(F383&lt;'WELL INPUTS'!$B$11,"BELOW","OK"))</x:f>
        <x:v>OK</x:v>
      </x:c>
      <x:c r="M383" t="str">
        <x:f>IF(AND('WELL INPUTS'!$B$4="Wet",'WELL INPUTS'!$B$5&gt;0),IF(I383="Yes","CATALOG SOUR","NOT LISTED"),"N/A")</x:f>
        <x:v>N/A</x:v>
      </x:c>
      <x:c r="N383" t="str">
        <x:f>IF(AND('WELL INPUTS'!$B$4="Wet",'WELL INPUTS'!$B$6&gt;0),IF(J383="Yes","ALLOY FAMILY","CORROSION CONTROL"),"N/A")</x:f>
        <x:v>CORROSION CONTROL</x:v>
      </x:c>
      <x:c r="O383" t="str">
        <x:f>IF('WELL INPUTS'!$B$12="Yes",IF(G383="Yes","CLAIMED","NOT LISTED"),"N/A")</x:f>
        <x:v>N/A</x:v>
      </x:c>
      <x:c r="P383" t="str">
        <x:f>IF(OR('WELL INPUTS'!$B$13="Unrestricted",CODE(H383)&lt;=CODE('WELL INPUTS'!$B$13)),"WITHIN TIER","OVER CAP")</x:f>
        <x:v>WITHIN TIER</x:v>
      </x:c>
      <x:c r="Q383" t="n">
        <x:f>MAX(0,MIN(100,43+IF(L383="OK",14,-20)+IF(M383="CATALOG SOUR",24,IF(M383="NOT LISTED",-18,0))+IF(N383="ALLOY FAMILY",14,IF(N383="CORROSION CONTROL",-13,0))+IF(O383="CLAIMED",17,IF(O383="NOT LISTED",-14,0))+IF(K383="Yes",-15,0)+IF('WELL INPUTS'!$B$10="Yes",-17,0)))</x:f>
        <x:v>44</x:v>
      </x:c>
      <x:c r="R383" s="83" t="str">
        <x:f>IF(L383="BELOW","EXCLUDE — STRENGTH",IF(P383="OVER CAP","EXCLUDE — COST",IF(K383="Yes",IF('WELL INPUTS'!$B$14="No","EXCLUDE — REFERENCE","REFERENCE ONLY"),IF(OR(L383="UNKNOWN",M383="NOT LISTED",N383="CORROSION CONTROL",O383="NOT LISTED",'WELL INPUTS'!$B$10="Yes",'WELL INPUTS'!$B$4="Unknown"),"REVIEW","CANDIDATE — VERIFY"))))</x:f>
        <x:v>REVIEW</x:v>
      </x:c>
      <x:c r="S383" t="str">
        <x:f>IF(L383="BELOW","Increase minimum grade strength",IF(P383="OVER CAP","Relax cost tier or exclude",IF(K383="Yes","Identify qualified manufacturer grade",IF(M383="NOT LISTED","Confirm sour-service claim and ISO 15156",IF(O383="NOT LISTED","Obtain manufacturer collapse curve",IF(N383="CORROSION CONTROL","Model CO2 corrosion; review inhibition","Confirm corrosion, cracking, loads and connection"))))))</x:f>
        <x:v>Model CO2 corrosion; review inhibition</x:v>
      </x:c>
      <x:c r="T383" t="str">
        <x:v>https://www.ussteel.com/customers/products/tubular/octg</x:v>
      </x:c>
    </x:row>
    <x:row r="384" ht="23" customHeight="1">
      <x:c r="A384" t="str">
        <x:v>OCTG-0383</x:v>
      </x:c>
      <x:c r="B384" t="str">
        <x:v>U. S. Steel Tubular</x:v>
      </x:c>
      <x:c r="C384" t="str">
        <x:v>USS C95</x:v>
      </x:c>
      <x:c r="D384" t="str">
        <x:v>Carbon / low alloy</x:v>
      </x:c>
      <x:c r="E384" t="str">
        <x:v>Sour condensate / SSC controlled</x:v>
      </x:c>
      <x:c r="F384" s="82" t="n">
        <x:v>95</x:v>
      </x:c>
      <x:c r="G384" t="str">
        <x:v>No</x:v>
      </x:c>
      <x:c r="H384" t="str">
        <x:v>A</x:v>
      </x:c>
      <x:c r="I384" t="str">
        <x:v>Yes</x:v>
      </x:c>
      <x:c r="J384" t="str">
        <x:v>No</x:v>
      </x:c>
      <x:c r="K384" t="str">
        <x:v>No</x:v>
      </x:c>
      <x:c r="L384" t="str">
        <x:f>IF(F384="","UNKNOWN",IF(F384&lt;'WELL INPUTS'!$B$11,"BELOW","OK"))</x:f>
        <x:v>OK</x:v>
      </x:c>
      <x:c r="M384" t="str">
        <x:f>IF(AND('WELL INPUTS'!$B$4="Wet",'WELL INPUTS'!$B$5&gt;0),IF(I384="Yes","CATALOG SOUR","NOT LISTED"),"N/A")</x:f>
        <x:v>N/A</x:v>
      </x:c>
      <x:c r="N384" t="str">
        <x:f>IF(AND('WELL INPUTS'!$B$4="Wet",'WELL INPUTS'!$B$6&gt;0),IF(J384="Yes","ALLOY FAMILY","CORROSION CONTROL"),"N/A")</x:f>
        <x:v>CORROSION CONTROL</x:v>
      </x:c>
      <x:c r="O384" t="str">
        <x:f>IF('WELL INPUTS'!$B$12="Yes",IF(G384="Yes","CLAIMED","NOT LISTED"),"N/A")</x:f>
        <x:v>N/A</x:v>
      </x:c>
      <x:c r="P384" t="str">
        <x:f>IF(OR('WELL INPUTS'!$B$13="Unrestricted",CODE(H384)&lt;=CODE('WELL INPUTS'!$B$13)),"WITHIN TIER","OVER CAP")</x:f>
        <x:v>WITHIN TIER</x:v>
      </x:c>
      <x:c r="Q384" t="n">
        <x:f>MAX(0,MIN(100,43+IF(L384="OK",14,-20)+IF(M384="CATALOG SOUR",24,IF(M384="NOT LISTED",-18,0))+IF(N384="ALLOY FAMILY",14,IF(N384="CORROSION CONTROL",-13,0))+IF(O384="CLAIMED",17,IF(O384="NOT LISTED",-14,0))+IF(K384="Yes",-15,0)+IF('WELL INPUTS'!$B$10="Yes",-17,0)))</x:f>
        <x:v>44</x:v>
      </x:c>
      <x:c r="R384" s="83" t="str">
        <x:f>IF(L384="BELOW","EXCLUDE — STRENGTH",IF(P384="OVER CAP","EXCLUDE — COST",IF(K384="Yes",IF('WELL INPUTS'!$B$14="No","EXCLUDE — REFERENCE","REFERENCE ONLY"),IF(OR(L384="UNKNOWN",M384="NOT LISTED",N384="CORROSION CONTROL",O384="NOT LISTED",'WELL INPUTS'!$B$10="Yes",'WELL INPUTS'!$B$4="Unknown"),"REVIEW","CANDIDATE — VERIFY"))))</x:f>
        <x:v>REVIEW</x:v>
      </x:c>
      <x:c r="S384" t="str">
        <x:f>IF(L384="BELOW","Increase minimum grade strength",IF(P384="OVER CAP","Relax cost tier or exclude",IF(K384="Yes","Identify qualified manufacturer grade",IF(M384="NOT LISTED","Confirm sour-service claim and ISO 15156",IF(O384="NOT LISTED","Obtain manufacturer collapse curve",IF(N384="CORROSION CONTROL","Model CO2 corrosion; review inhibition","Confirm corrosion, cracking, loads and connection"))))))</x:f>
        <x:v>Model CO2 corrosion; review inhibition</x:v>
      </x:c>
      <x:c r="T384" t="str">
        <x:v>https://www.ussteel.com/customers/products/tubular/octg</x:v>
      </x:c>
    </x:row>
    <x:row r="385" ht="23" customHeight="1">
      <x:c r="A385" t="str">
        <x:v>OCTG-0384</x:v>
      </x:c>
      <x:c r="B385" t="str">
        <x:v>Borusan Mannesmann</x:v>
      </x:c>
      <x:c r="C385" t="str">
        <x:v>B-80</x:v>
      </x:c>
      <x:c r="D385" t="str">
        <x:v>Carbon / low alloy</x:v>
      </x:c>
      <x:c r="E385" t="str">
        <x:v>Proprietary 80/90ksi (non-monogram as stated in 2018 catalog)</x:v>
      </x:c>
      <x:c r="F385" s="82" t="n">
        <x:v>80</x:v>
      </x:c>
      <x:c r="G385" t="str">
        <x:v>No</x:v>
      </x:c>
      <x:c r="H385" t="str">
        <x:v>A</x:v>
      </x:c>
      <x:c r="I385" t="str">
        <x:v>No</x:v>
      </x:c>
      <x:c r="J385" t="str">
        <x:v>No</x:v>
      </x:c>
      <x:c r="K385" t="str">
        <x:v>No</x:v>
      </x:c>
      <x:c r="L385" t="str">
        <x:f>IF(F385="","UNKNOWN",IF(F385&lt;'WELL INPUTS'!$B$11,"BELOW","OK"))</x:f>
        <x:v>OK</x:v>
      </x:c>
      <x:c r="M385" t="str">
        <x:f>IF(AND('WELL INPUTS'!$B$4="Wet",'WELL INPUTS'!$B$5&gt;0),IF(I385="Yes","CATALOG SOUR","NOT LISTED"),"N/A")</x:f>
        <x:v>N/A</x:v>
      </x:c>
      <x:c r="N385" t="str">
        <x:f>IF(AND('WELL INPUTS'!$B$4="Wet",'WELL INPUTS'!$B$6&gt;0),IF(J385="Yes","ALLOY FAMILY","CORROSION CONTROL"),"N/A")</x:f>
        <x:v>CORROSION CONTROL</x:v>
      </x:c>
      <x:c r="O385" t="str">
        <x:f>IF('WELL INPUTS'!$B$12="Yes",IF(G385="Yes","CLAIMED","NOT LISTED"),"N/A")</x:f>
        <x:v>N/A</x:v>
      </x:c>
      <x:c r="P385" t="str">
        <x:f>IF(OR('WELL INPUTS'!$B$13="Unrestricted",CODE(H385)&lt;=CODE('WELL INPUTS'!$B$13)),"WITHIN TIER","OVER CAP")</x:f>
        <x:v>WITHIN TIER</x:v>
      </x:c>
      <x:c r="Q385" t="n">
        <x:f>MAX(0,MIN(100,43+IF(L385="OK",14,-20)+IF(M385="CATALOG SOUR",24,IF(M385="NOT LISTED",-18,0))+IF(N385="ALLOY FAMILY",14,IF(N385="CORROSION CONTROL",-13,0))+IF(O385="CLAIMED",17,IF(O385="NOT LISTED",-14,0))+IF(K385="Yes",-15,0)+IF('WELL INPUTS'!$B$10="Yes",-17,0)))</x:f>
        <x:v>44</x:v>
      </x:c>
      <x:c r="R385" s="83" t="str">
        <x:f>IF(L385="BELOW","EXCLUDE — STRENGTH",IF(P385="OVER CAP","EXCLUDE — COST",IF(K385="Yes",IF('WELL INPUTS'!$B$14="No","EXCLUDE — REFERENCE","REFERENCE ONLY"),IF(OR(L385="UNKNOWN",M385="NOT LISTED",N385="CORROSION CONTROL",O385="NOT LISTED",'WELL INPUTS'!$B$10="Yes",'WELL INPUTS'!$B$4="Unknown"),"REVIEW","CANDIDATE — VERIFY"))))</x:f>
        <x:v>REVIEW</x:v>
      </x:c>
      <x:c r="S385" t="str">
        <x:f>IF(L385="BELOW","Increase minimum grade strength",IF(P385="OVER CAP","Relax cost tier or exclude",IF(K385="Yes","Identify qualified manufacturer grade",IF(M385="NOT LISTED","Confirm sour-service claim and ISO 15156",IF(O385="NOT LISTED","Obtain manufacturer collapse curve",IF(N385="CORROSION CONTROL","Model CO2 corrosion; review inhibition","Confirm corrosion, cracking, loads and connection"))))))</x:f>
        <x:v>Model CO2 corrosion; review inhibition</x:v>
      </x:c>
      <x:c r="T385" t="str">
        <x:v>https://www.borusanmannesmann.com/media/2139/octg2018-web.pdf</x:v>
      </x:c>
    </x:row>
    <x:row r="386" ht="23" customHeight="1">
      <x:c r="A386" t="str">
        <x:v>OCTG-0385</x:v>
      </x:c>
      <x:c r="B386" t="str">
        <x:v>Borusan Mannesmann</x:v>
      </x:c>
      <x:c r="C386" t="str">
        <x:v>B-90</x:v>
      </x:c>
      <x:c r="D386" t="str">
        <x:v>Carbon / low alloy</x:v>
      </x:c>
      <x:c r="E386" t="str">
        <x:v>Proprietary 80/90ksi (non-monogram as stated in 2018 catalog)</x:v>
      </x:c>
      <x:c r="F386" s="82" t="n">
        <x:v>90</x:v>
      </x:c>
      <x:c r="G386" t="str">
        <x:v>No</x:v>
      </x:c>
      <x:c r="H386" t="str">
        <x:v>A</x:v>
      </x:c>
      <x:c r="I386" t="str">
        <x:v>No</x:v>
      </x:c>
      <x:c r="J386" t="str">
        <x:v>No</x:v>
      </x:c>
      <x:c r="K386" t="str">
        <x:v>No</x:v>
      </x:c>
      <x:c r="L386" t="str">
        <x:f>IF(F386="","UNKNOWN",IF(F386&lt;'WELL INPUTS'!$B$11,"BELOW","OK"))</x:f>
        <x:v>OK</x:v>
      </x:c>
      <x:c r="M386" t="str">
        <x:f>IF(AND('WELL INPUTS'!$B$4="Wet",'WELL INPUTS'!$B$5&gt;0),IF(I386="Yes","CATALOG SOUR","NOT LISTED"),"N/A")</x:f>
        <x:v>N/A</x:v>
      </x:c>
      <x:c r="N386" t="str">
        <x:f>IF(AND('WELL INPUTS'!$B$4="Wet",'WELL INPUTS'!$B$6&gt;0),IF(J386="Yes","ALLOY FAMILY","CORROSION CONTROL"),"N/A")</x:f>
        <x:v>CORROSION CONTROL</x:v>
      </x:c>
      <x:c r="O386" t="str">
        <x:f>IF('WELL INPUTS'!$B$12="Yes",IF(G386="Yes","CLAIMED","NOT LISTED"),"N/A")</x:f>
        <x:v>N/A</x:v>
      </x:c>
      <x:c r="P386" t="str">
        <x:f>IF(OR('WELL INPUTS'!$B$13="Unrestricted",CODE(H386)&lt;=CODE('WELL INPUTS'!$B$13)),"WITHIN TIER","OVER CAP")</x:f>
        <x:v>WITHIN TIER</x:v>
      </x:c>
      <x:c r="Q386" t="n">
        <x:f>MAX(0,MIN(100,43+IF(L386="OK",14,-20)+IF(M386="CATALOG SOUR",24,IF(M386="NOT LISTED",-18,0))+IF(N386="ALLOY FAMILY",14,IF(N386="CORROSION CONTROL",-13,0))+IF(O386="CLAIMED",17,IF(O386="NOT LISTED",-14,0))+IF(K386="Yes",-15,0)+IF('WELL INPUTS'!$B$10="Yes",-17,0)))</x:f>
        <x:v>44</x:v>
      </x:c>
      <x:c r="R386" s="83" t="str">
        <x:f>IF(L386="BELOW","EXCLUDE — STRENGTH",IF(P386="OVER CAP","EXCLUDE — COST",IF(K386="Yes",IF('WELL INPUTS'!$B$14="No","EXCLUDE — REFERENCE","REFERENCE ONLY"),IF(OR(L386="UNKNOWN",M386="NOT LISTED",N386="CORROSION CONTROL",O386="NOT LISTED",'WELL INPUTS'!$B$10="Yes",'WELL INPUTS'!$B$4="Unknown"),"REVIEW","CANDIDATE — VERIFY"))))</x:f>
        <x:v>REVIEW</x:v>
      </x:c>
      <x:c r="S386" t="str">
        <x:f>IF(L386="BELOW","Increase minimum grade strength",IF(P386="OVER CAP","Relax cost tier or exclude",IF(K386="Yes","Identify qualified manufacturer grade",IF(M386="NOT LISTED","Confirm sour-service claim and ISO 15156",IF(O386="NOT LISTED","Obtain manufacturer collapse curve",IF(N386="CORROSION CONTROL","Model CO2 corrosion; review inhibition","Confirm corrosion, cracking, loads and connection"))))))</x:f>
        <x:v>Model CO2 corrosion; review inhibition</x:v>
      </x:c>
      <x:c r="T386" t="str">
        <x:v>https://www.borusanmannesmann.com/media/2139/octg2018-web.pdf</x:v>
      </x:c>
    </x:row>
    <x:row r="387" ht="23" customHeight="1">
      <x:c r="A387" t="str">
        <x:v>OCTG-0386</x:v>
      </x:c>
      <x:c r="B387" t="str">
        <x:v>Borusan Mannesmann</x:v>
      </x:c>
      <x:c r="C387" t="str">
        <x:v>Borusan-K55HC</x:v>
      </x:c>
      <x:c r="D387" t="str">
        <x:v>Carbon / low alloy</x:v>
      </x:c>
      <x:c r="E387" t="str">
        <x:v>High collapse/enhanced collapse or controlled yield (ERW)</x:v>
      </x:c>
      <x:c r="F387" s="82" t="n">
        <x:v>55</x:v>
      </x:c>
      <x:c r="G387" t="str">
        <x:v>Yes</x:v>
      </x:c>
      <x:c r="H387" t="str">
        <x:v>A</x:v>
      </x:c>
      <x:c r="I387" t="str">
        <x:v>No</x:v>
      </x:c>
      <x:c r="J387" t="str">
        <x:v>No</x:v>
      </x:c>
      <x:c r="K387" t="str">
        <x:v>No</x:v>
      </x:c>
      <x:c r="L387" t="str">
        <x:f>IF(F387="","UNKNOWN",IF(F387&lt;'WELL INPUTS'!$B$11,"BELOW","OK"))</x:f>
        <x:v>BELOW</x:v>
      </x:c>
      <x:c r="M387" t="str">
        <x:f>IF(AND('WELL INPUTS'!$B$4="Wet",'WELL INPUTS'!$B$5&gt;0),IF(I387="Yes","CATALOG SOUR","NOT LISTED"),"N/A")</x:f>
        <x:v>N/A</x:v>
      </x:c>
      <x:c r="N387" t="str">
        <x:f>IF(AND('WELL INPUTS'!$B$4="Wet",'WELL INPUTS'!$B$6&gt;0),IF(J387="Yes","ALLOY FAMILY","CORROSION CONTROL"),"N/A")</x:f>
        <x:v>CORROSION CONTROL</x:v>
      </x:c>
      <x:c r="O387" t="str">
        <x:f>IF('WELL INPUTS'!$B$12="Yes",IF(G387="Yes","CLAIMED","NOT LISTED"),"N/A")</x:f>
        <x:v>N/A</x:v>
      </x:c>
      <x:c r="P387" t="str">
        <x:f>IF(OR('WELL INPUTS'!$B$13="Unrestricted",CODE(H387)&lt;=CODE('WELL INPUTS'!$B$13)),"WITHIN TIER","OVER CAP")</x:f>
        <x:v>WITHIN TIER</x:v>
      </x:c>
      <x:c r="Q387" t="n">
        <x:f>MAX(0,MIN(100,43+IF(L387="OK",14,-20)+IF(M387="CATALOG SOUR",24,IF(M387="NOT LISTED",-18,0))+IF(N387="ALLOY FAMILY",14,IF(N387="CORROSION CONTROL",-13,0))+IF(O387="CLAIMED",17,IF(O387="NOT LISTED",-14,0))+IF(K387="Yes",-15,0)+IF('WELL INPUTS'!$B$10="Yes",-17,0)))</x:f>
        <x:v>10</x:v>
      </x:c>
      <x:c r="R387" s="83" t="str">
        <x:f>IF(L387="BELOW","EXCLUDE — STRENGTH",IF(P387="OVER CAP","EXCLUDE — COST",IF(K387="Yes",IF('WELL INPUTS'!$B$14="No","EXCLUDE — REFERENCE","REFERENCE ONLY"),IF(OR(L387="UNKNOWN",M387="NOT LISTED",N387="CORROSION CONTROL",O387="NOT LISTED",'WELL INPUTS'!$B$10="Yes",'WELL INPUTS'!$B$4="Unknown"),"REVIEW","CANDIDATE — VERIFY"))))</x:f>
        <x:v>EXCLUDE — STRENGTH</x:v>
      </x:c>
      <x:c r="S387" t="str">
        <x:f>IF(L387="BELOW","Increase minimum grade strength",IF(P387="OVER CAP","Relax cost tier or exclude",IF(K387="Yes","Identify qualified manufacturer grade",IF(M387="NOT LISTED","Confirm sour-service claim and ISO 15156",IF(O387="NOT LISTED","Obtain manufacturer collapse curve",IF(N387="CORROSION CONTROL","Model CO2 corrosion; review inhibition","Confirm corrosion, cracking, loads and connection"))))))</x:f>
        <x:v>Increase minimum grade strength</x:v>
      </x:c>
      <x:c r="T387" t="str">
        <x:v>https://www.borusanmannesmann.com/media/2139/octg2018-web.pdf</x:v>
      </x:c>
    </x:row>
    <x:row r="388" ht="23" customHeight="1">
      <x:c r="A388" t="str">
        <x:v>OCTG-0387</x:v>
      </x:c>
      <x:c r="B388" t="str">
        <x:v>Borusan Mannesmann</x:v>
      </x:c>
      <x:c r="C388" t="str">
        <x:v>L80 EHC</x:v>
      </x:c>
      <x:c r="D388" t="str">
        <x:v>Carbon / low alloy</x:v>
      </x:c>
      <x:c r="E388" t="str">
        <x:v>High collapse/enhanced collapse or controlled yield (ERW)</x:v>
      </x:c>
      <x:c r="F388" s="82" t="n">
        <x:v>80</x:v>
      </x:c>
      <x:c r="G388" t="str">
        <x:v>Yes</x:v>
      </x:c>
      <x:c r="H388" t="str">
        <x:v>A</x:v>
      </x:c>
      <x:c r="I388" t="str">
        <x:v>No</x:v>
      </x:c>
      <x:c r="J388" t="str">
        <x:v>No</x:v>
      </x:c>
      <x:c r="K388" t="str">
        <x:v>No</x:v>
      </x:c>
      <x:c r="L388" t="str">
        <x:f>IF(F388="","UNKNOWN",IF(F388&lt;'WELL INPUTS'!$B$11,"BELOW","OK"))</x:f>
        <x:v>OK</x:v>
      </x:c>
      <x:c r="M388" t="str">
        <x:f>IF(AND('WELL INPUTS'!$B$4="Wet",'WELL INPUTS'!$B$5&gt;0),IF(I388="Yes","CATALOG SOUR","NOT LISTED"),"N/A")</x:f>
        <x:v>N/A</x:v>
      </x:c>
      <x:c r="N388" t="str">
        <x:f>IF(AND('WELL INPUTS'!$B$4="Wet",'WELL INPUTS'!$B$6&gt;0),IF(J388="Yes","ALLOY FAMILY","CORROSION CONTROL"),"N/A")</x:f>
        <x:v>CORROSION CONTROL</x:v>
      </x:c>
      <x:c r="O388" t="str">
        <x:f>IF('WELL INPUTS'!$B$12="Yes",IF(G388="Yes","CLAIMED","NOT LISTED"),"N/A")</x:f>
        <x:v>N/A</x:v>
      </x:c>
      <x:c r="P388" t="str">
        <x:f>IF(OR('WELL INPUTS'!$B$13="Unrestricted",CODE(H388)&lt;=CODE('WELL INPUTS'!$B$13)),"WITHIN TIER","OVER CAP")</x:f>
        <x:v>WITHIN TIER</x:v>
      </x:c>
      <x:c r="Q388" t="n">
        <x:f>MAX(0,MIN(100,43+IF(L388="OK",14,-20)+IF(M388="CATALOG SOUR",24,IF(M388="NOT LISTED",-18,0))+IF(N388="ALLOY FAMILY",14,IF(N388="CORROSION CONTROL",-13,0))+IF(O388="CLAIMED",17,IF(O388="NOT LISTED",-14,0))+IF(K388="Yes",-15,0)+IF('WELL INPUTS'!$B$10="Yes",-17,0)))</x:f>
        <x:v>44</x:v>
      </x:c>
      <x:c r="R388" s="83" t="str">
        <x:f>IF(L388="BELOW","EXCLUDE — STRENGTH",IF(P388="OVER CAP","EXCLUDE — COST",IF(K388="Yes",IF('WELL INPUTS'!$B$14="No","EXCLUDE — REFERENCE","REFERENCE ONLY"),IF(OR(L388="UNKNOWN",M388="NOT LISTED",N388="CORROSION CONTROL",O388="NOT LISTED",'WELL INPUTS'!$B$10="Yes",'WELL INPUTS'!$B$4="Unknown"),"REVIEW","CANDIDATE — VERIFY"))))</x:f>
        <x:v>REVIEW</x:v>
      </x:c>
      <x:c r="S388" t="str">
        <x:f>IF(L388="BELOW","Increase minimum grade strength",IF(P388="OVER CAP","Relax cost tier or exclude",IF(K388="Yes","Identify qualified manufacturer grade",IF(M388="NOT LISTED","Confirm sour-service claim and ISO 15156",IF(O388="NOT LISTED","Obtain manufacturer collapse curve",IF(N388="CORROSION CONTROL","Model CO2 corrosion; review inhibition","Confirm corrosion, cracking, loads and connection"))))))</x:f>
        <x:v>Model CO2 corrosion; review inhibition</x:v>
      </x:c>
      <x:c r="T388" t="str">
        <x:v>https://www.borusanmannesmann.com/media/2139/octg2018-web.pdf</x:v>
      </x:c>
    </x:row>
    <x:row r="389" ht="23" customHeight="1">
      <x:c r="A389" t="str">
        <x:v>OCTG-0388</x:v>
      </x:c>
      <x:c r="B389" t="str">
        <x:v>Borusan Mannesmann</x:v>
      </x:c>
      <x:c r="C389" t="str">
        <x:v>L80HC</x:v>
      </x:c>
      <x:c r="D389" t="str">
        <x:v>Carbon / low alloy</x:v>
      </x:c>
      <x:c r="E389" t="str">
        <x:v>High collapse/enhanced collapse or controlled yield (ERW)</x:v>
      </x:c>
      <x:c r="F389" s="82" t="n">
        <x:v>80</x:v>
      </x:c>
      <x:c r="G389" t="str">
        <x:v>Yes</x:v>
      </x:c>
      <x:c r="H389" t="str">
        <x:v>A</x:v>
      </x:c>
      <x:c r="I389" t="str">
        <x:v>No</x:v>
      </x:c>
      <x:c r="J389" t="str">
        <x:v>No</x:v>
      </x:c>
      <x:c r="K389" t="str">
        <x:v>No</x:v>
      </x:c>
      <x:c r="L389" t="str">
        <x:f>IF(F389="","UNKNOWN",IF(F389&lt;'WELL INPUTS'!$B$11,"BELOW","OK"))</x:f>
        <x:v>OK</x:v>
      </x:c>
      <x:c r="M389" t="str">
        <x:f>IF(AND('WELL INPUTS'!$B$4="Wet",'WELL INPUTS'!$B$5&gt;0),IF(I389="Yes","CATALOG SOUR","NOT LISTED"),"N/A")</x:f>
        <x:v>N/A</x:v>
      </x:c>
      <x:c r="N389" t="str">
        <x:f>IF(AND('WELL INPUTS'!$B$4="Wet",'WELL INPUTS'!$B$6&gt;0),IF(J389="Yes","ALLOY FAMILY","CORROSION CONTROL"),"N/A")</x:f>
        <x:v>CORROSION CONTROL</x:v>
      </x:c>
      <x:c r="O389" t="str">
        <x:f>IF('WELL INPUTS'!$B$12="Yes",IF(G389="Yes","CLAIMED","NOT LISTED"),"N/A")</x:f>
        <x:v>N/A</x:v>
      </x:c>
      <x:c r="P389" t="str">
        <x:f>IF(OR('WELL INPUTS'!$B$13="Unrestricted",CODE(H389)&lt;=CODE('WELL INPUTS'!$B$13)),"WITHIN TIER","OVER CAP")</x:f>
        <x:v>WITHIN TIER</x:v>
      </x:c>
      <x:c r="Q389" t="n">
        <x:f>MAX(0,MIN(100,43+IF(L389="OK",14,-20)+IF(M389="CATALOG SOUR",24,IF(M389="NOT LISTED",-18,0))+IF(N389="ALLOY FAMILY",14,IF(N389="CORROSION CONTROL",-13,0))+IF(O389="CLAIMED",17,IF(O389="NOT LISTED",-14,0))+IF(K389="Yes",-15,0)+IF('WELL INPUTS'!$B$10="Yes",-17,0)))</x:f>
        <x:v>44</x:v>
      </x:c>
      <x:c r="R389" s="83" t="str">
        <x:f>IF(L389="BELOW","EXCLUDE — STRENGTH",IF(P389="OVER CAP","EXCLUDE — COST",IF(K389="Yes",IF('WELL INPUTS'!$B$14="No","EXCLUDE — REFERENCE","REFERENCE ONLY"),IF(OR(L389="UNKNOWN",M389="NOT LISTED",N389="CORROSION CONTROL",O389="NOT LISTED",'WELL INPUTS'!$B$10="Yes",'WELL INPUTS'!$B$4="Unknown"),"REVIEW","CANDIDATE — VERIFY"))))</x:f>
        <x:v>REVIEW</x:v>
      </x:c>
      <x:c r="S389" t="str">
        <x:f>IF(L389="BELOW","Increase minimum grade strength",IF(P389="OVER CAP","Relax cost tier or exclude",IF(K389="Yes","Identify qualified manufacturer grade",IF(M389="NOT LISTED","Confirm sour-service claim and ISO 15156",IF(O389="NOT LISTED","Obtain manufacturer collapse curve",IF(N389="CORROSION CONTROL","Model CO2 corrosion; review inhibition","Confirm corrosion, cracking, loads and connection"))))))</x:f>
        <x:v>Model CO2 corrosion; review inhibition</x:v>
      </x:c>
      <x:c r="T389" t="str">
        <x:v>https://www.borusanmannesmann.com/media/2139/octg2018-web.pdf</x:v>
      </x:c>
    </x:row>
    <x:row r="390" ht="23" customHeight="1">
      <x:c r="A390" t="str">
        <x:v>OCTG-0389</x:v>
      </x:c>
      <x:c r="B390" t="str">
        <x:v>Borusan Mannesmann</x:v>
      </x:c>
      <x:c r="C390" t="str">
        <x:v>N80HC</x:v>
      </x:c>
      <x:c r="D390" t="str">
        <x:v>Carbon / low alloy</x:v>
      </x:c>
      <x:c r="E390" t="str">
        <x:v>High collapse/enhanced collapse or controlled yield (ERW)</x:v>
      </x:c>
      <x:c r="F390" s="82" t="n">
        <x:v>80</x:v>
      </x:c>
      <x:c r="G390" t="str">
        <x:v>Yes</x:v>
      </x:c>
      <x:c r="H390" t="str">
        <x:v>A</x:v>
      </x:c>
      <x:c r="I390" t="str">
        <x:v>No</x:v>
      </x:c>
      <x:c r="J390" t="str">
        <x:v>No</x:v>
      </x:c>
      <x:c r="K390" t="str">
        <x:v>No</x:v>
      </x:c>
      <x:c r="L390" t="str">
        <x:f>IF(F390="","UNKNOWN",IF(F390&lt;'WELL INPUTS'!$B$11,"BELOW","OK"))</x:f>
        <x:v>OK</x:v>
      </x:c>
      <x:c r="M390" t="str">
        <x:f>IF(AND('WELL INPUTS'!$B$4="Wet",'WELL INPUTS'!$B$5&gt;0),IF(I390="Yes","CATALOG SOUR","NOT LISTED"),"N/A")</x:f>
        <x:v>N/A</x:v>
      </x:c>
      <x:c r="N390" t="str">
        <x:f>IF(AND('WELL INPUTS'!$B$4="Wet",'WELL INPUTS'!$B$6&gt;0),IF(J390="Yes","ALLOY FAMILY","CORROSION CONTROL"),"N/A")</x:f>
        <x:v>CORROSION CONTROL</x:v>
      </x:c>
      <x:c r="O390" t="str">
        <x:f>IF('WELL INPUTS'!$B$12="Yes",IF(G390="Yes","CLAIMED","NOT LISTED"),"N/A")</x:f>
        <x:v>N/A</x:v>
      </x:c>
      <x:c r="P390" t="str">
        <x:f>IF(OR('WELL INPUTS'!$B$13="Unrestricted",CODE(H390)&lt;=CODE('WELL INPUTS'!$B$13)),"WITHIN TIER","OVER CAP")</x:f>
        <x:v>WITHIN TIER</x:v>
      </x:c>
      <x:c r="Q390" t="n">
        <x:f>MAX(0,MIN(100,43+IF(L390="OK",14,-20)+IF(M390="CATALOG SOUR",24,IF(M390="NOT LISTED",-18,0))+IF(N390="ALLOY FAMILY",14,IF(N390="CORROSION CONTROL",-13,0))+IF(O390="CLAIMED",17,IF(O390="NOT LISTED",-14,0))+IF(K390="Yes",-15,0)+IF('WELL INPUTS'!$B$10="Yes",-17,0)))</x:f>
        <x:v>44</x:v>
      </x:c>
      <x:c r="R390" s="83" t="str">
        <x:f>IF(L390="BELOW","EXCLUDE — STRENGTH",IF(P390="OVER CAP","EXCLUDE — COST",IF(K390="Yes",IF('WELL INPUTS'!$B$14="No","EXCLUDE — REFERENCE","REFERENCE ONLY"),IF(OR(L390="UNKNOWN",M390="NOT LISTED",N390="CORROSION CONTROL",O390="NOT LISTED",'WELL INPUTS'!$B$10="Yes",'WELL INPUTS'!$B$4="Unknown"),"REVIEW","CANDIDATE — VERIFY"))))</x:f>
        <x:v>REVIEW</x:v>
      </x:c>
      <x:c r="S390" t="str">
        <x:f>IF(L390="BELOW","Increase minimum grade strength",IF(P390="OVER CAP","Relax cost tier or exclude",IF(K390="Yes","Identify qualified manufacturer grade",IF(M390="NOT LISTED","Confirm sour-service claim and ISO 15156",IF(O390="NOT LISTED","Obtain manufacturer collapse curve",IF(N390="CORROSION CONTROL","Model CO2 corrosion; review inhibition","Confirm corrosion, cracking, loads and connection"))))))</x:f>
        <x:v>Model CO2 corrosion; review inhibition</x:v>
      </x:c>
      <x:c r="T390" t="str">
        <x:v>https://www.borusanmannesmann.com/media/2139/octg2018-web.pdf</x:v>
      </x:c>
    </x:row>
    <x:row r="391" ht="23" customHeight="1">
      <x:c r="A391" t="str">
        <x:v>OCTG-0390</x:v>
      </x:c>
      <x:c r="B391" t="str">
        <x:v>Borusan Mannesmann</x:v>
      </x:c>
      <x:c r="C391" t="str">
        <x:v>P110 CY</x:v>
      </x:c>
      <x:c r="D391" t="str">
        <x:v>Carbon / low alloy</x:v>
      </x:c>
      <x:c r="E391" t="str">
        <x:v>High collapse/enhanced collapse or controlled yield (ERW)</x:v>
      </x:c>
      <x:c r="F391" s="82" t="n">
        <x:v>110</x:v>
      </x:c>
      <x:c r="G391" t="str">
        <x:v>Yes</x:v>
      </x:c>
      <x:c r="H391" t="str">
        <x:v>A</x:v>
      </x:c>
      <x:c r="I391" t="str">
        <x:v>No</x:v>
      </x:c>
      <x:c r="J391" t="str">
        <x:v>No</x:v>
      </x:c>
      <x:c r="K391" t="str">
        <x:v>No</x:v>
      </x:c>
      <x:c r="L391" t="str">
        <x:f>IF(F391="","UNKNOWN",IF(F391&lt;'WELL INPUTS'!$B$11,"BELOW","OK"))</x:f>
        <x:v>OK</x:v>
      </x:c>
      <x:c r="M391" t="str">
        <x:f>IF(AND('WELL INPUTS'!$B$4="Wet",'WELL INPUTS'!$B$5&gt;0),IF(I391="Yes","CATALOG SOUR","NOT LISTED"),"N/A")</x:f>
        <x:v>N/A</x:v>
      </x:c>
      <x:c r="N391" t="str">
        <x:f>IF(AND('WELL INPUTS'!$B$4="Wet",'WELL INPUTS'!$B$6&gt;0),IF(J391="Yes","ALLOY FAMILY","CORROSION CONTROL"),"N/A")</x:f>
        <x:v>CORROSION CONTROL</x:v>
      </x:c>
      <x:c r="O391" t="str">
        <x:f>IF('WELL INPUTS'!$B$12="Yes",IF(G391="Yes","CLAIMED","NOT LISTED"),"N/A")</x:f>
        <x:v>N/A</x:v>
      </x:c>
      <x:c r="P391" t="str">
        <x:f>IF(OR('WELL INPUTS'!$B$13="Unrestricted",CODE(H391)&lt;=CODE('WELL INPUTS'!$B$13)),"WITHIN TIER","OVER CAP")</x:f>
        <x:v>WITHIN TIER</x:v>
      </x:c>
      <x:c r="Q391" t="n">
        <x:f>MAX(0,MIN(100,43+IF(L391="OK",14,-20)+IF(M391="CATALOG SOUR",24,IF(M391="NOT LISTED",-18,0))+IF(N391="ALLOY FAMILY",14,IF(N391="CORROSION CONTROL",-13,0))+IF(O391="CLAIMED",17,IF(O391="NOT LISTED",-14,0))+IF(K391="Yes",-15,0)+IF('WELL INPUTS'!$B$10="Yes",-17,0)))</x:f>
        <x:v>44</x:v>
      </x:c>
      <x:c r="R391" s="83" t="str">
        <x:f>IF(L391="BELOW","EXCLUDE — STRENGTH",IF(P391="OVER CAP","EXCLUDE — COST",IF(K391="Yes",IF('WELL INPUTS'!$B$14="No","EXCLUDE — REFERENCE","REFERENCE ONLY"),IF(OR(L391="UNKNOWN",M391="NOT LISTED",N391="CORROSION CONTROL",O391="NOT LISTED",'WELL INPUTS'!$B$10="Yes",'WELL INPUTS'!$B$4="Unknown"),"REVIEW","CANDIDATE — VERIFY"))))</x:f>
        <x:v>REVIEW</x:v>
      </x:c>
      <x:c r="S391" t="str">
        <x:f>IF(L391="BELOW","Increase minimum grade strength",IF(P391="OVER CAP","Relax cost tier or exclude",IF(K391="Yes","Identify qualified manufacturer grade",IF(M391="NOT LISTED","Confirm sour-service claim and ISO 15156",IF(O391="NOT LISTED","Obtain manufacturer collapse curve",IF(N391="CORROSION CONTROL","Model CO2 corrosion; review inhibition","Confirm corrosion, cracking, loads and connection"))))))</x:f>
        <x:v>Model CO2 corrosion; review inhibition</x:v>
      </x:c>
      <x:c r="T391" t="str">
        <x:v>https://www.borusanmannesmann.com/media/2139/octg2018-web.pdf</x:v>
      </x:c>
    </x:row>
    <x:row r="392" ht="23" customHeight="1">
      <x:c r="A392" t="str">
        <x:v>OCTG-0391</x:v>
      </x:c>
      <x:c r="B392" t="str">
        <x:v>Borusan Mannesmann</x:v>
      </x:c>
      <x:c r="C392" t="str">
        <x:v>P110 EHC</x:v>
      </x:c>
      <x:c r="D392" t="str">
        <x:v>Carbon / low alloy</x:v>
      </x:c>
      <x:c r="E392" t="str">
        <x:v>High collapse/enhanced collapse or controlled yield (ERW)</x:v>
      </x:c>
      <x:c r="F392" s="82" t="n">
        <x:v>110</x:v>
      </x:c>
      <x:c r="G392" t="str">
        <x:v>Yes</x:v>
      </x:c>
      <x:c r="H392" t="str">
        <x:v>A</x:v>
      </x:c>
      <x:c r="I392" t="str">
        <x:v>No</x:v>
      </x:c>
      <x:c r="J392" t="str">
        <x:v>No</x:v>
      </x:c>
      <x:c r="K392" t="str">
        <x:v>No</x:v>
      </x:c>
      <x:c r="L392" t="str">
        <x:f>IF(F392="","UNKNOWN",IF(F392&lt;'WELL INPUTS'!$B$11,"BELOW","OK"))</x:f>
        <x:v>OK</x:v>
      </x:c>
      <x:c r="M392" t="str">
        <x:f>IF(AND('WELL INPUTS'!$B$4="Wet",'WELL INPUTS'!$B$5&gt;0),IF(I392="Yes","CATALOG SOUR","NOT LISTED"),"N/A")</x:f>
        <x:v>N/A</x:v>
      </x:c>
      <x:c r="N392" t="str">
        <x:f>IF(AND('WELL INPUTS'!$B$4="Wet",'WELL INPUTS'!$B$6&gt;0),IF(J392="Yes","ALLOY FAMILY","CORROSION CONTROL"),"N/A")</x:f>
        <x:v>CORROSION CONTROL</x:v>
      </x:c>
      <x:c r="O392" t="str">
        <x:f>IF('WELL INPUTS'!$B$12="Yes",IF(G392="Yes","CLAIMED","NOT LISTED"),"N/A")</x:f>
        <x:v>N/A</x:v>
      </x:c>
      <x:c r="P392" t="str">
        <x:f>IF(OR('WELL INPUTS'!$B$13="Unrestricted",CODE(H392)&lt;=CODE('WELL INPUTS'!$B$13)),"WITHIN TIER","OVER CAP")</x:f>
        <x:v>WITHIN TIER</x:v>
      </x:c>
      <x:c r="Q392" t="n">
        <x:f>MAX(0,MIN(100,43+IF(L392="OK",14,-20)+IF(M392="CATALOG SOUR",24,IF(M392="NOT LISTED",-18,0))+IF(N392="ALLOY FAMILY",14,IF(N392="CORROSION CONTROL",-13,0))+IF(O392="CLAIMED",17,IF(O392="NOT LISTED",-14,0))+IF(K392="Yes",-15,0)+IF('WELL INPUTS'!$B$10="Yes",-17,0)))</x:f>
        <x:v>44</x:v>
      </x:c>
      <x:c r="R392" s="83" t="str">
        <x:f>IF(L392="BELOW","EXCLUDE — STRENGTH",IF(P392="OVER CAP","EXCLUDE — COST",IF(K392="Yes",IF('WELL INPUTS'!$B$14="No","EXCLUDE — REFERENCE","REFERENCE ONLY"),IF(OR(L392="UNKNOWN",M392="NOT LISTED",N392="CORROSION CONTROL",O392="NOT LISTED",'WELL INPUTS'!$B$10="Yes",'WELL INPUTS'!$B$4="Unknown"),"REVIEW","CANDIDATE — VERIFY"))))</x:f>
        <x:v>REVIEW</x:v>
      </x:c>
      <x:c r="S392" t="str">
        <x:f>IF(L392="BELOW","Increase minimum grade strength",IF(P392="OVER CAP","Relax cost tier or exclude",IF(K392="Yes","Identify qualified manufacturer grade",IF(M392="NOT LISTED","Confirm sour-service claim and ISO 15156",IF(O392="NOT LISTED","Obtain manufacturer collapse curve",IF(N392="CORROSION CONTROL","Model CO2 corrosion; review inhibition","Confirm corrosion, cracking, loads and connection"))))))</x:f>
        <x:v>Model CO2 corrosion; review inhibition</x:v>
      </x:c>
      <x:c r="T392" t="str">
        <x:v>https://www.borusanmannesmann.com/media/2139/octg2018-web.pdf</x:v>
      </x:c>
    </x:row>
    <x:row r="393" ht="23" customHeight="1">
      <x:c r="A393" t="str">
        <x:v>OCTG-0392</x:v>
      </x:c>
      <x:c r="B393" t="str">
        <x:v>Borusan Mannesmann</x:v>
      </x:c>
      <x:c r="C393" t="str">
        <x:v>P110 HC</x:v>
      </x:c>
      <x:c r="D393" t="str">
        <x:v>Carbon / low alloy</x:v>
      </x:c>
      <x:c r="E393" t="str">
        <x:v>High collapse/enhanced collapse or controlled yield (ERW)</x:v>
      </x:c>
      <x:c r="F393" s="82" t="n">
        <x:v>110</x:v>
      </x:c>
      <x:c r="G393" t="str">
        <x:v>Yes</x:v>
      </x:c>
      <x:c r="H393" t="str">
        <x:v>A</x:v>
      </x:c>
      <x:c r="I393" t="str">
        <x:v>No</x:v>
      </x:c>
      <x:c r="J393" t="str">
        <x:v>No</x:v>
      </x:c>
      <x:c r="K393" t="str">
        <x:v>No</x:v>
      </x:c>
      <x:c r="L393" t="str">
        <x:f>IF(F393="","UNKNOWN",IF(F393&lt;'WELL INPUTS'!$B$11,"BELOW","OK"))</x:f>
        <x:v>OK</x:v>
      </x:c>
      <x:c r="M393" t="str">
        <x:f>IF(AND('WELL INPUTS'!$B$4="Wet",'WELL INPUTS'!$B$5&gt;0),IF(I393="Yes","CATALOG SOUR","NOT LISTED"),"N/A")</x:f>
        <x:v>N/A</x:v>
      </x:c>
      <x:c r="N393" t="str">
        <x:f>IF(AND('WELL INPUTS'!$B$4="Wet",'WELL INPUTS'!$B$6&gt;0),IF(J393="Yes","ALLOY FAMILY","CORROSION CONTROL"),"N/A")</x:f>
        <x:v>CORROSION CONTROL</x:v>
      </x:c>
      <x:c r="O393" t="str">
        <x:f>IF('WELL INPUTS'!$B$12="Yes",IF(G393="Yes","CLAIMED","NOT LISTED"),"N/A")</x:f>
        <x:v>N/A</x:v>
      </x:c>
      <x:c r="P393" t="str">
        <x:f>IF(OR('WELL INPUTS'!$B$13="Unrestricted",CODE(H393)&lt;=CODE('WELL INPUTS'!$B$13)),"WITHIN TIER","OVER CAP")</x:f>
        <x:v>WITHIN TIER</x:v>
      </x:c>
      <x:c r="Q393" t="n">
        <x:f>MAX(0,MIN(100,43+IF(L393="OK",14,-20)+IF(M393="CATALOG SOUR",24,IF(M393="NOT LISTED",-18,0))+IF(N393="ALLOY FAMILY",14,IF(N393="CORROSION CONTROL",-13,0))+IF(O393="CLAIMED",17,IF(O393="NOT LISTED",-14,0))+IF(K393="Yes",-15,0)+IF('WELL INPUTS'!$B$10="Yes",-17,0)))</x:f>
        <x:v>44</x:v>
      </x:c>
      <x:c r="R393" s="83" t="str">
        <x:f>IF(L393="BELOW","EXCLUDE — STRENGTH",IF(P393="OVER CAP","EXCLUDE — COST",IF(K393="Yes",IF('WELL INPUTS'!$B$14="No","EXCLUDE — REFERENCE","REFERENCE ONLY"),IF(OR(L393="UNKNOWN",M393="NOT LISTED",N393="CORROSION CONTROL",O393="NOT LISTED",'WELL INPUTS'!$B$10="Yes",'WELL INPUTS'!$B$4="Unknown"),"REVIEW","CANDIDATE — VERIFY"))))</x:f>
        <x:v>REVIEW</x:v>
      </x:c>
      <x:c r="S393" t="str">
        <x:f>IF(L393="BELOW","Increase minimum grade strength",IF(P393="OVER CAP","Relax cost tier or exclude",IF(K393="Yes","Identify qualified manufacturer grade",IF(M393="NOT LISTED","Confirm sour-service claim and ISO 15156",IF(O393="NOT LISTED","Obtain manufacturer collapse curve",IF(N393="CORROSION CONTROL","Model CO2 corrosion; review inhibition","Confirm corrosion, cracking, loads and connection"))))))</x:f>
        <x:v>Model CO2 corrosion; review inhibition</x:v>
      </x:c>
      <x:c r="T393" t="str">
        <x:v>https://www.borusanmannesmann.com/media/2139/octg2018-web.pdf</x:v>
      </x:c>
    </x:row>
    <x:row r="394" ht="23" customHeight="1">
      <x:c r="A394" t="str">
        <x:v>OCTG-0393</x:v>
      </x:c>
      <x:c r="B394" t="str">
        <x:v>Borusan Mannesmann</x:v>
      </x:c>
      <x:c r="C394" t="str">
        <x:v>P110 HSCY</x:v>
      </x:c>
      <x:c r="D394" t="str">
        <x:v>Carbon / low alloy</x:v>
      </x:c>
      <x:c r="E394" t="str">
        <x:v>High collapse/enhanced collapse or controlled yield (ERW)</x:v>
      </x:c>
      <x:c r="F394" s="82" t="n">
        <x:v>110</x:v>
      </x:c>
      <x:c r="G394" t="str">
        <x:v>Yes</x:v>
      </x:c>
      <x:c r="H394" t="str">
        <x:v>A</x:v>
      </x:c>
      <x:c r="I394" t="str">
        <x:v>No</x:v>
      </x:c>
      <x:c r="J394" t="str">
        <x:v>No</x:v>
      </x:c>
      <x:c r="K394" t="str">
        <x:v>No</x:v>
      </x:c>
      <x:c r="L394" t="str">
        <x:f>IF(F394="","UNKNOWN",IF(F394&lt;'WELL INPUTS'!$B$11,"BELOW","OK"))</x:f>
        <x:v>OK</x:v>
      </x:c>
      <x:c r="M394" t="str">
        <x:f>IF(AND('WELL INPUTS'!$B$4="Wet",'WELL INPUTS'!$B$5&gt;0),IF(I394="Yes","CATALOG SOUR","NOT LISTED"),"N/A")</x:f>
        <x:v>N/A</x:v>
      </x:c>
      <x:c r="N394" t="str">
        <x:f>IF(AND('WELL INPUTS'!$B$4="Wet",'WELL INPUTS'!$B$6&gt;0),IF(J394="Yes","ALLOY FAMILY","CORROSION CONTROL"),"N/A")</x:f>
        <x:v>CORROSION CONTROL</x:v>
      </x:c>
      <x:c r="O394" t="str">
        <x:f>IF('WELL INPUTS'!$B$12="Yes",IF(G394="Yes","CLAIMED","NOT LISTED"),"N/A")</x:f>
        <x:v>N/A</x:v>
      </x:c>
      <x:c r="P394" t="str">
        <x:f>IF(OR('WELL INPUTS'!$B$13="Unrestricted",CODE(H394)&lt;=CODE('WELL INPUTS'!$B$13)),"WITHIN TIER","OVER CAP")</x:f>
        <x:v>WITHIN TIER</x:v>
      </x:c>
      <x:c r="Q394" t="n">
        <x:f>MAX(0,MIN(100,43+IF(L394="OK",14,-20)+IF(M394="CATALOG SOUR",24,IF(M394="NOT LISTED",-18,0))+IF(N394="ALLOY FAMILY",14,IF(N394="CORROSION CONTROL",-13,0))+IF(O394="CLAIMED",17,IF(O394="NOT LISTED",-14,0))+IF(K394="Yes",-15,0)+IF('WELL INPUTS'!$B$10="Yes",-17,0)))</x:f>
        <x:v>44</x:v>
      </x:c>
      <x:c r="R394" s="83" t="str">
        <x:f>IF(L394="BELOW","EXCLUDE — STRENGTH",IF(P394="OVER CAP","EXCLUDE — COST",IF(K394="Yes",IF('WELL INPUTS'!$B$14="No","EXCLUDE — REFERENCE","REFERENCE ONLY"),IF(OR(L394="UNKNOWN",M394="NOT LISTED",N394="CORROSION CONTROL",O394="NOT LISTED",'WELL INPUTS'!$B$10="Yes",'WELL INPUTS'!$B$4="Unknown"),"REVIEW","CANDIDATE — VERIFY"))))</x:f>
        <x:v>REVIEW</x:v>
      </x:c>
      <x:c r="S394" t="str">
        <x:f>IF(L394="BELOW","Increase minimum grade strength",IF(P394="OVER CAP","Relax cost tier or exclude",IF(K394="Yes","Identify qualified manufacturer grade",IF(M394="NOT LISTED","Confirm sour-service claim and ISO 15156",IF(O394="NOT LISTED","Obtain manufacturer collapse curve",IF(N394="CORROSION CONTROL","Model CO2 corrosion; review inhibition","Confirm corrosion, cracking, loads and connection"))))))</x:f>
        <x:v>Model CO2 corrosion; review inhibition</x:v>
      </x:c>
      <x:c r="T394" t="str">
        <x:v>https://www.borusanmannesmann.com/media/2139/octg2018-web.pdf</x:v>
      </x:c>
    </x:row>
    <x:row r="395" ht="23" customHeight="1">
      <x:c r="A395" t="str">
        <x:v>OCTG-0394</x:v>
      </x:c>
      <x:c r="B395" t="str">
        <x:v>SeAH Steel</x:v>
      </x:c>
      <x:c r="C395" t="str">
        <x:v>SeAH80</x:v>
      </x:c>
      <x:c r="D395" t="str">
        <x:v>Carbon / low alloy</x:v>
      </x:c>
      <x:c r="E395" t="str">
        <x:v>SeAH proprietary OCTG grade (service to be verified)</x:v>
      </x:c>
      <x:c r="F395" s="82" t="n">
        <x:v>80</x:v>
      </x:c>
      <x:c r="G395" t="str">
        <x:v>No</x:v>
      </x:c>
      <x:c r="H395" t="str">
        <x:v>A</x:v>
      </x:c>
      <x:c r="I395" t="str">
        <x:v>No</x:v>
      </x:c>
      <x:c r="J395" t="str">
        <x:v>No</x:v>
      </x:c>
      <x:c r="K395" t="str">
        <x:v>No</x:v>
      </x:c>
      <x:c r="L395" t="str">
        <x:f>IF(F395="","UNKNOWN",IF(F395&lt;'WELL INPUTS'!$B$11,"BELOW","OK"))</x:f>
        <x:v>OK</x:v>
      </x:c>
      <x:c r="M395" t="str">
        <x:f>IF(AND('WELL INPUTS'!$B$4="Wet",'WELL INPUTS'!$B$5&gt;0),IF(I395="Yes","CATALOG SOUR","NOT LISTED"),"N/A")</x:f>
        <x:v>N/A</x:v>
      </x:c>
      <x:c r="N395" t="str">
        <x:f>IF(AND('WELL INPUTS'!$B$4="Wet",'WELL INPUTS'!$B$6&gt;0),IF(J395="Yes","ALLOY FAMILY","CORROSION CONTROL"),"N/A")</x:f>
        <x:v>CORROSION CONTROL</x:v>
      </x:c>
      <x:c r="O395" t="str">
        <x:f>IF('WELL INPUTS'!$B$12="Yes",IF(G395="Yes","CLAIMED","NOT LISTED"),"N/A")</x:f>
        <x:v>N/A</x:v>
      </x:c>
      <x:c r="P395" t="str">
        <x:f>IF(OR('WELL INPUTS'!$B$13="Unrestricted",CODE(H395)&lt;=CODE('WELL INPUTS'!$B$13)),"WITHIN TIER","OVER CAP")</x:f>
        <x:v>WITHIN TIER</x:v>
      </x:c>
      <x:c r="Q395" t="n">
        <x:f>MAX(0,MIN(100,43+IF(L395="OK",14,-20)+IF(M395="CATALOG SOUR",24,IF(M395="NOT LISTED",-18,0))+IF(N395="ALLOY FAMILY",14,IF(N395="CORROSION CONTROL",-13,0))+IF(O395="CLAIMED",17,IF(O395="NOT LISTED",-14,0))+IF(K395="Yes",-15,0)+IF('WELL INPUTS'!$B$10="Yes",-17,0)))</x:f>
        <x:v>44</x:v>
      </x:c>
      <x:c r="R395" s="83" t="str">
        <x:f>IF(L395="BELOW","EXCLUDE — STRENGTH",IF(P395="OVER CAP","EXCLUDE — COST",IF(K395="Yes",IF('WELL INPUTS'!$B$14="No","EXCLUDE — REFERENCE","REFERENCE ONLY"),IF(OR(L395="UNKNOWN",M395="NOT LISTED",N395="CORROSION CONTROL",O395="NOT LISTED",'WELL INPUTS'!$B$10="Yes",'WELL INPUTS'!$B$4="Unknown"),"REVIEW","CANDIDATE — VERIFY"))))</x:f>
        <x:v>REVIEW</x:v>
      </x:c>
      <x:c r="S395" t="str">
        <x:f>IF(L395="BELOW","Increase minimum grade strength",IF(P395="OVER CAP","Relax cost tier or exclude",IF(K395="Yes","Identify qualified manufacturer grade",IF(M395="NOT LISTED","Confirm sour-service claim and ISO 15156",IF(O395="NOT LISTED","Obtain manufacturer collapse curve",IF(N395="CORROSION CONTROL","Model CO2 corrosion; review inhibition","Confirm corrosion, cracking, loads and connection"))))))</x:f>
        <x:v>Model CO2 corrosion; review inhibition</x:v>
      </x:c>
      <x:c r="T395" t="str">
        <x:v>https://www.seahsteel.co.kr/eng/application/oil-gas.asp</x:v>
      </x:c>
    </x:row>
    <x:row r="396" ht="23" customHeight="1">
      <x:c r="A396" t="str">
        <x:v>OCTG-0395</x:v>
      </x:c>
      <x:c r="B396" t="str">
        <x:v>SeAH Steel</x:v>
      </x:c>
      <x:c r="C396" t="str">
        <x:v>SeAH90</x:v>
      </x:c>
      <x:c r="D396" t="str">
        <x:v>Carbon / low alloy</x:v>
      </x:c>
      <x:c r="E396" t="str">
        <x:v>SeAH proprietary OCTG grade (service to be verified)</x:v>
      </x:c>
      <x:c r="F396" s="82" t="n">
        <x:v>90</x:v>
      </x:c>
      <x:c r="G396" t="str">
        <x:v>No</x:v>
      </x:c>
      <x:c r="H396" t="str">
        <x:v>A</x:v>
      </x:c>
      <x:c r="I396" t="str">
        <x:v>No</x:v>
      </x:c>
      <x:c r="J396" t="str">
        <x:v>No</x:v>
      </x:c>
      <x:c r="K396" t="str">
        <x:v>No</x:v>
      </x:c>
      <x:c r="L396" t="str">
        <x:f>IF(F396="","UNKNOWN",IF(F396&lt;'WELL INPUTS'!$B$11,"BELOW","OK"))</x:f>
        <x:v>OK</x:v>
      </x:c>
      <x:c r="M396" t="str">
        <x:f>IF(AND('WELL INPUTS'!$B$4="Wet",'WELL INPUTS'!$B$5&gt;0),IF(I396="Yes","CATALOG SOUR","NOT LISTED"),"N/A")</x:f>
        <x:v>N/A</x:v>
      </x:c>
      <x:c r="N396" t="str">
        <x:f>IF(AND('WELL INPUTS'!$B$4="Wet",'WELL INPUTS'!$B$6&gt;0),IF(J396="Yes","ALLOY FAMILY","CORROSION CONTROL"),"N/A")</x:f>
        <x:v>CORROSION CONTROL</x:v>
      </x:c>
      <x:c r="O396" t="str">
        <x:f>IF('WELL INPUTS'!$B$12="Yes",IF(G396="Yes","CLAIMED","NOT LISTED"),"N/A")</x:f>
        <x:v>N/A</x:v>
      </x:c>
      <x:c r="P396" t="str">
        <x:f>IF(OR('WELL INPUTS'!$B$13="Unrestricted",CODE(H396)&lt;=CODE('WELL INPUTS'!$B$13)),"WITHIN TIER","OVER CAP")</x:f>
        <x:v>WITHIN TIER</x:v>
      </x:c>
      <x:c r="Q396" t="n">
        <x:f>MAX(0,MIN(100,43+IF(L396="OK",14,-20)+IF(M396="CATALOG SOUR",24,IF(M396="NOT LISTED",-18,0))+IF(N396="ALLOY FAMILY",14,IF(N396="CORROSION CONTROL",-13,0))+IF(O396="CLAIMED",17,IF(O396="NOT LISTED",-14,0))+IF(K396="Yes",-15,0)+IF('WELL INPUTS'!$B$10="Yes",-17,0)))</x:f>
        <x:v>44</x:v>
      </x:c>
      <x:c r="R396" s="83" t="str">
        <x:f>IF(L396="BELOW","EXCLUDE — STRENGTH",IF(P396="OVER CAP","EXCLUDE — COST",IF(K396="Yes",IF('WELL INPUTS'!$B$14="No","EXCLUDE — REFERENCE","REFERENCE ONLY"),IF(OR(L396="UNKNOWN",M396="NOT LISTED",N396="CORROSION CONTROL",O396="NOT LISTED",'WELL INPUTS'!$B$10="Yes",'WELL INPUTS'!$B$4="Unknown"),"REVIEW","CANDIDATE — VERIFY"))))</x:f>
        <x:v>REVIEW</x:v>
      </x:c>
      <x:c r="S396" t="str">
        <x:f>IF(L396="BELOW","Increase minimum grade strength",IF(P396="OVER CAP","Relax cost tier or exclude",IF(K396="Yes","Identify qualified manufacturer grade",IF(M396="NOT LISTED","Confirm sour-service claim and ISO 15156",IF(O396="NOT LISTED","Obtain manufacturer collapse curve",IF(N396="CORROSION CONTROL","Model CO2 corrosion; review inhibition","Confirm corrosion, cracking, loads and connection"))))))</x:f>
        <x:v>Model CO2 corrosion; review inhibition</x:v>
      </x:c>
      <x:c r="T396" t="str">
        <x:v>https://www.seahsteel.co.kr/eng/application/oil-gas.asp</x:v>
      </x:c>
    </x:row>
    <x:row r="397" ht="23" customHeight="1">
      <x:c r="A397" t="str">
        <x:v>OCTG-0396</x:v>
      </x:c>
      <x:c r="B397" t="str">
        <x:v>TMK</x:v>
      </x:c>
      <x:c r="C397" t="str">
        <x:v>I-80</x:v>
      </x:c>
      <x:c r="D397" t="str">
        <x:v>Carbon / low alloy</x:v>
      </x:c>
      <x:c r="E397" t="str">
        <x:v>High strength or manufacturer proprietary mild-sour grade</x:v>
      </x:c>
      <x:c r="F397" s="82" t="n">
        <x:v>80</x:v>
      </x:c>
      <x:c r="G397" t="str">
        <x:v>No</x:v>
      </x:c>
      <x:c r="H397" t="str">
        <x:v>A</x:v>
      </x:c>
      <x:c r="I397" t="str">
        <x:v>Yes</x:v>
      </x:c>
      <x:c r="J397" t="str">
        <x:v>No</x:v>
      </x:c>
      <x:c r="K397" t="str">
        <x:v>No</x:v>
      </x:c>
      <x:c r="L397" t="str">
        <x:f>IF(F397="","UNKNOWN",IF(F397&lt;'WELL INPUTS'!$B$11,"BELOW","OK"))</x:f>
        <x:v>OK</x:v>
      </x:c>
      <x:c r="M397" t="str">
        <x:f>IF(AND('WELL INPUTS'!$B$4="Wet",'WELL INPUTS'!$B$5&gt;0),IF(I397="Yes","CATALOG SOUR","NOT LISTED"),"N/A")</x:f>
        <x:v>N/A</x:v>
      </x:c>
      <x:c r="N397" t="str">
        <x:f>IF(AND('WELL INPUTS'!$B$4="Wet",'WELL INPUTS'!$B$6&gt;0),IF(J397="Yes","ALLOY FAMILY","CORROSION CONTROL"),"N/A")</x:f>
        <x:v>CORROSION CONTROL</x:v>
      </x:c>
      <x:c r="O397" t="str">
        <x:f>IF('WELL INPUTS'!$B$12="Yes",IF(G397="Yes","CLAIMED","NOT LISTED"),"N/A")</x:f>
        <x:v>N/A</x:v>
      </x:c>
      <x:c r="P397" t="str">
        <x:f>IF(OR('WELL INPUTS'!$B$13="Unrestricted",CODE(H397)&lt;=CODE('WELL INPUTS'!$B$13)),"WITHIN TIER","OVER CAP")</x:f>
        <x:v>WITHIN TIER</x:v>
      </x:c>
      <x:c r="Q397" t="n">
        <x:f>MAX(0,MIN(100,43+IF(L397="OK",14,-20)+IF(M397="CATALOG SOUR",24,IF(M397="NOT LISTED",-18,0))+IF(N397="ALLOY FAMILY",14,IF(N397="CORROSION CONTROL",-13,0))+IF(O397="CLAIMED",17,IF(O397="NOT LISTED",-14,0))+IF(K397="Yes",-15,0)+IF('WELL INPUTS'!$B$10="Yes",-17,0)))</x:f>
        <x:v>44</x:v>
      </x:c>
      <x:c r="R397" s="83" t="str">
        <x:f>IF(L397="BELOW","EXCLUDE — STRENGTH",IF(P397="OVER CAP","EXCLUDE — COST",IF(K397="Yes",IF('WELL INPUTS'!$B$14="No","EXCLUDE — REFERENCE","REFERENCE ONLY"),IF(OR(L397="UNKNOWN",M397="NOT LISTED",N397="CORROSION CONTROL",O397="NOT LISTED",'WELL INPUTS'!$B$10="Yes",'WELL INPUTS'!$B$4="Unknown"),"REVIEW","CANDIDATE — VERIFY"))))</x:f>
        <x:v>REVIEW</x:v>
      </x:c>
      <x:c r="S397" t="str">
        <x:f>IF(L397="BELOW","Increase minimum grade strength",IF(P397="OVER CAP","Relax cost tier or exclude",IF(K397="Yes","Identify qualified manufacturer grade",IF(M397="NOT LISTED","Confirm sour-service claim and ISO 15156",IF(O397="NOT LISTED","Obtain manufacturer collapse curve",IF(N397="CORROSION CONTROL","Model CO2 corrosion; review inhibition","Confirm corrosion, cracking, loads and connection"))))))</x:f>
        <x:v>Model CO2 corrosion; review inhibition</x:v>
      </x:c>
      <x:c r="T397" t="str">
        <x:v>https://www.tmk-group.com/media_en/files/292/65/Presentation_CMD1014.pdf</x:v>
      </x:c>
    </x:row>
    <x:row r="398" ht="23" customHeight="1">
      <x:c r="A398" t="str">
        <x:v>OCTG-0397</x:v>
      </x:c>
      <x:c r="B398" t="str">
        <x:v>TMK</x:v>
      </x:c>
      <x:c r="C398" t="str">
        <x:v>I-80MS1</x:v>
      </x:c>
      <x:c r="D398" t="str">
        <x:v>Carbon / low alloy</x:v>
      </x:c>
      <x:c r="E398" t="str">
        <x:v>High strength or manufacturer proprietary mild-sour grade</x:v>
      </x:c>
      <x:c r="F398" s="82" t="n">
        <x:v>80</x:v>
      </x:c>
      <x:c r="G398" t="str">
        <x:v>No</x:v>
      </x:c>
      <x:c r="H398" t="str">
        <x:v>A</x:v>
      </x:c>
      <x:c r="I398" t="str">
        <x:v>Yes</x:v>
      </x:c>
      <x:c r="J398" t="str">
        <x:v>No</x:v>
      </x:c>
      <x:c r="K398" t="str">
        <x:v>No</x:v>
      </x:c>
      <x:c r="L398" t="str">
        <x:f>IF(F398="","UNKNOWN",IF(F398&lt;'WELL INPUTS'!$B$11,"BELOW","OK"))</x:f>
        <x:v>OK</x:v>
      </x:c>
      <x:c r="M398" t="str">
        <x:f>IF(AND('WELL INPUTS'!$B$4="Wet",'WELL INPUTS'!$B$5&gt;0),IF(I398="Yes","CATALOG SOUR","NOT LISTED"),"N/A")</x:f>
        <x:v>N/A</x:v>
      </x:c>
      <x:c r="N398" t="str">
        <x:f>IF(AND('WELL INPUTS'!$B$4="Wet",'WELL INPUTS'!$B$6&gt;0),IF(J398="Yes","ALLOY FAMILY","CORROSION CONTROL"),"N/A")</x:f>
        <x:v>CORROSION CONTROL</x:v>
      </x:c>
      <x:c r="O398" t="str">
        <x:f>IF('WELL INPUTS'!$B$12="Yes",IF(G398="Yes","CLAIMED","NOT LISTED"),"N/A")</x:f>
        <x:v>N/A</x:v>
      </x:c>
      <x:c r="P398" t="str">
        <x:f>IF(OR('WELL INPUTS'!$B$13="Unrestricted",CODE(H398)&lt;=CODE('WELL INPUTS'!$B$13)),"WITHIN TIER","OVER CAP")</x:f>
        <x:v>WITHIN TIER</x:v>
      </x:c>
      <x:c r="Q398" t="n">
        <x:f>MAX(0,MIN(100,43+IF(L398="OK",14,-20)+IF(M398="CATALOG SOUR",24,IF(M398="NOT LISTED",-18,0))+IF(N398="ALLOY FAMILY",14,IF(N398="CORROSION CONTROL",-13,0))+IF(O398="CLAIMED",17,IF(O398="NOT LISTED",-14,0))+IF(K398="Yes",-15,0)+IF('WELL INPUTS'!$B$10="Yes",-17,0)))</x:f>
        <x:v>44</x:v>
      </x:c>
      <x:c r="R398" s="83" t="str">
        <x:f>IF(L398="BELOW","EXCLUDE — STRENGTH",IF(P398="OVER CAP","EXCLUDE — COST",IF(K398="Yes",IF('WELL INPUTS'!$B$14="No","EXCLUDE — REFERENCE","REFERENCE ONLY"),IF(OR(L398="UNKNOWN",M398="NOT LISTED",N398="CORROSION CONTROL",O398="NOT LISTED",'WELL INPUTS'!$B$10="Yes",'WELL INPUTS'!$B$4="Unknown"),"REVIEW","CANDIDATE — VERIFY"))))</x:f>
        <x:v>REVIEW</x:v>
      </x:c>
      <x:c r="S398" t="str">
        <x:f>IF(L398="BELOW","Increase minimum grade strength",IF(P398="OVER CAP","Relax cost tier or exclude",IF(K398="Yes","Identify qualified manufacturer grade",IF(M398="NOT LISTED","Confirm sour-service claim and ISO 15156",IF(O398="NOT LISTED","Obtain manufacturer collapse curve",IF(N398="CORROSION CONTROL","Model CO2 corrosion; review inhibition","Confirm corrosion, cracking, loads and connection"))))))</x:f>
        <x:v>Model CO2 corrosion; review inhibition</x:v>
      </x:c>
      <x:c r="T398" t="str">
        <x:v>https://www.tmk-group.com/media_en/files/292/65/Presentation_CMD1014.pdf</x:v>
      </x:c>
    </x:row>
    <x:row r="399" ht="23" customHeight="1">
      <x:c r="A399" t="str">
        <x:v>OCTG-0398</x:v>
      </x:c>
      <x:c r="B399" t="str">
        <x:v>TMK</x:v>
      </x:c>
      <x:c r="C399" t="str">
        <x:v>I-95</x:v>
      </x:c>
      <x:c r="D399" t="str">
        <x:v>Carbon / low alloy</x:v>
      </x:c>
      <x:c r="E399" t="str">
        <x:v>High strength or manufacturer proprietary mild-sour grade</x:v>
      </x:c>
      <x:c r="F399" s="82" t="n">
        <x:v>95</x:v>
      </x:c>
      <x:c r="G399" t="str">
        <x:v>No</x:v>
      </x:c>
      <x:c r="H399" t="str">
        <x:v>A</x:v>
      </x:c>
      <x:c r="I399" t="str">
        <x:v>Yes</x:v>
      </x:c>
      <x:c r="J399" t="str">
        <x:v>No</x:v>
      </x:c>
      <x:c r="K399" t="str">
        <x:v>No</x:v>
      </x:c>
      <x:c r="L399" t="str">
        <x:f>IF(F399="","UNKNOWN",IF(F399&lt;'WELL INPUTS'!$B$11,"BELOW","OK"))</x:f>
        <x:v>OK</x:v>
      </x:c>
      <x:c r="M399" t="str">
        <x:f>IF(AND('WELL INPUTS'!$B$4="Wet",'WELL INPUTS'!$B$5&gt;0),IF(I399="Yes","CATALOG SOUR","NOT LISTED"),"N/A")</x:f>
        <x:v>N/A</x:v>
      </x:c>
      <x:c r="N399" t="str">
        <x:f>IF(AND('WELL INPUTS'!$B$4="Wet",'WELL INPUTS'!$B$6&gt;0),IF(J399="Yes","ALLOY FAMILY","CORROSION CONTROL"),"N/A")</x:f>
        <x:v>CORROSION CONTROL</x:v>
      </x:c>
      <x:c r="O399" t="str">
        <x:f>IF('WELL INPUTS'!$B$12="Yes",IF(G399="Yes","CLAIMED","NOT LISTED"),"N/A")</x:f>
        <x:v>N/A</x:v>
      </x:c>
      <x:c r="P399" t="str">
        <x:f>IF(OR('WELL INPUTS'!$B$13="Unrestricted",CODE(H399)&lt;=CODE('WELL INPUTS'!$B$13)),"WITHIN TIER","OVER CAP")</x:f>
        <x:v>WITHIN TIER</x:v>
      </x:c>
      <x:c r="Q399" t="n">
        <x:f>MAX(0,MIN(100,43+IF(L399="OK",14,-20)+IF(M399="CATALOG SOUR",24,IF(M399="NOT LISTED",-18,0))+IF(N399="ALLOY FAMILY",14,IF(N399="CORROSION CONTROL",-13,0))+IF(O399="CLAIMED",17,IF(O399="NOT LISTED",-14,0))+IF(K399="Yes",-15,0)+IF('WELL INPUTS'!$B$10="Yes",-17,0)))</x:f>
        <x:v>44</x:v>
      </x:c>
      <x:c r="R399" s="83" t="str">
        <x:f>IF(L399="BELOW","EXCLUDE — STRENGTH",IF(P399="OVER CAP","EXCLUDE — COST",IF(K399="Yes",IF('WELL INPUTS'!$B$14="No","EXCLUDE — REFERENCE","REFERENCE ONLY"),IF(OR(L399="UNKNOWN",M399="NOT LISTED",N399="CORROSION CONTROL",O399="NOT LISTED",'WELL INPUTS'!$B$10="Yes",'WELL INPUTS'!$B$4="Unknown"),"REVIEW","CANDIDATE — VERIFY"))))</x:f>
        <x:v>REVIEW</x:v>
      </x:c>
      <x:c r="S399" t="str">
        <x:f>IF(L399="BELOW","Increase minimum grade strength",IF(P399="OVER CAP","Relax cost tier or exclude",IF(K399="Yes","Identify qualified manufacturer grade",IF(M399="NOT LISTED","Confirm sour-service claim and ISO 15156",IF(O399="NOT LISTED","Obtain manufacturer collapse curve",IF(N399="CORROSION CONTROL","Model CO2 corrosion; review inhibition","Confirm corrosion, cracking, loads and connection"))))))</x:f>
        <x:v>Model CO2 corrosion; review inhibition</x:v>
      </x:c>
      <x:c r="T399" t="str">
        <x:v>https://www.tmk-group.com/media_en/files/292/65/Presentation_CMD1014.pdf</x:v>
      </x:c>
    </x:row>
    <x:row r="400" ht="23" customHeight="1">
      <x:c r="A400" t="str">
        <x:v>OCTG-0399</x:v>
      </x:c>
      <x:c r="B400" t="str">
        <x:v>TMK</x:v>
      </x:c>
      <x:c r="C400" t="str">
        <x:v>TMK 140</x:v>
      </x:c>
      <x:c r="D400" t="str">
        <x:v>Carbon / low alloy</x:v>
      </x:c>
      <x:c r="E400" t="str">
        <x:v>High strength or manufacturer proprietary mild-sour grade</x:v>
      </x:c>
      <x:c r="F400" s="82" t="n">
        <x:v>140</x:v>
      </x:c>
      <x:c r="G400" t="str">
        <x:v>No</x:v>
      </x:c>
      <x:c r="H400" t="str">
        <x:v>A</x:v>
      </x:c>
      <x:c r="I400" t="str">
        <x:v>Yes</x:v>
      </x:c>
      <x:c r="J400" t="str">
        <x:v>No</x:v>
      </x:c>
      <x:c r="K400" t="str">
        <x:v>No</x:v>
      </x:c>
      <x:c r="L400" t="str">
        <x:f>IF(F400="","UNKNOWN",IF(F400&lt;'WELL INPUTS'!$B$11,"BELOW","OK"))</x:f>
        <x:v>OK</x:v>
      </x:c>
      <x:c r="M400" t="str">
        <x:f>IF(AND('WELL INPUTS'!$B$4="Wet",'WELL INPUTS'!$B$5&gt;0),IF(I400="Yes","CATALOG SOUR","NOT LISTED"),"N/A")</x:f>
        <x:v>N/A</x:v>
      </x:c>
      <x:c r="N400" t="str">
        <x:f>IF(AND('WELL INPUTS'!$B$4="Wet",'WELL INPUTS'!$B$6&gt;0),IF(J400="Yes","ALLOY FAMILY","CORROSION CONTROL"),"N/A")</x:f>
        <x:v>CORROSION CONTROL</x:v>
      </x:c>
      <x:c r="O400" t="str">
        <x:f>IF('WELL INPUTS'!$B$12="Yes",IF(G400="Yes","CLAIMED","NOT LISTED"),"N/A")</x:f>
        <x:v>N/A</x:v>
      </x:c>
      <x:c r="P400" t="str">
        <x:f>IF(OR('WELL INPUTS'!$B$13="Unrestricted",CODE(H400)&lt;=CODE('WELL INPUTS'!$B$13)),"WITHIN TIER","OVER CAP")</x:f>
        <x:v>WITHIN TIER</x:v>
      </x:c>
      <x:c r="Q400" t="n">
        <x:f>MAX(0,MIN(100,43+IF(L400="OK",14,-20)+IF(M400="CATALOG SOUR",24,IF(M400="NOT LISTED",-18,0))+IF(N400="ALLOY FAMILY",14,IF(N400="CORROSION CONTROL",-13,0))+IF(O400="CLAIMED",17,IF(O400="NOT LISTED",-14,0))+IF(K400="Yes",-15,0)+IF('WELL INPUTS'!$B$10="Yes",-17,0)))</x:f>
        <x:v>44</x:v>
      </x:c>
      <x:c r="R400" s="83" t="str">
        <x:f>IF(L400="BELOW","EXCLUDE — STRENGTH",IF(P400="OVER CAP","EXCLUDE — COST",IF(K400="Yes",IF('WELL INPUTS'!$B$14="No","EXCLUDE — REFERENCE","REFERENCE ONLY"),IF(OR(L400="UNKNOWN",M400="NOT LISTED",N400="CORROSION CONTROL",O400="NOT LISTED",'WELL INPUTS'!$B$10="Yes",'WELL INPUTS'!$B$4="Unknown"),"REVIEW","CANDIDATE — VERIFY"))))</x:f>
        <x:v>REVIEW</x:v>
      </x:c>
      <x:c r="S400" t="str">
        <x:f>IF(L400="BELOW","Increase minimum grade strength",IF(P400="OVER CAP","Relax cost tier or exclude",IF(K400="Yes","Identify qualified manufacturer grade",IF(M400="NOT LISTED","Confirm sour-service claim and ISO 15156",IF(O400="NOT LISTED","Obtain manufacturer collapse curve",IF(N400="CORROSION CONTROL","Model CO2 corrosion; review inhibition","Confirm corrosion, cracking, loads and connection"))))))</x:f>
        <x:v>Model CO2 corrosion; review inhibition</x:v>
      </x:c>
      <x:c r="T400" t="str">
        <x:v>https://www.tmk-group.com/media_en/files/292/65/Presentation_CMD1014.pdf</x:v>
      </x:c>
    </x:row>
    <x:row r="401" ht="23" customHeight="1">
      <x:c r="A401" t="str">
        <x:v>OCTG-0400</x:v>
      </x:c>
      <x:c r="B401" t="str">
        <x:v>TMK</x:v>
      </x:c>
      <x:c r="C401" t="str">
        <x:v>TMK 150</x:v>
      </x:c>
      <x:c r="D401" t="str">
        <x:v>Carbon / low alloy</x:v>
      </x:c>
      <x:c r="E401" t="str">
        <x:v>High strength or manufacturer proprietary mild-sour grade</x:v>
      </x:c>
      <x:c r="F401" s="82" t="n">
        <x:v>150</x:v>
      </x:c>
      <x:c r="G401" t="str">
        <x:v>No</x:v>
      </x:c>
      <x:c r="H401" t="str">
        <x:v>A</x:v>
      </x:c>
      <x:c r="I401" t="str">
        <x:v>Yes</x:v>
      </x:c>
      <x:c r="J401" t="str">
        <x:v>No</x:v>
      </x:c>
      <x:c r="K401" t="str">
        <x:v>No</x:v>
      </x:c>
      <x:c r="L401" t="str">
        <x:f>IF(F401="","UNKNOWN",IF(F401&lt;'WELL INPUTS'!$B$11,"BELOW","OK"))</x:f>
        <x:v>OK</x:v>
      </x:c>
      <x:c r="M401" t="str">
        <x:f>IF(AND('WELL INPUTS'!$B$4="Wet",'WELL INPUTS'!$B$5&gt;0),IF(I401="Yes","CATALOG SOUR","NOT LISTED"),"N/A")</x:f>
        <x:v>N/A</x:v>
      </x:c>
      <x:c r="N401" t="str">
        <x:f>IF(AND('WELL INPUTS'!$B$4="Wet",'WELL INPUTS'!$B$6&gt;0),IF(J401="Yes","ALLOY FAMILY","CORROSION CONTROL"),"N/A")</x:f>
        <x:v>CORROSION CONTROL</x:v>
      </x:c>
      <x:c r="O401" t="str">
        <x:f>IF('WELL INPUTS'!$B$12="Yes",IF(G401="Yes","CLAIMED","NOT LISTED"),"N/A")</x:f>
        <x:v>N/A</x:v>
      </x:c>
      <x:c r="P401" t="str">
        <x:f>IF(OR('WELL INPUTS'!$B$13="Unrestricted",CODE(H401)&lt;=CODE('WELL INPUTS'!$B$13)),"WITHIN TIER","OVER CAP")</x:f>
        <x:v>WITHIN TIER</x:v>
      </x:c>
      <x:c r="Q401" t="n">
        <x:f>MAX(0,MIN(100,43+IF(L401="OK",14,-20)+IF(M401="CATALOG SOUR",24,IF(M401="NOT LISTED",-18,0))+IF(N401="ALLOY FAMILY",14,IF(N401="CORROSION CONTROL",-13,0))+IF(O401="CLAIMED",17,IF(O401="NOT LISTED",-14,0))+IF(K401="Yes",-15,0)+IF('WELL INPUTS'!$B$10="Yes",-17,0)))</x:f>
        <x:v>44</x:v>
      </x:c>
      <x:c r="R401" s="83" t="str">
        <x:f>IF(L401="BELOW","EXCLUDE — STRENGTH",IF(P401="OVER CAP","EXCLUDE — COST",IF(K401="Yes",IF('WELL INPUTS'!$B$14="No","EXCLUDE — REFERENCE","REFERENCE ONLY"),IF(OR(L401="UNKNOWN",M401="NOT LISTED",N401="CORROSION CONTROL",O401="NOT LISTED",'WELL INPUTS'!$B$10="Yes",'WELL INPUTS'!$B$4="Unknown"),"REVIEW","CANDIDATE — VERIFY"))))</x:f>
        <x:v>REVIEW</x:v>
      </x:c>
      <x:c r="S401" t="str">
        <x:f>IF(L401="BELOW","Increase minimum grade strength",IF(P401="OVER CAP","Relax cost tier or exclude",IF(K401="Yes","Identify qualified manufacturer grade",IF(M401="NOT LISTED","Confirm sour-service claim and ISO 15156",IF(O401="NOT LISTED","Obtain manufacturer collapse curve",IF(N401="CORROSION CONTROL","Model CO2 corrosion; review inhibition","Confirm corrosion, cracking, loads and connection"))))))</x:f>
        <x:v>Model CO2 corrosion; review inhibition</x:v>
      </x:c>
      <x:c r="T401" t="str">
        <x:v>https://www.tmk-group.com/media_en/files/292/65/Presentation_CMD1014.pdf</x:v>
      </x:c>
    </x:row>
    <x:row r="402" ht="23" customHeight="1">
      <x:c r="A402" t="str">
        <x:v>OCTG-0401</x:v>
      </x:c>
      <x:c r="B402" t="str">
        <x:v>TMK</x:v>
      </x:c>
      <x:c r="C402" t="str">
        <x:v>TMK P110MS1</x:v>
      </x:c>
      <x:c r="D402" t="str">
        <x:v>Carbon / low alloy</x:v>
      </x:c>
      <x:c r="E402" t="str">
        <x:v>High strength or manufacturer proprietary mild-sour grade</x:v>
      </x:c>
      <x:c r="F402" s="82" t="n">
        <x:v>110</x:v>
      </x:c>
      <x:c r="G402" t="str">
        <x:v>No</x:v>
      </x:c>
      <x:c r="H402" t="str">
        <x:v>A</x:v>
      </x:c>
      <x:c r="I402" t="str">
        <x:v>Yes</x:v>
      </x:c>
      <x:c r="J402" t="str">
        <x:v>No</x:v>
      </x:c>
      <x:c r="K402" t="str">
        <x:v>No</x:v>
      </x:c>
      <x:c r="L402" t="str">
        <x:f>IF(F402="","UNKNOWN",IF(F402&lt;'WELL INPUTS'!$B$11,"BELOW","OK"))</x:f>
        <x:v>OK</x:v>
      </x:c>
      <x:c r="M402" t="str">
        <x:f>IF(AND('WELL INPUTS'!$B$4="Wet",'WELL INPUTS'!$B$5&gt;0),IF(I402="Yes","CATALOG SOUR","NOT LISTED"),"N/A")</x:f>
        <x:v>N/A</x:v>
      </x:c>
      <x:c r="N402" t="str">
        <x:f>IF(AND('WELL INPUTS'!$B$4="Wet",'WELL INPUTS'!$B$6&gt;0),IF(J402="Yes","ALLOY FAMILY","CORROSION CONTROL"),"N/A")</x:f>
        <x:v>CORROSION CONTROL</x:v>
      </x:c>
      <x:c r="O402" t="str">
        <x:f>IF('WELL INPUTS'!$B$12="Yes",IF(G402="Yes","CLAIMED","NOT LISTED"),"N/A")</x:f>
        <x:v>N/A</x:v>
      </x:c>
      <x:c r="P402" t="str">
        <x:f>IF(OR('WELL INPUTS'!$B$13="Unrestricted",CODE(H402)&lt;=CODE('WELL INPUTS'!$B$13)),"WITHIN TIER","OVER CAP")</x:f>
        <x:v>WITHIN TIER</x:v>
      </x:c>
      <x:c r="Q402" t="n">
        <x:f>MAX(0,MIN(100,43+IF(L402="OK",14,-20)+IF(M402="CATALOG SOUR",24,IF(M402="NOT LISTED",-18,0))+IF(N402="ALLOY FAMILY",14,IF(N402="CORROSION CONTROL",-13,0))+IF(O402="CLAIMED",17,IF(O402="NOT LISTED",-14,0))+IF(K402="Yes",-15,0)+IF('WELL INPUTS'!$B$10="Yes",-17,0)))</x:f>
        <x:v>44</x:v>
      </x:c>
      <x:c r="R402" s="83" t="str">
        <x:f>IF(L402="BELOW","EXCLUDE — STRENGTH",IF(P402="OVER CAP","EXCLUDE — COST",IF(K402="Yes",IF('WELL INPUTS'!$B$14="No","EXCLUDE — REFERENCE","REFERENCE ONLY"),IF(OR(L402="UNKNOWN",M402="NOT LISTED",N402="CORROSION CONTROL",O402="NOT LISTED",'WELL INPUTS'!$B$10="Yes",'WELL INPUTS'!$B$4="Unknown"),"REVIEW","CANDIDATE — VERIFY"))))</x:f>
        <x:v>REVIEW</x:v>
      </x:c>
      <x:c r="S402" t="str">
        <x:f>IF(L402="BELOW","Increase minimum grade strength",IF(P402="OVER CAP","Relax cost tier or exclude",IF(K402="Yes","Identify qualified manufacturer grade",IF(M402="NOT LISTED","Confirm sour-service claim and ISO 15156",IF(O402="NOT LISTED","Obtain manufacturer collapse curve",IF(N402="CORROSION CONTROL","Model CO2 corrosion; review inhibition","Confirm corrosion, cracking, loads and connection"))))))</x:f>
        <x:v>Model CO2 corrosion; review inhibition</x:v>
      </x:c>
      <x:c r="T402" t="str">
        <x:v>https://www.tmk-group.com/media_en/files/292/65/Presentation_CMD1014.pdf</x:v>
      </x:c>
    </x:row>
    <x:row r="403" ht="23" customHeight="1">
      <x:c r="A403" t="str">
        <x:v>OCTG-0402</x:v>
      </x:c>
      <x:c r="B403" t="str">
        <x:v>TMK</x:v>
      </x:c>
      <x:c r="C403" t="str">
        <x:v>TMK P110MS2</x:v>
      </x:c>
      <x:c r="D403" t="str">
        <x:v>Carbon / low alloy</x:v>
      </x:c>
      <x:c r="E403" t="str">
        <x:v>High strength or manufacturer proprietary mild-sour grade</x:v>
      </x:c>
      <x:c r="F403" s="82" t="n">
        <x:v>110</x:v>
      </x:c>
      <x:c r="G403" t="str">
        <x:v>No</x:v>
      </x:c>
      <x:c r="H403" t="str">
        <x:v>A</x:v>
      </x:c>
      <x:c r="I403" t="str">
        <x:v>Yes</x:v>
      </x:c>
      <x:c r="J403" t="str">
        <x:v>No</x:v>
      </x:c>
      <x:c r="K403" t="str">
        <x:v>No</x:v>
      </x:c>
      <x:c r="L403" t="str">
        <x:f>IF(F403="","UNKNOWN",IF(F403&lt;'WELL INPUTS'!$B$11,"BELOW","OK"))</x:f>
        <x:v>OK</x:v>
      </x:c>
      <x:c r="M403" t="str">
        <x:f>IF(AND('WELL INPUTS'!$B$4="Wet",'WELL INPUTS'!$B$5&gt;0),IF(I403="Yes","CATALOG SOUR","NOT LISTED"),"N/A")</x:f>
        <x:v>N/A</x:v>
      </x:c>
      <x:c r="N403" t="str">
        <x:f>IF(AND('WELL INPUTS'!$B$4="Wet",'WELL INPUTS'!$B$6&gt;0),IF(J403="Yes","ALLOY FAMILY","CORROSION CONTROL"),"N/A")</x:f>
        <x:v>CORROSION CONTROL</x:v>
      </x:c>
      <x:c r="O403" t="str">
        <x:f>IF('WELL INPUTS'!$B$12="Yes",IF(G403="Yes","CLAIMED","NOT LISTED"),"N/A")</x:f>
        <x:v>N/A</x:v>
      </x:c>
      <x:c r="P403" t="str">
        <x:f>IF(OR('WELL INPUTS'!$B$13="Unrestricted",CODE(H403)&lt;=CODE('WELL INPUTS'!$B$13)),"WITHIN TIER","OVER CAP")</x:f>
        <x:v>WITHIN TIER</x:v>
      </x:c>
      <x:c r="Q403" t="n">
        <x:f>MAX(0,MIN(100,43+IF(L403="OK",14,-20)+IF(M403="CATALOG SOUR",24,IF(M403="NOT LISTED",-18,0))+IF(N403="ALLOY FAMILY",14,IF(N403="CORROSION CONTROL",-13,0))+IF(O403="CLAIMED",17,IF(O403="NOT LISTED",-14,0))+IF(K403="Yes",-15,0)+IF('WELL INPUTS'!$B$10="Yes",-17,0)))</x:f>
        <x:v>44</x:v>
      </x:c>
      <x:c r="R403" s="83" t="str">
        <x:f>IF(L403="BELOW","EXCLUDE — STRENGTH",IF(P403="OVER CAP","EXCLUDE — COST",IF(K403="Yes",IF('WELL INPUTS'!$B$14="No","EXCLUDE — REFERENCE","REFERENCE ONLY"),IF(OR(L403="UNKNOWN",M403="NOT LISTED",N403="CORROSION CONTROL",O403="NOT LISTED",'WELL INPUTS'!$B$10="Yes",'WELL INPUTS'!$B$4="Unknown"),"REVIEW","CANDIDATE — VERIFY"))))</x:f>
        <x:v>REVIEW</x:v>
      </x:c>
      <x:c r="S403" t="str">
        <x:f>IF(L403="BELOW","Increase minimum grade strength",IF(P403="OVER CAP","Relax cost tier or exclude",IF(K403="Yes","Identify qualified manufacturer grade",IF(M403="NOT LISTED","Confirm sour-service claim and ISO 15156",IF(O403="NOT LISTED","Obtain manufacturer collapse curve",IF(N403="CORROSION CONTROL","Model CO2 corrosion; review inhibition","Confirm corrosion, cracking, loads and connection"))))))</x:f>
        <x:v>Model CO2 corrosion; review inhibition</x:v>
      </x:c>
      <x:c r="T403" t="str">
        <x:v>https://www.tmk-group.com/media_en/files/292/65/Presentation_CMD1014.pdf</x:v>
      </x:c>
    </x:row>
    <x:row r="404" ht="23" customHeight="1">
      <x:c r="A404" t="str">
        <x:v>OCTG-0403</x:v>
      </x:c>
      <x:c r="B404" t="str">
        <x:v>Tianjin Pipe (TPCO)</x:v>
      </x:c>
      <x:c r="C404" t="str">
        <x:v>TP-High-collapse family</x:v>
      </x:c>
      <x:c r="D404" t="str">
        <x:v>Carbon / low alloy</x:v>
      </x:c>
      <x:c r="E404" t="str">
        <x:v>External pressure</x:v>
      </x:c>
      <x:c r="F404" s="82"/>
      <x:c r="G404" t="str">
        <x:v>Yes</x:v>
      </x:c>
      <x:c r="H404" t="str">
        <x:v>A</x:v>
      </x:c>
      <x:c r="I404" t="str">
        <x:v>No</x:v>
      </x:c>
      <x:c r="J404" t="str">
        <x:v>No</x:v>
      </x:c>
      <x:c r="K404" t="str">
        <x:v>No</x:v>
      </x:c>
      <x:c r="L404" t="str">
        <x:f>IF(F404="","UNKNOWN",IF(F404&lt;'WELL INPUTS'!$B$11,"BELOW","OK"))</x:f>
        <x:v>UNKNOWN</x:v>
      </x:c>
      <x:c r="M404" t="str">
        <x:f>IF(AND('WELL INPUTS'!$B$4="Wet",'WELL INPUTS'!$B$5&gt;0),IF(I404="Yes","CATALOG SOUR","NOT LISTED"),"N/A")</x:f>
        <x:v>N/A</x:v>
      </x:c>
      <x:c r="N404" t="str">
        <x:f>IF(AND('WELL INPUTS'!$B$4="Wet",'WELL INPUTS'!$B$6&gt;0),IF(J404="Yes","ALLOY FAMILY","CORROSION CONTROL"),"N/A")</x:f>
        <x:v>CORROSION CONTROL</x:v>
      </x:c>
      <x:c r="O404" t="str">
        <x:f>IF('WELL INPUTS'!$B$12="Yes",IF(G404="Yes","CLAIMED","NOT LISTED"),"N/A")</x:f>
        <x:v>N/A</x:v>
      </x:c>
      <x:c r="P404" t="str">
        <x:f>IF(OR('WELL INPUTS'!$B$13="Unrestricted",CODE(H404)&lt;=CODE('WELL INPUTS'!$B$13)),"WITHIN TIER","OVER CAP")</x:f>
        <x:v>WITHIN TIER</x:v>
      </x:c>
      <x:c r="Q404" t="n">
        <x:f>MAX(0,MIN(100,43+IF(L404="OK",14,-20)+IF(M404="CATALOG SOUR",24,IF(M404="NOT LISTED",-18,0))+IF(N404="ALLOY FAMILY",14,IF(N404="CORROSION CONTROL",-13,0))+IF(O404="CLAIMED",17,IF(O404="NOT LISTED",-14,0))+IF(K404="Yes",-15,0)+IF('WELL INPUTS'!$B$10="Yes",-17,0)))</x:f>
        <x:v>10</x:v>
      </x:c>
      <x:c r="R404" s="83" t="str">
        <x:f>IF(L404="BELOW","EXCLUDE — STRENGTH",IF(P404="OVER CAP","EXCLUDE — COST",IF(K404="Yes",IF('WELL INPUTS'!$B$14="No","EXCLUDE — REFERENCE","REFERENCE ONLY"),IF(OR(L404="UNKNOWN",M404="NOT LISTED",N404="CORROSION CONTROL",O404="NOT LISTED",'WELL INPUTS'!$B$10="Yes",'WELL INPUTS'!$B$4="Unknown"),"REVIEW","CANDIDATE — VERIFY"))))</x:f>
        <x:v>REVIEW</x:v>
      </x:c>
      <x:c r="S404" t="str">
        <x:f>IF(L404="BELOW","Increase minimum grade strength",IF(P404="OVER CAP","Relax cost tier or exclude",IF(K404="Yes","Identify qualified manufacturer grade",IF(M404="NOT LISTED","Confirm sour-service claim and ISO 15156",IF(O404="NOT LISTED","Obtain manufacturer collapse curve",IF(N404="CORROSION CONTROL","Model CO2 corrosion; review inhibition","Confirm corrosion, cracking, loads and connection"))))))</x:f>
        <x:v>Model CO2 corrosion; review inhibition</x:v>
      </x:c>
      <x:c r="T404" t="str">
        <x:v>https://www.tpco.com.cn/system/2017/08/30/014009466.shtml</x:v>
      </x:c>
    </x:row>
    <x:row r="405" ht="23" customHeight="1">
      <x:c r="A405" t="str">
        <x:v>OCTG-0404</x:v>
      </x:c>
      <x:c r="B405" t="str">
        <x:v>Tianjin Pipe (TPCO)</x:v>
      </x:c>
      <x:c r="C405" t="str">
        <x:v>TP-SS series (80–125 ksi)</x:v>
      </x:c>
      <x:c r="D405" t="str">
        <x:v>Carbon / low alloy</x:v>
      </x:c>
      <x:c r="E405" t="str">
        <x:v>Sour service; SSI/SSC tested; supplier range</x:v>
      </x:c>
      <x:c r="F405" s="82" t="n">
        <x:v>80</x:v>
      </x:c>
      <x:c r="G405" t="str">
        <x:v>No</x:v>
      </x:c>
      <x:c r="H405" t="str">
        <x:v>A</x:v>
      </x:c>
      <x:c r="I405" t="str">
        <x:v>Yes</x:v>
      </x:c>
      <x:c r="J405" t="str">
        <x:v>No</x:v>
      </x:c>
      <x:c r="K405" t="str">
        <x:v>No</x:v>
      </x:c>
      <x:c r="L405" t="str">
        <x:f>IF(F405="","UNKNOWN",IF(F405&lt;'WELL INPUTS'!$B$11,"BELOW","OK"))</x:f>
        <x:v>OK</x:v>
      </x:c>
      <x:c r="M405" t="str">
        <x:f>IF(AND('WELL INPUTS'!$B$4="Wet",'WELL INPUTS'!$B$5&gt;0),IF(I405="Yes","CATALOG SOUR","NOT LISTED"),"N/A")</x:f>
        <x:v>N/A</x:v>
      </x:c>
      <x:c r="N405" t="str">
        <x:f>IF(AND('WELL INPUTS'!$B$4="Wet",'WELL INPUTS'!$B$6&gt;0),IF(J405="Yes","ALLOY FAMILY","CORROSION CONTROL"),"N/A")</x:f>
        <x:v>CORROSION CONTROL</x:v>
      </x:c>
      <x:c r="O405" t="str">
        <x:f>IF('WELL INPUTS'!$B$12="Yes",IF(G405="Yes","CLAIMED","NOT LISTED"),"N/A")</x:f>
        <x:v>N/A</x:v>
      </x:c>
      <x:c r="P405" t="str">
        <x:f>IF(OR('WELL INPUTS'!$B$13="Unrestricted",CODE(H405)&lt;=CODE('WELL INPUTS'!$B$13)),"WITHIN TIER","OVER CAP")</x:f>
        <x:v>WITHIN TIER</x:v>
      </x:c>
      <x:c r="Q405" t="n">
        <x:f>MAX(0,MIN(100,43+IF(L405="OK",14,-20)+IF(M405="CATALOG SOUR",24,IF(M405="NOT LISTED",-18,0))+IF(N405="ALLOY FAMILY",14,IF(N405="CORROSION CONTROL",-13,0))+IF(O405="CLAIMED",17,IF(O405="NOT LISTED",-14,0))+IF(K405="Yes",-15,0)+IF('WELL INPUTS'!$B$10="Yes",-17,0)))</x:f>
        <x:v>44</x:v>
      </x:c>
      <x:c r="R405" s="83" t="str">
        <x:f>IF(L405="BELOW","EXCLUDE — STRENGTH",IF(P405="OVER CAP","EXCLUDE — COST",IF(K405="Yes",IF('WELL INPUTS'!$B$14="No","EXCLUDE — REFERENCE","REFERENCE ONLY"),IF(OR(L405="UNKNOWN",M405="NOT LISTED",N405="CORROSION CONTROL",O405="NOT LISTED",'WELL INPUTS'!$B$10="Yes",'WELL INPUTS'!$B$4="Unknown"),"REVIEW","CANDIDATE — VERIFY"))))</x:f>
        <x:v>REVIEW</x:v>
      </x:c>
      <x:c r="S405" t="str">
        <x:f>IF(L405="BELOW","Increase minimum grade strength",IF(P405="OVER CAP","Relax cost tier or exclude",IF(K405="Yes","Identify qualified manufacturer grade",IF(M405="NOT LISTED","Confirm sour-service claim and ISO 15156",IF(O405="NOT LISTED","Obtain manufacturer collapse curve",IF(N405="CORROSION CONTROL","Model CO2 corrosion; review inhibition","Confirm corrosion, cracking, loads and connection"))))))</x:f>
        <x:v>Model CO2 corrosion; review inhibition</x:v>
      </x:c>
      <x:c r="T405" t="str">
        <x:v>https://www.tpco.com.cn/system/2017/08/30/014009466.shtml</x:v>
      </x:c>
    </x:row>
    <x:row r="406" ht="23" customHeight="1">
      <x:c r="A406" t="str">
        <x:v>OCTG-0405</x:v>
      </x:c>
      <x:c r="B406" t="str">
        <x:v>Tianjin Pipe (TPCO)</x:v>
      </x:c>
      <x:c r="C406" t="str">
        <x:v>TP-Thermal-recovery family</x:v>
      </x:c>
      <x:c r="D406" t="str">
        <x:v>Carbon / low alloy</x:v>
      </x:c>
      <x:c r="E406" t="str">
        <x:v>Thermal wells, steam</x:v>
      </x:c>
      <x:c r="F406" s="82"/>
      <x:c r="G406" t="str">
        <x:v>No</x:v>
      </x:c>
      <x:c r="H406" t="str">
        <x:v>A</x:v>
      </x:c>
      <x:c r="I406" t="str">
        <x:v>No</x:v>
      </x:c>
      <x:c r="J406" t="str">
        <x:v>No</x:v>
      </x:c>
      <x:c r="K406" t="str">
        <x:v>No</x:v>
      </x:c>
      <x:c r="L406" t="str">
        <x:f>IF(F406="","UNKNOWN",IF(F406&lt;'WELL INPUTS'!$B$11,"BELOW","OK"))</x:f>
        <x:v>UNKNOWN</x:v>
      </x:c>
      <x:c r="M406" t="str">
        <x:f>IF(AND('WELL INPUTS'!$B$4="Wet",'WELL INPUTS'!$B$5&gt;0),IF(I406="Yes","CATALOG SOUR","NOT LISTED"),"N/A")</x:f>
        <x:v>N/A</x:v>
      </x:c>
      <x:c r="N406" t="str">
        <x:f>IF(AND('WELL INPUTS'!$B$4="Wet",'WELL INPUTS'!$B$6&gt;0),IF(J406="Yes","ALLOY FAMILY","CORROSION CONTROL"),"N/A")</x:f>
        <x:v>CORROSION CONTROL</x:v>
      </x:c>
      <x:c r="O406" t="str">
        <x:f>IF('WELL INPUTS'!$B$12="Yes",IF(G406="Yes","CLAIMED","NOT LISTED"),"N/A")</x:f>
        <x:v>N/A</x:v>
      </x:c>
      <x:c r="P406" t="str">
        <x:f>IF(OR('WELL INPUTS'!$B$13="Unrestricted",CODE(H406)&lt;=CODE('WELL INPUTS'!$B$13)),"WITHIN TIER","OVER CAP")</x:f>
        <x:v>WITHIN TIER</x:v>
      </x:c>
      <x:c r="Q406" t="n">
        <x:f>MAX(0,MIN(100,43+IF(L406="OK",14,-20)+IF(M406="CATALOG SOUR",24,IF(M406="NOT LISTED",-18,0))+IF(N406="ALLOY FAMILY",14,IF(N406="CORROSION CONTROL",-13,0))+IF(O406="CLAIMED",17,IF(O406="NOT LISTED",-14,0))+IF(K406="Yes",-15,0)+IF('WELL INPUTS'!$B$10="Yes",-17,0)))</x:f>
        <x:v>10</x:v>
      </x:c>
      <x:c r="R406" s="83" t="str">
        <x:f>IF(L406="BELOW","EXCLUDE — STRENGTH",IF(P406="OVER CAP","EXCLUDE — COST",IF(K406="Yes",IF('WELL INPUTS'!$B$14="No","EXCLUDE — REFERENCE","REFERENCE ONLY"),IF(OR(L406="UNKNOWN",M406="NOT LISTED",N406="CORROSION CONTROL",O406="NOT LISTED",'WELL INPUTS'!$B$10="Yes",'WELL INPUTS'!$B$4="Unknown"),"REVIEW","CANDIDATE — VERIFY"))))</x:f>
        <x:v>REVIEW</x:v>
      </x:c>
      <x:c r="S406" t="str">
        <x:f>IF(L406="BELOW","Increase minimum grade strength",IF(P406="OVER CAP","Relax cost tier or exclude",IF(K406="Yes","Identify qualified manufacturer grade",IF(M406="NOT LISTED","Confirm sour-service claim and ISO 15156",IF(O406="NOT LISTED","Obtain manufacturer collapse curve",IF(N406="CORROSION CONTROL","Model CO2 corrosion; review inhibition","Confirm corrosion, cracking, loads and connection"))))))</x:f>
        <x:v>Model CO2 corrosion; review inhibition</x:v>
      </x:c>
      <x:c r="T406" t="str">
        <x:v>https://www.tpco.com.cn/system/2017/08/30/014009466.shtml</x:v>
      </x:c>
    </x:row>
    <x:row r="407" ht="23" customHeight="1">
      <x:c r="A407" t="str">
        <x:v>OCTG-0406</x:v>
      </x:c>
      <x:c r="B407" t="str">
        <x:v>Tianjin Pipe (TPCO)</x:v>
      </x:c>
      <x:c r="C407" t="str">
        <x:v>TP-2205 duplex series</x:v>
      </x:c>
      <x:c r="D407" t="str">
        <x:v>Duplex 22Cr</x:v>
      </x:c>
      <x:c r="E407" t="str">
        <x:v>Wet CO2, high chloride</x:v>
      </x:c>
      <x:c r="F407" s="82"/>
      <x:c r="G407" t="str">
        <x:v>No</x:v>
      </x:c>
      <x:c r="H407" t="str">
        <x:v>F</x:v>
      </x:c>
      <x:c r="I407" t="str">
        <x:v>No</x:v>
      </x:c>
      <x:c r="J407" t="str">
        <x:v>Yes</x:v>
      </x:c>
      <x:c r="K407" t="str">
        <x:v>No</x:v>
      </x:c>
      <x:c r="L407" t="str">
        <x:f>IF(F407="","UNKNOWN",IF(F407&lt;'WELL INPUTS'!$B$11,"BELOW","OK"))</x:f>
        <x:v>UNKNOWN</x:v>
      </x:c>
      <x:c r="M407" t="str">
        <x:f>IF(AND('WELL INPUTS'!$B$4="Wet",'WELL INPUTS'!$B$5&gt;0),IF(I407="Yes","CATALOG SOUR","NOT LISTED"),"N/A")</x:f>
        <x:v>N/A</x:v>
      </x:c>
      <x:c r="N407" t="str">
        <x:f>IF(AND('WELL INPUTS'!$B$4="Wet",'WELL INPUTS'!$B$6&gt;0),IF(J407="Yes","ALLOY FAMILY","CORROSION CONTROL"),"N/A")</x:f>
        <x:v>ALLOY FAMILY</x:v>
      </x:c>
      <x:c r="O407" t="str">
        <x:f>IF('WELL INPUTS'!$B$12="Yes",IF(G407="Yes","CLAIMED","NOT LISTED"),"N/A")</x:f>
        <x:v>N/A</x:v>
      </x:c>
      <x:c r="P407" t="str">
        <x:f>IF(OR('WELL INPUTS'!$B$13="Unrestricted",CODE(H407)&lt;=CODE('WELL INPUTS'!$B$13)),"WITHIN TIER","OVER CAP")</x:f>
        <x:v>WITHIN TIER</x:v>
      </x:c>
      <x:c r="Q407" t="n">
        <x:f>MAX(0,MIN(100,43+IF(L407="OK",14,-20)+IF(M407="CATALOG SOUR",24,IF(M407="NOT LISTED",-18,0))+IF(N407="ALLOY FAMILY",14,IF(N407="CORROSION CONTROL",-13,0))+IF(O407="CLAIMED",17,IF(O407="NOT LISTED",-14,0))+IF(K407="Yes",-15,0)+IF('WELL INPUTS'!$B$10="Yes",-17,0)))</x:f>
        <x:v>37</x:v>
      </x:c>
      <x:c r="R407" s="83" t="str">
        <x:f>IF(L407="BELOW","EXCLUDE — STRENGTH",IF(P407="OVER CAP","EXCLUDE — COST",IF(K407="Yes",IF('WELL INPUTS'!$B$14="No","EXCLUDE — REFERENCE","REFERENCE ONLY"),IF(OR(L407="UNKNOWN",M407="NOT LISTED",N407="CORROSION CONTROL",O407="NOT LISTED",'WELL INPUTS'!$B$10="Yes",'WELL INPUTS'!$B$4="Unknown"),"REVIEW","CANDIDATE — VERIFY"))))</x:f>
        <x:v>REVIEW</x:v>
      </x:c>
      <x:c r="S407" t="str">
        <x:f>IF(L407="BELOW","Increase minimum grade strength",IF(P407="OVER CAP","Relax cost tier or exclude",IF(K407="Yes","Identify qualified manufacturer grade",IF(M407="NOT LISTED","Confirm sour-service claim and ISO 15156",IF(O407="NOT LISTED","Obtain manufacturer collapse curve",IF(N407="CORROSION CONTROL","Model CO2 corrosion; review inhibition","Confirm corrosion, cracking, loads and connection"))))))</x:f>
        <x:v>Confirm corrosion, cracking, loads and connection</x:v>
      </x:c>
      <x:c r="T407" t="str">
        <x:v>https://www.tpco.com.cn/system/2017/08/30/014009466.shtml</x:v>
      </x:c>
    </x:row>
    <x:row r="408" ht="23" customHeight="1">
      <x:c r="A408" t="str">
        <x:v>OCTG-0407</x:v>
      </x:c>
      <x:c r="B408" t="str">
        <x:v>Tianjin Pipe (TPCO)</x:v>
      </x:c>
      <x:c r="C408" t="str">
        <x:v>TP-Alloy 028 series</x:v>
      </x:c>
      <x:c r="D408" t="str">
        <x:v>Fe-base austenitic CRA</x:v>
      </x:c>
      <x:c r="E408" t="str">
        <x:v>Severe corrosion</x:v>
      </x:c>
      <x:c r="F408" s="82"/>
      <x:c r="G408" t="str">
        <x:v>No</x:v>
      </x:c>
      <x:c r="H408" t="str">
        <x:v>H</x:v>
      </x:c>
      <x:c r="I408" t="str">
        <x:v>No</x:v>
      </x:c>
      <x:c r="J408" t="str">
        <x:v>Yes</x:v>
      </x:c>
      <x:c r="K408" t="str">
        <x:v>No</x:v>
      </x:c>
      <x:c r="L408" t="str">
        <x:f>IF(F408="","UNKNOWN",IF(F408&lt;'WELL INPUTS'!$B$11,"BELOW","OK"))</x:f>
        <x:v>UNKNOWN</x:v>
      </x:c>
      <x:c r="M408" t="str">
        <x:f>IF(AND('WELL INPUTS'!$B$4="Wet",'WELL INPUTS'!$B$5&gt;0),IF(I408="Yes","CATALOG SOUR","NOT LISTED"),"N/A")</x:f>
        <x:v>N/A</x:v>
      </x:c>
      <x:c r="N408" t="str">
        <x:f>IF(AND('WELL INPUTS'!$B$4="Wet",'WELL INPUTS'!$B$6&gt;0),IF(J408="Yes","ALLOY FAMILY","CORROSION CONTROL"),"N/A")</x:f>
        <x:v>ALLOY FAMILY</x:v>
      </x:c>
      <x:c r="O408" t="str">
        <x:f>IF('WELL INPUTS'!$B$12="Yes",IF(G408="Yes","CLAIMED","NOT LISTED"),"N/A")</x:f>
        <x:v>N/A</x:v>
      </x:c>
      <x:c r="P408" t="str">
        <x:f>IF(OR('WELL INPUTS'!$B$13="Unrestricted",CODE(H408)&lt;=CODE('WELL INPUTS'!$B$13)),"WITHIN TIER","OVER CAP")</x:f>
        <x:v>WITHIN TIER</x:v>
      </x:c>
      <x:c r="Q408" t="n">
        <x:f>MAX(0,MIN(100,43+IF(L408="OK",14,-20)+IF(M408="CATALOG SOUR",24,IF(M408="NOT LISTED",-18,0))+IF(N408="ALLOY FAMILY",14,IF(N408="CORROSION CONTROL",-13,0))+IF(O408="CLAIMED",17,IF(O408="NOT LISTED",-14,0))+IF(K408="Yes",-15,0)+IF('WELL INPUTS'!$B$10="Yes",-17,0)))</x:f>
        <x:v>37</x:v>
      </x:c>
      <x:c r="R408" s="83" t="str">
        <x:f>IF(L408="BELOW","EXCLUDE — STRENGTH",IF(P408="OVER CAP","EXCLUDE — COST",IF(K408="Yes",IF('WELL INPUTS'!$B$14="No","EXCLUDE — REFERENCE","REFERENCE ONLY"),IF(OR(L408="UNKNOWN",M408="NOT LISTED",N408="CORROSION CONTROL",O408="NOT LISTED",'WELL INPUTS'!$B$10="Yes",'WELL INPUTS'!$B$4="Unknown"),"REVIEW","CANDIDATE — VERIFY"))))</x:f>
        <x:v>REVIEW</x:v>
      </x:c>
      <x:c r="S408" t="str">
        <x:f>IF(L408="BELOW","Increase minimum grade strength",IF(P408="OVER CAP","Relax cost tier or exclude",IF(K408="Yes","Identify qualified manufacturer grade",IF(M408="NOT LISTED","Confirm sour-service claim and ISO 15156",IF(O408="NOT LISTED","Obtain manufacturer collapse curve",IF(N408="CORROSION CONTROL","Model CO2 corrosion; review inhibition","Confirm corrosion, cracking, loads and connection"))))))</x:f>
        <x:v>Confirm corrosion, cracking, loads and connection</x:v>
      </x:c>
      <x:c r="T408" t="str">
        <x:v>https://www.tpco.com.cn/system/2017/08/30/014009466.shtml</x:v>
      </x:c>
    </x:row>
    <x:row r="409" ht="23" customHeight="1">
      <x:c r="A409" t="str">
        <x:v>OCTG-0408</x:v>
      </x:c>
      <x:c r="B409" t="str">
        <x:v>Tianjin Pipe (TPCO)</x:v>
      </x:c>
      <x:c r="C409" t="str">
        <x:v>TP-13Cr series</x:v>
      </x:c>
      <x:c r="D409" t="str">
        <x:v>Martensitic 13Cr</x:v>
      </x:c>
      <x:c r="E409" t="str">
        <x:v>Wet CO2</x:v>
      </x:c>
      <x:c r="F409" s="82"/>
      <x:c r="G409" t="str">
        <x:v>No</x:v>
      </x:c>
      <x:c r="H409" t="str">
        <x:v>D</x:v>
      </x:c>
      <x:c r="I409" t="str">
        <x:v>No</x:v>
      </x:c>
      <x:c r="J409" t="str">
        <x:v>Yes</x:v>
      </x:c>
      <x:c r="K409" t="str">
        <x:v>No</x:v>
      </x:c>
      <x:c r="L409" t="str">
        <x:f>IF(F409="","UNKNOWN",IF(F409&lt;'WELL INPUTS'!$B$11,"BELOW","OK"))</x:f>
        <x:v>UNKNOWN</x:v>
      </x:c>
      <x:c r="M409" t="str">
        <x:f>IF(AND('WELL INPUTS'!$B$4="Wet",'WELL INPUTS'!$B$5&gt;0),IF(I409="Yes","CATALOG SOUR","NOT LISTED"),"N/A")</x:f>
        <x:v>N/A</x:v>
      </x:c>
      <x:c r="N409" t="str">
        <x:f>IF(AND('WELL INPUTS'!$B$4="Wet",'WELL INPUTS'!$B$6&gt;0),IF(J409="Yes","ALLOY FAMILY","CORROSION CONTROL"),"N/A")</x:f>
        <x:v>ALLOY FAMILY</x:v>
      </x:c>
      <x:c r="O409" t="str">
        <x:f>IF('WELL INPUTS'!$B$12="Yes",IF(G409="Yes","CLAIMED","NOT LISTED"),"N/A")</x:f>
        <x:v>N/A</x:v>
      </x:c>
      <x:c r="P409" t="str">
        <x:f>IF(OR('WELL INPUTS'!$B$13="Unrestricted",CODE(H409)&lt;=CODE('WELL INPUTS'!$B$13)),"WITHIN TIER","OVER CAP")</x:f>
        <x:v>WITHIN TIER</x:v>
      </x:c>
      <x:c r="Q409" t="n">
        <x:f>MAX(0,MIN(100,43+IF(L409="OK",14,-20)+IF(M409="CATALOG SOUR",24,IF(M409="NOT LISTED",-18,0))+IF(N409="ALLOY FAMILY",14,IF(N409="CORROSION CONTROL",-13,0))+IF(O409="CLAIMED",17,IF(O409="NOT LISTED",-14,0))+IF(K409="Yes",-15,0)+IF('WELL INPUTS'!$B$10="Yes",-17,0)))</x:f>
        <x:v>37</x:v>
      </x:c>
      <x:c r="R409" s="83" t="str">
        <x:f>IF(L409="BELOW","EXCLUDE — STRENGTH",IF(P409="OVER CAP","EXCLUDE — COST",IF(K409="Yes",IF('WELL INPUTS'!$B$14="No","EXCLUDE — REFERENCE","REFERENCE ONLY"),IF(OR(L409="UNKNOWN",M409="NOT LISTED",N409="CORROSION CONTROL",O409="NOT LISTED",'WELL INPUTS'!$B$10="Yes",'WELL INPUTS'!$B$4="Unknown"),"REVIEW","CANDIDATE — VERIFY"))))</x:f>
        <x:v>REVIEW</x:v>
      </x:c>
      <x:c r="S409" t="str">
        <x:f>IF(L409="BELOW","Increase minimum grade strength",IF(P409="OVER CAP","Relax cost tier or exclude",IF(K409="Yes","Identify qualified manufacturer grade",IF(M409="NOT LISTED","Confirm sour-service claim and ISO 15156",IF(O409="NOT LISTED","Obtain manufacturer collapse curve",IF(N409="CORROSION CONTROL","Model CO2 corrosion; review inhibition","Confirm corrosion, cracking, loads and connection"))))))</x:f>
        <x:v>Confirm corrosion, cracking, loads and connection</x:v>
      </x:c>
      <x:c r="T409" t="str">
        <x:v>https://www.tpco.com.cn/system/2017/08/30/014009466.shtml</x:v>
      </x:c>
    </x:row>
    <x:row r="410" ht="23" customHeight="1">
      <x:c r="A410" t="str">
        <x:v>OCTG-0409</x:v>
      </x:c>
      <x:c r="B410" t="str">
        <x:v>Tianjin Pipe (TPCO)</x:v>
      </x:c>
      <x:c r="C410" t="str">
        <x:v>TP-HP13Cr series</x:v>
      </x:c>
      <x:c r="D410" t="str">
        <x:v>Modified / super 13Cr</x:v>
      </x:c>
      <x:c r="E410" t="str">
        <x:v>Higher-temperature CO2</x:v>
      </x:c>
      <x:c r="F410" s="82"/>
      <x:c r="G410" t="str">
        <x:v>No</x:v>
      </x:c>
      <x:c r="H410" t="str">
        <x:v>E</x:v>
      </x:c>
      <x:c r="I410" t="str">
        <x:v>No</x:v>
      </x:c>
      <x:c r="J410" t="str">
        <x:v>Yes</x:v>
      </x:c>
      <x:c r="K410" t="str">
        <x:v>No</x:v>
      </x:c>
      <x:c r="L410" t="str">
        <x:f>IF(F410="","UNKNOWN",IF(F410&lt;'WELL INPUTS'!$B$11,"BELOW","OK"))</x:f>
        <x:v>UNKNOWN</x:v>
      </x:c>
      <x:c r="M410" t="str">
        <x:f>IF(AND('WELL INPUTS'!$B$4="Wet",'WELL INPUTS'!$B$5&gt;0),IF(I410="Yes","CATALOG SOUR","NOT LISTED"),"N/A")</x:f>
        <x:v>N/A</x:v>
      </x:c>
      <x:c r="N410" t="str">
        <x:f>IF(AND('WELL INPUTS'!$B$4="Wet",'WELL INPUTS'!$B$6&gt;0),IF(J410="Yes","ALLOY FAMILY","CORROSION CONTROL"),"N/A")</x:f>
        <x:v>ALLOY FAMILY</x:v>
      </x:c>
      <x:c r="O410" t="str">
        <x:f>IF('WELL INPUTS'!$B$12="Yes",IF(G410="Yes","CLAIMED","NOT LISTED"),"N/A")</x:f>
        <x:v>N/A</x:v>
      </x:c>
      <x:c r="P410" t="str">
        <x:f>IF(OR('WELL INPUTS'!$B$13="Unrestricted",CODE(H410)&lt;=CODE('WELL INPUTS'!$B$13)),"WITHIN TIER","OVER CAP")</x:f>
        <x:v>WITHIN TIER</x:v>
      </x:c>
      <x:c r="Q410" t="n">
        <x:f>MAX(0,MIN(100,43+IF(L410="OK",14,-20)+IF(M410="CATALOG SOUR",24,IF(M410="NOT LISTED",-18,0))+IF(N410="ALLOY FAMILY",14,IF(N410="CORROSION CONTROL",-13,0))+IF(O410="CLAIMED",17,IF(O410="NOT LISTED",-14,0))+IF(K410="Yes",-15,0)+IF('WELL INPUTS'!$B$10="Yes",-17,0)))</x:f>
        <x:v>37</x:v>
      </x:c>
      <x:c r="R410" s="83" t="str">
        <x:f>IF(L410="BELOW","EXCLUDE — STRENGTH",IF(P410="OVER CAP","EXCLUDE — COST",IF(K410="Yes",IF('WELL INPUTS'!$B$14="No","EXCLUDE — REFERENCE","REFERENCE ONLY"),IF(OR(L410="UNKNOWN",M410="NOT LISTED",N410="CORROSION CONTROL",O410="NOT LISTED",'WELL INPUTS'!$B$10="Yes",'WELL INPUTS'!$B$4="Unknown"),"REVIEW","CANDIDATE — VERIFY"))))</x:f>
        <x:v>REVIEW</x:v>
      </x:c>
      <x:c r="S410" t="str">
        <x:f>IF(L410="BELOW","Increase minimum grade strength",IF(P410="OVER CAP","Relax cost tier or exclude",IF(K410="Yes","Identify qualified manufacturer grade",IF(M410="NOT LISTED","Confirm sour-service claim and ISO 15156",IF(O410="NOT LISTED","Obtain manufacturer collapse curve",IF(N410="CORROSION CONTROL","Model CO2 corrosion; review inhibition","Confirm corrosion, cracking, loads and connection"))))))</x:f>
        <x:v>Confirm corrosion, cracking, loads and connection</x:v>
      </x:c>
      <x:c r="T410" t="str">
        <x:v>https://www.tpco.com.cn/system/2017/08/30/014009466.shtml</x:v>
      </x:c>
    </x:row>
    <x:row r="411" ht="23" customHeight="1">
      <x:c r="A411" t="str">
        <x:v>OCTG-0410</x:v>
      </x:c>
      <x:c r="B411" t="str">
        <x:v>Tianjin Pipe (TPCO)</x:v>
      </x:c>
      <x:c r="C411" t="str">
        <x:v>TP-SUP13Cr series</x:v>
      </x:c>
      <x:c r="D411" t="str">
        <x:v>Modified / super 13Cr</x:v>
      </x:c>
      <x:c r="E411" t="str">
        <x:v>Wet CO2 / trace H2S</x:v>
      </x:c>
      <x:c r="F411" s="82"/>
      <x:c r="G411" t="str">
        <x:v>No</x:v>
      </x:c>
      <x:c r="H411" t="str">
        <x:v>E</x:v>
      </x:c>
      <x:c r="I411" t="str">
        <x:v>Yes</x:v>
      </x:c>
      <x:c r="J411" t="str">
        <x:v>Yes</x:v>
      </x:c>
      <x:c r="K411" t="str">
        <x:v>No</x:v>
      </x:c>
      <x:c r="L411" t="str">
        <x:f>IF(F411="","UNKNOWN",IF(F411&lt;'WELL INPUTS'!$B$11,"BELOW","OK"))</x:f>
        <x:v>UNKNOWN</x:v>
      </x:c>
      <x:c r="M411" t="str">
        <x:f>IF(AND('WELL INPUTS'!$B$4="Wet",'WELL INPUTS'!$B$5&gt;0),IF(I411="Yes","CATALOG SOUR","NOT LISTED"),"N/A")</x:f>
        <x:v>N/A</x:v>
      </x:c>
      <x:c r="N411" t="str">
        <x:f>IF(AND('WELL INPUTS'!$B$4="Wet",'WELL INPUTS'!$B$6&gt;0),IF(J411="Yes","ALLOY FAMILY","CORROSION CONTROL"),"N/A")</x:f>
        <x:v>ALLOY FAMILY</x:v>
      </x:c>
      <x:c r="O411" t="str">
        <x:f>IF('WELL INPUTS'!$B$12="Yes",IF(G411="Yes","CLAIMED","NOT LISTED"),"N/A")</x:f>
        <x:v>N/A</x:v>
      </x:c>
      <x:c r="P411" t="str">
        <x:f>IF(OR('WELL INPUTS'!$B$13="Unrestricted",CODE(H411)&lt;=CODE('WELL INPUTS'!$B$13)),"WITHIN TIER","OVER CAP")</x:f>
        <x:v>WITHIN TIER</x:v>
      </x:c>
      <x:c r="Q411" t="n">
        <x:f>MAX(0,MIN(100,43+IF(L411="OK",14,-20)+IF(M411="CATALOG SOUR",24,IF(M411="NOT LISTED",-18,0))+IF(N411="ALLOY FAMILY",14,IF(N411="CORROSION CONTROL",-13,0))+IF(O411="CLAIMED",17,IF(O411="NOT LISTED",-14,0))+IF(K411="Yes",-15,0)+IF('WELL INPUTS'!$B$10="Yes",-17,0)))</x:f>
        <x:v>37</x:v>
      </x:c>
      <x:c r="R411" s="83" t="str">
        <x:f>IF(L411="BELOW","EXCLUDE — STRENGTH",IF(P411="OVER CAP","EXCLUDE — COST",IF(K411="Yes",IF('WELL INPUTS'!$B$14="No","EXCLUDE — REFERENCE","REFERENCE ONLY"),IF(OR(L411="UNKNOWN",M411="NOT LISTED",N411="CORROSION CONTROL",O411="NOT LISTED",'WELL INPUTS'!$B$10="Yes",'WELL INPUTS'!$B$4="Unknown"),"REVIEW","CANDIDATE — VERIFY"))))</x:f>
        <x:v>REVIEW</x:v>
      </x:c>
      <x:c r="S411" t="str">
        <x:f>IF(L411="BELOW","Increase minimum grade strength",IF(P411="OVER CAP","Relax cost tier or exclude",IF(K411="Yes","Identify qualified manufacturer grade",IF(M411="NOT LISTED","Confirm sour-service claim and ISO 15156",IF(O411="NOT LISTED","Obtain manufacturer collapse curve",IF(N411="CORROSION CONTROL","Model CO2 corrosion; review inhibition","Confirm corrosion, cracking, loads and connection"))))))</x:f>
        <x:v>Confirm corrosion, cracking, loads and connection</x:v>
      </x:c>
      <x:c r="T411" t="str">
        <x:v>https://www.tpco.com.cn/system/2017/08/30/014009466.shtml</x:v>
      </x:c>
    </x:row>
    <x:row r="412" ht="23" customHeight="1">
      <x:c r="A412" t="str">
        <x:v>OCTG-0411</x:v>
      </x:c>
      <x:c r="B412" t="str">
        <x:v>Tianjin Pipe (TPCO)</x:v>
      </x:c>
      <x:c r="C412" t="str">
        <x:v>TP-Alloy 825 series</x:v>
      </x:c>
      <x:c r="D412" t="str">
        <x:v>Ni-base CRA</x:v>
      </x:c>
      <x:c r="E412" t="str">
        <x:v>Severe corrosion</x:v>
      </x:c>
      <x:c r="F412" s="82"/>
      <x:c r="G412" t="str">
        <x:v>No</x:v>
      </x:c>
      <x:c r="H412" t="str">
        <x:v>I</x:v>
      </x:c>
      <x:c r="I412" t="str">
        <x:v>No</x:v>
      </x:c>
      <x:c r="J412" t="str">
        <x:v>Yes</x:v>
      </x:c>
      <x:c r="K412" t="str">
        <x:v>No</x:v>
      </x:c>
      <x:c r="L412" t="str">
        <x:f>IF(F412="","UNKNOWN",IF(F412&lt;'WELL INPUTS'!$B$11,"BELOW","OK"))</x:f>
        <x:v>UNKNOWN</x:v>
      </x:c>
      <x:c r="M412" t="str">
        <x:f>IF(AND('WELL INPUTS'!$B$4="Wet",'WELL INPUTS'!$B$5&gt;0),IF(I412="Yes","CATALOG SOUR","NOT LISTED"),"N/A")</x:f>
        <x:v>N/A</x:v>
      </x:c>
      <x:c r="N412" t="str">
        <x:f>IF(AND('WELL INPUTS'!$B$4="Wet",'WELL INPUTS'!$B$6&gt;0),IF(J412="Yes","ALLOY FAMILY","CORROSION CONTROL"),"N/A")</x:f>
        <x:v>ALLOY FAMILY</x:v>
      </x:c>
      <x:c r="O412" t="str">
        <x:f>IF('WELL INPUTS'!$B$12="Yes",IF(G412="Yes","CLAIMED","NOT LISTED"),"N/A")</x:f>
        <x:v>N/A</x:v>
      </x:c>
      <x:c r="P412" t="str">
        <x:f>IF(OR('WELL INPUTS'!$B$13="Unrestricted",CODE(H412)&lt;=CODE('WELL INPUTS'!$B$13)),"WITHIN TIER","OVER CAP")</x:f>
        <x:v>WITHIN TIER</x:v>
      </x:c>
      <x:c r="Q412" t="n">
        <x:f>MAX(0,MIN(100,43+IF(L412="OK",14,-20)+IF(M412="CATALOG SOUR",24,IF(M412="NOT LISTED",-18,0))+IF(N412="ALLOY FAMILY",14,IF(N412="CORROSION CONTROL",-13,0))+IF(O412="CLAIMED",17,IF(O412="NOT LISTED",-14,0))+IF(K412="Yes",-15,0)+IF('WELL INPUTS'!$B$10="Yes",-17,0)))</x:f>
        <x:v>37</x:v>
      </x:c>
      <x:c r="R412" s="83" t="str">
        <x:f>IF(L412="BELOW","EXCLUDE — STRENGTH",IF(P412="OVER CAP","EXCLUDE — COST",IF(K412="Yes",IF('WELL INPUTS'!$B$14="No","EXCLUDE — REFERENCE","REFERENCE ONLY"),IF(OR(L412="UNKNOWN",M412="NOT LISTED",N412="CORROSION CONTROL",O412="NOT LISTED",'WELL INPUTS'!$B$10="Yes",'WELL INPUTS'!$B$4="Unknown"),"REVIEW","CANDIDATE — VERIFY"))))</x:f>
        <x:v>REVIEW</x:v>
      </x:c>
      <x:c r="S412" t="str">
        <x:f>IF(L412="BELOW","Increase minimum grade strength",IF(P412="OVER CAP","Relax cost tier or exclude",IF(K412="Yes","Identify qualified manufacturer grade",IF(M412="NOT LISTED","Confirm sour-service claim and ISO 15156",IF(O412="NOT LISTED","Obtain manufacturer collapse curve",IF(N412="CORROSION CONTROL","Model CO2 corrosion; review inhibition","Confirm corrosion, cracking, loads and connection"))))))</x:f>
        <x:v>Confirm corrosion, cracking, loads and connection</x:v>
      </x:c>
      <x:c r="T412" t="str">
        <x:v>https://www.tpco.com.cn/system/2017/08/30/014009466.shtml</x:v>
      </x:c>
    </x:row>
    <x:row r="413" ht="23" customHeight="1">
      <x:c r="A413" t="str">
        <x:v>OCTG-0412</x:v>
      </x:c>
      <x:c r="B413" t="str">
        <x:v>Tianjin Pipe (TPCO)</x:v>
      </x:c>
      <x:c r="C413" t="str">
        <x:v>TP-G3 alloy series</x:v>
      </x:c>
      <x:c r="D413" t="str">
        <x:v>Ni-base CRA</x:v>
      </x:c>
      <x:c r="E413" t="str">
        <x:v>Severe corrosion</x:v>
      </x:c>
      <x:c r="F413" s="82"/>
      <x:c r="G413" t="str">
        <x:v>No</x:v>
      </x:c>
      <x:c r="H413" t="str">
        <x:v>I</x:v>
      </x:c>
      <x:c r="I413" t="str">
        <x:v>No</x:v>
      </x:c>
      <x:c r="J413" t="str">
        <x:v>Yes</x:v>
      </x:c>
      <x:c r="K413" t="str">
        <x:v>No</x:v>
      </x:c>
      <x:c r="L413" t="str">
        <x:f>IF(F413="","UNKNOWN",IF(F413&lt;'WELL INPUTS'!$B$11,"BELOW","OK"))</x:f>
        <x:v>UNKNOWN</x:v>
      </x:c>
      <x:c r="M413" t="str">
        <x:f>IF(AND('WELL INPUTS'!$B$4="Wet",'WELL INPUTS'!$B$5&gt;0),IF(I413="Yes","CATALOG SOUR","NOT LISTED"),"N/A")</x:f>
        <x:v>N/A</x:v>
      </x:c>
      <x:c r="N413" t="str">
        <x:f>IF(AND('WELL INPUTS'!$B$4="Wet",'WELL INPUTS'!$B$6&gt;0),IF(J413="Yes","ALLOY FAMILY","CORROSION CONTROL"),"N/A")</x:f>
        <x:v>ALLOY FAMILY</x:v>
      </x:c>
      <x:c r="O413" t="str">
        <x:f>IF('WELL INPUTS'!$B$12="Yes",IF(G413="Yes","CLAIMED","NOT LISTED"),"N/A")</x:f>
        <x:v>N/A</x:v>
      </x:c>
      <x:c r="P413" t="str">
        <x:f>IF(OR('WELL INPUTS'!$B$13="Unrestricted",CODE(H413)&lt;=CODE('WELL INPUTS'!$B$13)),"WITHIN TIER","OVER CAP")</x:f>
        <x:v>WITHIN TIER</x:v>
      </x:c>
      <x:c r="Q413" t="n">
        <x:f>MAX(0,MIN(100,43+IF(L413="OK",14,-20)+IF(M413="CATALOG SOUR",24,IF(M413="NOT LISTED",-18,0))+IF(N413="ALLOY FAMILY",14,IF(N413="CORROSION CONTROL",-13,0))+IF(O413="CLAIMED",17,IF(O413="NOT LISTED",-14,0))+IF(K413="Yes",-15,0)+IF('WELL INPUTS'!$B$10="Yes",-17,0)))</x:f>
        <x:v>37</x:v>
      </x:c>
      <x:c r="R413" s="83" t="str">
        <x:f>IF(L413="BELOW","EXCLUDE — STRENGTH",IF(P413="OVER CAP","EXCLUDE — COST",IF(K413="Yes",IF('WELL INPUTS'!$B$14="No","EXCLUDE — REFERENCE","REFERENCE ONLY"),IF(OR(L413="UNKNOWN",M413="NOT LISTED",N413="CORROSION CONTROL",O413="NOT LISTED",'WELL INPUTS'!$B$10="Yes",'WELL INPUTS'!$B$4="Unknown"),"REVIEW","CANDIDATE — VERIFY"))))</x:f>
        <x:v>REVIEW</x:v>
      </x:c>
      <x:c r="S413" t="str">
        <x:f>IF(L413="BELOW","Increase minimum grade strength",IF(P413="OVER CAP","Relax cost tier or exclude",IF(K413="Yes","Identify qualified manufacturer grade",IF(M413="NOT LISTED","Confirm sour-service claim and ISO 15156",IF(O413="NOT LISTED","Obtain manufacturer collapse curve",IF(N413="CORROSION CONTROL","Model CO2 corrosion; review inhibition","Confirm corrosion, cracking, loads and connection"))))))</x:f>
        <x:v>Confirm corrosion, cracking, loads and connection</x:v>
      </x:c>
      <x:c r="T413" t="str">
        <x:v>https://www.tpco.com.cn/system/2017/08/30/014009466.shtml</x:v>
      </x:c>
    </x:row>
    <x:row r="414" ht="23" customHeight="1">
      <x:c r="A414" t="str">
        <x:v>OCTG-0413</x:v>
      </x:c>
      <x:c r="B414" t="str">
        <x:v>Tianjin Pipe (TPCO)</x:v>
      </x:c>
      <x:c r="C414" t="str">
        <x:v>TP-2507 super duplex series</x:v>
      </x:c>
      <x:c r="D414" t="str">
        <x:v>Super duplex 25Cr</x:v>
      </x:c>
      <x:c r="E414" t="str">
        <x:v>Highly corrosive CO2 + chloride</x:v>
      </x:c>
      <x:c r="F414" s="82"/>
      <x:c r="G414" t="str">
        <x:v>No</x:v>
      </x:c>
      <x:c r="H414" t="str">
        <x:v>G</x:v>
      </x:c>
      <x:c r="I414" t="str">
        <x:v>No</x:v>
      </x:c>
      <x:c r="J414" t="str">
        <x:v>Yes</x:v>
      </x:c>
      <x:c r="K414" t="str">
        <x:v>No</x:v>
      </x:c>
      <x:c r="L414" t="str">
        <x:f>IF(F414="","UNKNOWN",IF(F414&lt;'WELL INPUTS'!$B$11,"BELOW","OK"))</x:f>
        <x:v>UNKNOWN</x:v>
      </x:c>
      <x:c r="M414" t="str">
        <x:f>IF(AND('WELL INPUTS'!$B$4="Wet",'WELL INPUTS'!$B$5&gt;0),IF(I414="Yes","CATALOG SOUR","NOT LISTED"),"N/A")</x:f>
        <x:v>N/A</x:v>
      </x:c>
      <x:c r="N414" t="str">
        <x:f>IF(AND('WELL INPUTS'!$B$4="Wet",'WELL INPUTS'!$B$6&gt;0),IF(J414="Yes","ALLOY FAMILY","CORROSION CONTROL"),"N/A")</x:f>
        <x:v>ALLOY FAMILY</x:v>
      </x:c>
      <x:c r="O414" t="str">
        <x:f>IF('WELL INPUTS'!$B$12="Yes",IF(G414="Yes","CLAIMED","NOT LISTED"),"N/A")</x:f>
        <x:v>N/A</x:v>
      </x:c>
      <x:c r="P414" t="str">
        <x:f>IF(OR('WELL INPUTS'!$B$13="Unrestricted",CODE(H414)&lt;=CODE('WELL INPUTS'!$B$13)),"WITHIN TIER","OVER CAP")</x:f>
        <x:v>WITHIN TIER</x:v>
      </x:c>
      <x:c r="Q414" t="n">
        <x:f>MAX(0,MIN(100,43+IF(L414="OK",14,-20)+IF(M414="CATALOG SOUR",24,IF(M414="NOT LISTED",-18,0))+IF(N414="ALLOY FAMILY",14,IF(N414="CORROSION CONTROL",-13,0))+IF(O414="CLAIMED",17,IF(O414="NOT LISTED",-14,0))+IF(K414="Yes",-15,0)+IF('WELL INPUTS'!$B$10="Yes",-17,0)))</x:f>
        <x:v>37</x:v>
      </x:c>
      <x:c r="R414" s="83" t="str">
        <x:f>IF(L414="BELOW","EXCLUDE — STRENGTH",IF(P414="OVER CAP","EXCLUDE — COST",IF(K414="Yes",IF('WELL INPUTS'!$B$14="No","EXCLUDE — REFERENCE","REFERENCE ONLY"),IF(OR(L414="UNKNOWN",M414="NOT LISTED",N414="CORROSION CONTROL",O414="NOT LISTED",'WELL INPUTS'!$B$10="Yes",'WELL INPUTS'!$B$4="Unknown"),"REVIEW","CANDIDATE — VERIFY"))))</x:f>
        <x:v>REVIEW</x:v>
      </x:c>
      <x:c r="S414" t="str">
        <x:f>IF(L414="BELOW","Increase minimum grade strength",IF(P414="OVER CAP","Relax cost tier or exclude",IF(K414="Yes","Identify qualified manufacturer grade",IF(M414="NOT LISTED","Confirm sour-service claim and ISO 15156",IF(O414="NOT LISTED","Obtain manufacturer collapse curve",IF(N414="CORROSION CONTROL","Model CO2 corrosion; review inhibition","Confirm corrosion, cracking, loads and connection"))))))</x:f>
        <x:v>Confirm corrosion, cracking, loads and connection</x:v>
      </x:c>
      <x:c r="T414" t="str">
        <x:v>https://www.tpco.com.cn/system/2017/08/30/014009466.shtml</x:v>
      </x:c>
    </x:row>
    <x:row r="415" ht="23" customHeight="1">
      <x:c r="A415" t="str">
        <x:v>OCTG-0414</x:v>
      </x:c>
      <x:c r="B415" t="str">
        <x:v>Jindal SAW / Jindal Tubular</x:v>
      </x:c>
      <x:c r="C415" t="str">
        <x:v>HCP110</x:v>
      </x:c>
      <x:c r="D415" t="str">
        <x:v>Carbon / low alloy</x:v>
      </x:c>
      <x:c r="E415" t="str">
        <x:v>Conventional OCTG / HCP110 is high collapse</x:v>
      </x:c>
      <x:c r="F415" s="82" t="n">
        <x:v>110</x:v>
      </x:c>
      <x:c r="G415" t="str">
        <x:v>Yes</x:v>
      </x:c>
      <x:c r="H415" t="str">
        <x:v>A</x:v>
      </x:c>
      <x:c r="I415" t="str">
        <x:v>No</x:v>
      </x:c>
      <x:c r="J415" t="str">
        <x:v>No</x:v>
      </x:c>
      <x:c r="K415" t="str">
        <x:v>No</x:v>
      </x:c>
      <x:c r="L415" t="str">
        <x:f>IF(F415="","UNKNOWN",IF(F415&lt;'WELL INPUTS'!$B$11,"BELOW","OK"))</x:f>
        <x:v>OK</x:v>
      </x:c>
      <x:c r="M415" t="str">
        <x:f>IF(AND('WELL INPUTS'!$B$4="Wet",'WELL INPUTS'!$B$5&gt;0),IF(I415="Yes","CATALOG SOUR","NOT LISTED"),"N/A")</x:f>
        <x:v>N/A</x:v>
      </x:c>
      <x:c r="N415" t="str">
        <x:f>IF(AND('WELL INPUTS'!$B$4="Wet",'WELL INPUTS'!$B$6&gt;0),IF(J415="Yes","ALLOY FAMILY","CORROSION CONTROL"),"N/A")</x:f>
        <x:v>CORROSION CONTROL</x:v>
      </x:c>
      <x:c r="O415" t="str">
        <x:f>IF('WELL INPUTS'!$B$12="Yes",IF(G415="Yes","CLAIMED","NOT LISTED"),"N/A")</x:f>
        <x:v>N/A</x:v>
      </x:c>
      <x:c r="P415" t="str">
        <x:f>IF(OR('WELL INPUTS'!$B$13="Unrestricted",CODE(H415)&lt;=CODE('WELL INPUTS'!$B$13)),"WITHIN TIER","OVER CAP")</x:f>
        <x:v>WITHIN TIER</x:v>
      </x:c>
      <x:c r="Q415" t="n">
        <x:f>MAX(0,MIN(100,43+IF(L415="OK",14,-20)+IF(M415="CATALOG SOUR",24,IF(M415="NOT LISTED",-18,0))+IF(N415="ALLOY FAMILY",14,IF(N415="CORROSION CONTROL",-13,0))+IF(O415="CLAIMED",17,IF(O415="NOT LISTED",-14,0))+IF(K415="Yes",-15,0)+IF('WELL INPUTS'!$B$10="Yes",-17,0)))</x:f>
        <x:v>44</x:v>
      </x:c>
      <x:c r="R415" s="83" t="str">
        <x:f>IF(L415="BELOW","EXCLUDE — STRENGTH",IF(P415="OVER CAP","EXCLUDE — COST",IF(K415="Yes",IF('WELL INPUTS'!$B$14="No","EXCLUDE — REFERENCE","REFERENCE ONLY"),IF(OR(L415="UNKNOWN",M415="NOT LISTED",N415="CORROSION CONTROL",O415="NOT LISTED",'WELL INPUTS'!$B$10="Yes",'WELL INPUTS'!$B$4="Unknown"),"REVIEW","CANDIDATE — VERIFY"))))</x:f>
        <x:v>REVIEW</x:v>
      </x:c>
      <x:c r="S415" t="str">
        <x:f>IF(L415="BELOW","Increase minimum grade strength",IF(P415="OVER CAP","Relax cost tier or exclude",IF(K415="Yes","Identify qualified manufacturer grade",IF(M415="NOT LISTED","Confirm sour-service claim and ISO 15156",IF(O415="NOT LISTED","Obtain manufacturer collapse curve",IF(N415="CORROSION CONTROL","Model CO2 corrosion; review inhibition","Confirm corrosion, cracking, loads and connection"))))))</x:f>
        <x:v>Model CO2 corrosion; review inhibition</x:v>
      </x:c>
      <x:c r="T415" t="str">
        <x:v>https://jindalsaw.com/business-operations/products/pipes-helical-longitudinal-submerged-arc-welding/</x:v>
      </x:c>
    </x:row>
    <x:row r="416" ht="23" customHeight="1">
      <x:c r="A416" t="str">
        <x:v>OCTG-0415</x:v>
      </x:c>
      <x:c r="B416" t="str">
        <x:v>Jindal SAW / Jindal Tubular</x:v>
      </x:c>
      <x:c r="C416" t="str">
        <x:v>J55</x:v>
      </x:c>
      <x:c r="D416" t="str">
        <x:v>Carbon / low alloy</x:v>
      </x:c>
      <x:c r="E416" t="str">
        <x:v>Conventional OCTG / HCP110 is high collapse</x:v>
      </x:c>
      <x:c r="F416" s="82" t="n">
        <x:v>55</x:v>
      </x:c>
      <x:c r="G416" t="str">
        <x:v>Yes</x:v>
      </x:c>
      <x:c r="H416" t="str">
        <x:v>A</x:v>
      </x:c>
      <x:c r="I416" t="str">
        <x:v>No</x:v>
      </x:c>
      <x:c r="J416" t="str">
        <x:v>No</x:v>
      </x:c>
      <x:c r="K416" t="str">
        <x:v>No</x:v>
      </x:c>
      <x:c r="L416" t="str">
        <x:f>IF(F416="","UNKNOWN",IF(F416&lt;'WELL INPUTS'!$B$11,"BELOW","OK"))</x:f>
        <x:v>BELOW</x:v>
      </x:c>
      <x:c r="M416" t="str">
        <x:f>IF(AND('WELL INPUTS'!$B$4="Wet",'WELL INPUTS'!$B$5&gt;0),IF(I416="Yes","CATALOG SOUR","NOT LISTED"),"N/A")</x:f>
        <x:v>N/A</x:v>
      </x:c>
      <x:c r="N416" t="str">
        <x:f>IF(AND('WELL INPUTS'!$B$4="Wet",'WELL INPUTS'!$B$6&gt;0),IF(J416="Yes","ALLOY FAMILY","CORROSION CONTROL"),"N/A")</x:f>
        <x:v>CORROSION CONTROL</x:v>
      </x:c>
      <x:c r="O416" t="str">
        <x:f>IF('WELL INPUTS'!$B$12="Yes",IF(G416="Yes","CLAIMED","NOT LISTED"),"N/A")</x:f>
        <x:v>N/A</x:v>
      </x:c>
      <x:c r="P416" t="str">
        <x:f>IF(OR('WELL INPUTS'!$B$13="Unrestricted",CODE(H416)&lt;=CODE('WELL INPUTS'!$B$13)),"WITHIN TIER","OVER CAP")</x:f>
        <x:v>WITHIN TIER</x:v>
      </x:c>
      <x:c r="Q416" t="n">
        <x:f>MAX(0,MIN(100,43+IF(L416="OK",14,-20)+IF(M416="CATALOG SOUR",24,IF(M416="NOT LISTED",-18,0))+IF(N416="ALLOY FAMILY",14,IF(N416="CORROSION CONTROL",-13,0))+IF(O416="CLAIMED",17,IF(O416="NOT LISTED",-14,0))+IF(K416="Yes",-15,0)+IF('WELL INPUTS'!$B$10="Yes",-17,0)))</x:f>
        <x:v>10</x:v>
      </x:c>
      <x:c r="R416" s="83" t="str">
        <x:f>IF(L416="BELOW","EXCLUDE — STRENGTH",IF(P416="OVER CAP","EXCLUDE — COST",IF(K416="Yes",IF('WELL INPUTS'!$B$14="No","EXCLUDE — REFERENCE","REFERENCE ONLY"),IF(OR(L416="UNKNOWN",M416="NOT LISTED",N416="CORROSION CONTROL",O416="NOT LISTED",'WELL INPUTS'!$B$10="Yes",'WELL INPUTS'!$B$4="Unknown"),"REVIEW","CANDIDATE — VERIFY"))))</x:f>
        <x:v>EXCLUDE — STRENGTH</x:v>
      </x:c>
      <x:c r="S416" t="str">
        <x:f>IF(L416="BELOW","Increase minimum grade strength",IF(P416="OVER CAP","Relax cost tier or exclude",IF(K416="Yes","Identify qualified manufacturer grade",IF(M416="NOT LISTED","Confirm sour-service claim and ISO 15156",IF(O416="NOT LISTED","Obtain manufacturer collapse curve",IF(N416="CORROSION CONTROL","Model CO2 corrosion; review inhibition","Confirm corrosion, cracking, loads and connection"))))))</x:f>
        <x:v>Increase minimum grade strength</x:v>
      </x:c>
      <x:c r="T416" t="str">
        <x:v>https://jindalsaw.com/business-operations/products/pipes-helical-longitudinal-submerged-arc-welding/</x:v>
      </x:c>
    </x:row>
    <x:row r="417" ht="23" customHeight="1">
      <x:c r="A417" t="str">
        <x:v>OCTG-0416</x:v>
      </x:c>
      <x:c r="B417" t="str">
        <x:v>Jindal SAW / Jindal Tubular</x:v>
      </x:c>
      <x:c r="C417" t="str">
        <x:v>K55</x:v>
      </x:c>
      <x:c r="D417" t="str">
        <x:v>Carbon / low alloy</x:v>
      </x:c>
      <x:c r="E417" t="str">
        <x:v>Conventional OCTG / HCP110 is high collapse</x:v>
      </x:c>
      <x:c r="F417" s="82" t="n">
        <x:v>55</x:v>
      </x:c>
      <x:c r="G417" t="str">
        <x:v>Yes</x:v>
      </x:c>
      <x:c r="H417" t="str">
        <x:v>A</x:v>
      </x:c>
      <x:c r="I417" t="str">
        <x:v>No</x:v>
      </x:c>
      <x:c r="J417" t="str">
        <x:v>No</x:v>
      </x:c>
      <x:c r="K417" t="str">
        <x:v>No</x:v>
      </x:c>
      <x:c r="L417" t="str">
        <x:f>IF(F417="","UNKNOWN",IF(F417&lt;'WELL INPUTS'!$B$11,"BELOW","OK"))</x:f>
        <x:v>BELOW</x:v>
      </x:c>
      <x:c r="M417" t="str">
        <x:f>IF(AND('WELL INPUTS'!$B$4="Wet",'WELL INPUTS'!$B$5&gt;0),IF(I417="Yes","CATALOG SOUR","NOT LISTED"),"N/A")</x:f>
        <x:v>N/A</x:v>
      </x:c>
      <x:c r="N417" t="str">
        <x:f>IF(AND('WELL INPUTS'!$B$4="Wet",'WELL INPUTS'!$B$6&gt;0),IF(J417="Yes","ALLOY FAMILY","CORROSION CONTROL"),"N/A")</x:f>
        <x:v>CORROSION CONTROL</x:v>
      </x:c>
      <x:c r="O417" t="str">
        <x:f>IF('WELL INPUTS'!$B$12="Yes",IF(G417="Yes","CLAIMED","NOT LISTED"),"N/A")</x:f>
        <x:v>N/A</x:v>
      </x:c>
      <x:c r="P417" t="str">
        <x:f>IF(OR('WELL INPUTS'!$B$13="Unrestricted",CODE(H417)&lt;=CODE('WELL INPUTS'!$B$13)),"WITHIN TIER","OVER CAP")</x:f>
        <x:v>WITHIN TIER</x:v>
      </x:c>
      <x:c r="Q417" t="n">
        <x:f>MAX(0,MIN(100,43+IF(L417="OK",14,-20)+IF(M417="CATALOG SOUR",24,IF(M417="NOT LISTED",-18,0))+IF(N417="ALLOY FAMILY",14,IF(N417="CORROSION CONTROL",-13,0))+IF(O417="CLAIMED",17,IF(O417="NOT LISTED",-14,0))+IF(K417="Yes",-15,0)+IF('WELL INPUTS'!$B$10="Yes",-17,0)))</x:f>
        <x:v>10</x:v>
      </x:c>
      <x:c r="R417" s="83" t="str">
        <x:f>IF(L417="BELOW","EXCLUDE — STRENGTH",IF(P417="OVER CAP","EXCLUDE — COST",IF(K417="Yes",IF('WELL INPUTS'!$B$14="No","EXCLUDE — REFERENCE","REFERENCE ONLY"),IF(OR(L417="UNKNOWN",M417="NOT LISTED",N417="CORROSION CONTROL",O417="NOT LISTED",'WELL INPUTS'!$B$10="Yes",'WELL INPUTS'!$B$4="Unknown"),"REVIEW","CANDIDATE — VERIFY"))))</x:f>
        <x:v>EXCLUDE — STRENGTH</x:v>
      </x:c>
      <x:c r="S417" t="str">
        <x:f>IF(L417="BELOW","Increase minimum grade strength",IF(P417="OVER CAP","Relax cost tier or exclude",IF(K417="Yes","Identify qualified manufacturer grade",IF(M417="NOT LISTED","Confirm sour-service claim and ISO 15156",IF(O417="NOT LISTED","Obtain manufacturer collapse curve",IF(N417="CORROSION CONTROL","Model CO2 corrosion; review inhibition","Confirm corrosion, cracking, loads and connection"))))))</x:f>
        <x:v>Increase minimum grade strength</x:v>
      </x:c>
      <x:c r="T417" t="str">
        <x:v>https://jindalsaw.com/business-operations/products/pipes-helical-longitudinal-submerged-arc-welding/</x:v>
      </x:c>
    </x:row>
    <x:row r="418" ht="23" customHeight="1">
      <x:c r="A418" t="str">
        <x:v>OCTG-0417</x:v>
      </x:c>
      <x:c r="B418" t="str">
        <x:v>Jindal SAW / Jindal Tubular</x:v>
      </x:c>
      <x:c r="C418" t="str">
        <x:v>L80</x:v>
      </x:c>
      <x:c r="D418" t="str">
        <x:v>Carbon / low alloy</x:v>
      </x:c>
      <x:c r="E418" t="str">
        <x:v>Conventional OCTG / HCP110 is high collapse</x:v>
      </x:c>
      <x:c r="F418" s="82" t="n">
        <x:v>80</x:v>
      </x:c>
      <x:c r="G418" t="str">
        <x:v>Yes</x:v>
      </x:c>
      <x:c r="H418" t="str">
        <x:v>A</x:v>
      </x:c>
      <x:c r="I418" t="str">
        <x:v>No</x:v>
      </x:c>
      <x:c r="J418" t="str">
        <x:v>No</x:v>
      </x:c>
      <x:c r="K418" t="str">
        <x:v>No</x:v>
      </x:c>
      <x:c r="L418" t="str">
        <x:f>IF(F418="","UNKNOWN",IF(F418&lt;'WELL INPUTS'!$B$11,"BELOW","OK"))</x:f>
        <x:v>OK</x:v>
      </x:c>
      <x:c r="M418" t="str">
        <x:f>IF(AND('WELL INPUTS'!$B$4="Wet",'WELL INPUTS'!$B$5&gt;0),IF(I418="Yes","CATALOG SOUR","NOT LISTED"),"N/A")</x:f>
        <x:v>N/A</x:v>
      </x:c>
      <x:c r="N418" t="str">
        <x:f>IF(AND('WELL INPUTS'!$B$4="Wet",'WELL INPUTS'!$B$6&gt;0),IF(J418="Yes","ALLOY FAMILY","CORROSION CONTROL"),"N/A")</x:f>
        <x:v>CORROSION CONTROL</x:v>
      </x:c>
      <x:c r="O418" t="str">
        <x:f>IF('WELL INPUTS'!$B$12="Yes",IF(G418="Yes","CLAIMED","NOT LISTED"),"N/A")</x:f>
        <x:v>N/A</x:v>
      </x:c>
      <x:c r="P418" t="str">
        <x:f>IF(OR('WELL INPUTS'!$B$13="Unrestricted",CODE(H418)&lt;=CODE('WELL INPUTS'!$B$13)),"WITHIN TIER","OVER CAP")</x:f>
        <x:v>WITHIN TIER</x:v>
      </x:c>
      <x:c r="Q418" t="n">
        <x:f>MAX(0,MIN(100,43+IF(L418="OK",14,-20)+IF(M418="CATALOG SOUR",24,IF(M418="NOT LISTED",-18,0))+IF(N418="ALLOY FAMILY",14,IF(N418="CORROSION CONTROL",-13,0))+IF(O418="CLAIMED",17,IF(O418="NOT LISTED",-14,0))+IF(K418="Yes",-15,0)+IF('WELL INPUTS'!$B$10="Yes",-17,0)))</x:f>
        <x:v>44</x:v>
      </x:c>
      <x:c r="R418" s="83" t="str">
        <x:f>IF(L418="BELOW","EXCLUDE — STRENGTH",IF(P418="OVER CAP","EXCLUDE — COST",IF(K418="Yes",IF('WELL INPUTS'!$B$14="No","EXCLUDE — REFERENCE","REFERENCE ONLY"),IF(OR(L418="UNKNOWN",M418="NOT LISTED",N418="CORROSION CONTROL",O418="NOT LISTED",'WELL INPUTS'!$B$10="Yes",'WELL INPUTS'!$B$4="Unknown"),"REVIEW","CANDIDATE — VERIFY"))))</x:f>
        <x:v>REVIEW</x:v>
      </x:c>
      <x:c r="S418" t="str">
        <x:f>IF(L418="BELOW","Increase minimum grade strength",IF(P418="OVER CAP","Relax cost tier or exclude",IF(K418="Yes","Identify qualified manufacturer grade",IF(M418="NOT LISTED","Confirm sour-service claim and ISO 15156",IF(O418="NOT LISTED","Obtain manufacturer collapse curve",IF(N418="CORROSION CONTROL","Model CO2 corrosion; review inhibition","Confirm corrosion, cracking, loads and connection"))))))</x:f>
        <x:v>Model CO2 corrosion; review inhibition</x:v>
      </x:c>
      <x:c r="T418" t="str">
        <x:v>https://jindalsaw.com/business-operations/products/pipes-helical-longitudinal-submerged-arc-welding/</x:v>
      </x:c>
    </x:row>
    <x:row r="419" ht="23" customHeight="1">
      <x:c r="A419" t="str">
        <x:v>OCTG-0418</x:v>
      </x:c>
      <x:c r="B419" t="str">
        <x:v>Jindal SAW / Jindal Tubular</x:v>
      </x:c>
      <x:c r="C419" t="str">
        <x:v>N80</x:v>
      </x:c>
      <x:c r="D419" t="str">
        <x:v>Carbon / low alloy</x:v>
      </x:c>
      <x:c r="E419" t="str">
        <x:v>Conventional OCTG / HCP110 is high collapse</x:v>
      </x:c>
      <x:c r="F419" s="82" t="n">
        <x:v>80</x:v>
      </x:c>
      <x:c r="G419" t="str">
        <x:v>Yes</x:v>
      </x:c>
      <x:c r="H419" t="str">
        <x:v>A</x:v>
      </x:c>
      <x:c r="I419" t="str">
        <x:v>No</x:v>
      </x:c>
      <x:c r="J419" t="str">
        <x:v>No</x:v>
      </x:c>
      <x:c r="K419" t="str">
        <x:v>No</x:v>
      </x:c>
      <x:c r="L419" t="str">
        <x:f>IF(F419="","UNKNOWN",IF(F419&lt;'WELL INPUTS'!$B$11,"BELOW","OK"))</x:f>
        <x:v>OK</x:v>
      </x:c>
      <x:c r="M419" t="str">
        <x:f>IF(AND('WELL INPUTS'!$B$4="Wet",'WELL INPUTS'!$B$5&gt;0),IF(I419="Yes","CATALOG SOUR","NOT LISTED"),"N/A")</x:f>
        <x:v>N/A</x:v>
      </x:c>
      <x:c r="N419" t="str">
        <x:f>IF(AND('WELL INPUTS'!$B$4="Wet",'WELL INPUTS'!$B$6&gt;0),IF(J419="Yes","ALLOY FAMILY","CORROSION CONTROL"),"N/A")</x:f>
        <x:v>CORROSION CONTROL</x:v>
      </x:c>
      <x:c r="O419" t="str">
        <x:f>IF('WELL INPUTS'!$B$12="Yes",IF(G419="Yes","CLAIMED","NOT LISTED"),"N/A")</x:f>
        <x:v>N/A</x:v>
      </x:c>
      <x:c r="P419" t="str">
        <x:f>IF(OR('WELL INPUTS'!$B$13="Unrestricted",CODE(H419)&lt;=CODE('WELL INPUTS'!$B$13)),"WITHIN TIER","OVER CAP")</x:f>
        <x:v>WITHIN TIER</x:v>
      </x:c>
      <x:c r="Q419" t="n">
        <x:f>MAX(0,MIN(100,43+IF(L419="OK",14,-20)+IF(M419="CATALOG SOUR",24,IF(M419="NOT LISTED",-18,0))+IF(N419="ALLOY FAMILY",14,IF(N419="CORROSION CONTROL",-13,0))+IF(O419="CLAIMED",17,IF(O419="NOT LISTED",-14,0))+IF(K419="Yes",-15,0)+IF('WELL INPUTS'!$B$10="Yes",-17,0)))</x:f>
        <x:v>44</x:v>
      </x:c>
      <x:c r="R419" s="83" t="str">
        <x:f>IF(L419="BELOW","EXCLUDE — STRENGTH",IF(P419="OVER CAP","EXCLUDE — COST",IF(K419="Yes",IF('WELL INPUTS'!$B$14="No","EXCLUDE — REFERENCE","REFERENCE ONLY"),IF(OR(L419="UNKNOWN",M419="NOT LISTED",N419="CORROSION CONTROL",O419="NOT LISTED",'WELL INPUTS'!$B$10="Yes",'WELL INPUTS'!$B$4="Unknown"),"REVIEW","CANDIDATE — VERIFY"))))</x:f>
        <x:v>REVIEW</x:v>
      </x:c>
      <x:c r="S419" t="str">
        <x:f>IF(L419="BELOW","Increase minimum grade strength",IF(P419="OVER CAP","Relax cost tier or exclude",IF(K419="Yes","Identify qualified manufacturer grade",IF(M419="NOT LISTED","Confirm sour-service claim and ISO 15156",IF(O419="NOT LISTED","Obtain manufacturer collapse curve",IF(N419="CORROSION CONTROL","Model CO2 corrosion; review inhibition","Confirm corrosion, cracking, loads and connection"))))))</x:f>
        <x:v>Model CO2 corrosion; review inhibition</x:v>
      </x:c>
      <x:c r="T419" t="str">
        <x:v>https://jindalsaw.com/business-operations/products/pipes-helical-longitudinal-submerged-arc-welding/</x:v>
      </x:c>
    </x:row>
    <x:row r="420" ht="23" customHeight="1">
      <x:c r="A420" t="str">
        <x:v>OCTG-0419</x:v>
      </x:c>
      <x:c r="B420" t="str">
        <x:v>Jindal SAW / Jindal Tubular</x:v>
      </x:c>
      <x:c r="C420" t="str">
        <x:v>P110</x:v>
      </x:c>
      <x:c r="D420" t="str">
        <x:v>Carbon / low alloy</x:v>
      </x:c>
      <x:c r="E420" t="str">
        <x:v>Conventional OCTG / HCP110 is high collapse</x:v>
      </x:c>
      <x:c r="F420" s="82" t="n">
        <x:v>110</x:v>
      </x:c>
      <x:c r="G420" t="str">
        <x:v>Yes</x:v>
      </x:c>
      <x:c r="H420" t="str">
        <x:v>A</x:v>
      </x:c>
      <x:c r="I420" t="str">
        <x:v>No</x:v>
      </x:c>
      <x:c r="J420" t="str">
        <x:v>No</x:v>
      </x:c>
      <x:c r="K420" t="str">
        <x:v>No</x:v>
      </x:c>
      <x:c r="L420" t="str">
        <x:f>IF(F420="","UNKNOWN",IF(F420&lt;'WELL INPUTS'!$B$11,"BELOW","OK"))</x:f>
        <x:v>OK</x:v>
      </x:c>
      <x:c r="M420" t="str">
        <x:f>IF(AND('WELL INPUTS'!$B$4="Wet",'WELL INPUTS'!$B$5&gt;0),IF(I420="Yes","CATALOG SOUR","NOT LISTED"),"N/A")</x:f>
        <x:v>N/A</x:v>
      </x:c>
      <x:c r="N420" t="str">
        <x:f>IF(AND('WELL INPUTS'!$B$4="Wet",'WELL INPUTS'!$B$6&gt;0),IF(J420="Yes","ALLOY FAMILY","CORROSION CONTROL"),"N/A")</x:f>
        <x:v>CORROSION CONTROL</x:v>
      </x:c>
      <x:c r="O420" t="str">
        <x:f>IF('WELL INPUTS'!$B$12="Yes",IF(G420="Yes","CLAIMED","NOT LISTED"),"N/A")</x:f>
        <x:v>N/A</x:v>
      </x:c>
      <x:c r="P420" t="str">
        <x:f>IF(OR('WELL INPUTS'!$B$13="Unrestricted",CODE(H420)&lt;=CODE('WELL INPUTS'!$B$13)),"WITHIN TIER","OVER CAP")</x:f>
        <x:v>WITHIN TIER</x:v>
      </x:c>
      <x:c r="Q420" t="n">
        <x:f>MAX(0,MIN(100,43+IF(L420="OK",14,-20)+IF(M420="CATALOG SOUR",24,IF(M420="NOT LISTED",-18,0))+IF(N420="ALLOY FAMILY",14,IF(N420="CORROSION CONTROL",-13,0))+IF(O420="CLAIMED",17,IF(O420="NOT LISTED",-14,0))+IF(K420="Yes",-15,0)+IF('WELL INPUTS'!$B$10="Yes",-17,0)))</x:f>
        <x:v>44</x:v>
      </x:c>
      <x:c r="R420" s="83" t="str">
        <x:f>IF(L420="BELOW","EXCLUDE — STRENGTH",IF(P420="OVER CAP","EXCLUDE — COST",IF(K420="Yes",IF('WELL INPUTS'!$B$14="No","EXCLUDE — REFERENCE","REFERENCE ONLY"),IF(OR(L420="UNKNOWN",M420="NOT LISTED",N420="CORROSION CONTROL",O420="NOT LISTED",'WELL INPUTS'!$B$10="Yes",'WELL INPUTS'!$B$4="Unknown"),"REVIEW","CANDIDATE — VERIFY"))))</x:f>
        <x:v>REVIEW</x:v>
      </x:c>
      <x:c r="S420" t="str">
        <x:f>IF(L420="BELOW","Increase minimum grade strength",IF(P420="OVER CAP","Relax cost tier or exclude",IF(K420="Yes","Identify qualified manufacturer grade",IF(M420="NOT LISTED","Confirm sour-service claim and ISO 15156",IF(O420="NOT LISTED","Obtain manufacturer collapse curve",IF(N420="CORROSION CONTROL","Model CO2 corrosion; review inhibition","Confirm corrosion, cracking, loads and connection"))))))</x:f>
        <x:v>Model CO2 corrosion; review inhibition</x:v>
      </x:c>
      <x:c r="T420" t="str">
        <x:v>https://jindalsaw.com/business-operations/products/pipes-helical-longitudinal-submerged-arc-welding/</x:v>
      </x:c>
    </x:row>
    <x:row r="421" ht="23" customHeight="1">
      <x:c r="A421" t="str">
        <x:v>OCTG-0420</x:v>
      </x:c>
      <x:c r="B421" t="str">
        <x:v>Jindal Pipes</x:v>
      </x:c>
      <x:c r="C421" t="str">
        <x:v>J55</x:v>
      </x:c>
      <x:c r="D421" t="str">
        <x:v>Carbon / low alloy</x:v>
      </x:c>
      <x:c r="E421" t="str">
        <x:v>API 5CT ERW casing and tubing</x:v>
      </x:c>
      <x:c r="F421" s="82" t="n">
        <x:v>55</x:v>
      </x:c>
      <x:c r="G421" t="str">
        <x:v>No</x:v>
      </x:c>
      <x:c r="H421" t="str">
        <x:v>A</x:v>
      </x:c>
      <x:c r="I421" t="str">
        <x:v>No</x:v>
      </x:c>
      <x:c r="J421" t="str">
        <x:v>No</x:v>
      </x:c>
      <x:c r="K421" t="str">
        <x:v>No</x:v>
      </x:c>
      <x:c r="L421" t="str">
        <x:f>IF(F421="","UNKNOWN",IF(F421&lt;'WELL INPUTS'!$B$11,"BELOW","OK"))</x:f>
        <x:v>BELOW</x:v>
      </x:c>
      <x:c r="M421" t="str">
        <x:f>IF(AND('WELL INPUTS'!$B$4="Wet",'WELL INPUTS'!$B$5&gt;0),IF(I421="Yes","CATALOG SOUR","NOT LISTED"),"N/A")</x:f>
        <x:v>N/A</x:v>
      </x:c>
      <x:c r="N421" t="str">
        <x:f>IF(AND('WELL INPUTS'!$B$4="Wet",'WELL INPUTS'!$B$6&gt;0),IF(J421="Yes","ALLOY FAMILY","CORROSION CONTROL"),"N/A")</x:f>
        <x:v>CORROSION CONTROL</x:v>
      </x:c>
      <x:c r="O421" t="str">
        <x:f>IF('WELL INPUTS'!$B$12="Yes",IF(G421="Yes","CLAIMED","NOT LISTED"),"N/A")</x:f>
        <x:v>N/A</x:v>
      </x:c>
      <x:c r="P421" t="str">
        <x:f>IF(OR('WELL INPUTS'!$B$13="Unrestricted",CODE(H421)&lt;=CODE('WELL INPUTS'!$B$13)),"WITHIN TIER","OVER CAP")</x:f>
        <x:v>WITHIN TIER</x:v>
      </x:c>
      <x:c r="Q421" t="n">
        <x:f>MAX(0,MIN(100,43+IF(L421="OK",14,-20)+IF(M421="CATALOG SOUR",24,IF(M421="NOT LISTED",-18,0))+IF(N421="ALLOY FAMILY",14,IF(N421="CORROSION CONTROL",-13,0))+IF(O421="CLAIMED",17,IF(O421="NOT LISTED",-14,0))+IF(K421="Yes",-15,0)+IF('WELL INPUTS'!$B$10="Yes",-17,0)))</x:f>
        <x:v>10</x:v>
      </x:c>
      <x:c r="R421" s="83" t="str">
        <x:f>IF(L421="BELOW","EXCLUDE — STRENGTH",IF(P421="OVER CAP","EXCLUDE — COST",IF(K421="Yes",IF('WELL INPUTS'!$B$14="No","EXCLUDE — REFERENCE","REFERENCE ONLY"),IF(OR(L421="UNKNOWN",M421="NOT LISTED",N421="CORROSION CONTROL",O421="NOT LISTED",'WELL INPUTS'!$B$10="Yes",'WELL INPUTS'!$B$4="Unknown"),"REVIEW","CANDIDATE — VERIFY"))))</x:f>
        <x:v>EXCLUDE — STRENGTH</x:v>
      </x:c>
      <x:c r="S421" t="str">
        <x:f>IF(L421="BELOW","Increase minimum grade strength",IF(P421="OVER CAP","Relax cost tier or exclude",IF(K421="Yes","Identify qualified manufacturer grade",IF(M421="NOT LISTED","Confirm sour-service claim and ISO 15156",IF(O421="NOT LISTED","Obtain manufacturer collapse curve",IF(N421="CORROSION CONTROL","Model CO2 corrosion; review inhibition","Confirm corrosion, cracking, loads and connection"))))))</x:f>
        <x:v>Increase minimum grade strength</x:v>
      </x:c>
      <x:c r="T421" t="str">
        <x:v>https://www.jindal.com/jpl/casing-tubing-pipe.html</x:v>
      </x:c>
    </x:row>
    <x:row r="422" ht="23" customHeight="1">
      <x:c r="A422" t="str">
        <x:v>OCTG-0421</x:v>
      </x:c>
      <x:c r="B422" t="str">
        <x:v>Jindal Pipes</x:v>
      </x:c>
      <x:c r="C422" t="str">
        <x:v>K55</x:v>
      </x:c>
      <x:c r="D422" t="str">
        <x:v>Carbon / low alloy</x:v>
      </x:c>
      <x:c r="E422" t="str">
        <x:v>API 5CT ERW casing and tubing</x:v>
      </x:c>
      <x:c r="F422" s="82" t="n">
        <x:v>55</x:v>
      </x:c>
      <x:c r="G422" t="str">
        <x:v>No</x:v>
      </x:c>
      <x:c r="H422" t="str">
        <x:v>A</x:v>
      </x:c>
      <x:c r="I422" t="str">
        <x:v>No</x:v>
      </x:c>
      <x:c r="J422" t="str">
        <x:v>No</x:v>
      </x:c>
      <x:c r="K422" t="str">
        <x:v>No</x:v>
      </x:c>
      <x:c r="L422" t="str">
        <x:f>IF(F422="","UNKNOWN",IF(F422&lt;'WELL INPUTS'!$B$11,"BELOW","OK"))</x:f>
        <x:v>BELOW</x:v>
      </x:c>
      <x:c r="M422" t="str">
        <x:f>IF(AND('WELL INPUTS'!$B$4="Wet",'WELL INPUTS'!$B$5&gt;0),IF(I422="Yes","CATALOG SOUR","NOT LISTED"),"N/A")</x:f>
        <x:v>N/A</x:v>
      </x:c>
      <x:c r="N422" t="str">
        <x:f>IF(AND('WELL INPUTS'!$B$4="Wet",'WELL INPUTS'!$B$6&gt;0),IF(J422="Yes","ALLOY FAMILY","CORROSION CONTROL"),"N/A")</x:f>
        <x:v>CORROSION CONTROL</x:v>
      </x:c>
      <x:c r="O422" t="str">
        <x:f>IF('WELL INPUTS'!$B$12="Yes",IF(G422="Yes","CLAIMED","NOT LISTED"),"N/A")</x:f>
        <x:v>N/A</x:v>
      </x:c>
      <x:c r="P422" t="str">
        <x:f>IF(OR('WELL INPUTS'!$B$13="Unrestricted",CODE(H422)&lt;=CODE('WELL INPUTS'!$B$13)),"WITHIN TIER","OVER CAP")</x:f>
        <x:v>WITHIN TIER</x:v>
      </x:c>
      <x:c r="Q422" t="n">
        <x:f>MAX(0,MIN(100,43+IF(L422="OK",14,-20)+IF(M422="CATALOG SOUR",24,IF(M422="NOT LISTED",-18,0))+IF(N422="ALLOY FAMILY",14,IF(N422="CORROSION CONTROL",-13,0))+IF(O422="CLAIMED",17,IF(O422="NOT LISTED",-14,0))+IF(K422="Yes",-15,0)+IF('WELL INPUTS'!$B$10="Yes",-17,0)))</x:f>
        <x:v>10</x:v>
      </x:c>
      <x:c r="R422" s="83" t="str">
        <x:f>IF(L422="BELOW","EXCLUDE — STRENGTH",IF(P422="OVER CAP","EXCLUDE — COST",IF(K422="Yes",IF('WELL INPUTS'!$B$14="No","EXCLUDE — REFERENCE","REFERENCE ONLY"),IF(OR(L422="UNKNOWN",M422="NOT LISTED",N422="CORROSION CONTROL",O422="NOT LISTED",'WELL INPUTS'!$B$10="Yes",'WELL INPUTS'!$B$4="Unknown"),"REVIEW","CANDIDATE — VERIFY"))))</x:f>
        <x:v>EXCLUDE — STRENGTH</x:v>
      </x:c>
      <x:c r="S422" t="str">
        <x:f>IF(L422="BELOW","Increase minimum grade strength",IF(P422="OVER CAP","Relax cost tier or exclude",IF(K422="Yes","Identify qualified manufacturer grade",IF(M422="NOT LISTED","Confirm sour-service claim and ISO 15156",IF(O422="NOT LISTED","Obtain manufacturer collapse curve",IF(N422="CORROSION CONTROL","Model CO2 corrosion; review inhibition","Confirm corrosion, cracking, loads and connection"))))))</x:f>
        <x:v>Increase minimum grade strength</x:v>
      </x:c>
      <x:c r="T422" t="str">
        <x:v>https://www.jindal.com/jpl/casing-tubing-pipe.html</x:v>
      </x:c>
    </x:row>
    <x:row r="423" ht="23" customHeight="1">
      <x:c r="A423" t="str">
        <x:v>OCTG-0422</x:v>
      </x:c>
      <x:c r="B423" t="str">
        <x:v>Jindal Pipes</x:v>
      </x:c>
      <x:c r="C423" t="str">
        <x:v>N80 Type 1</x:v>
      </x:c>
      <x:c r="D423" t="str">
        <x:v>Carbon / low alloy</x:v>
      </x:c>
      <x:c r="E423" t="str">
        <x:v>API 5CT ERW casing and tubing</x:v>
      </x:c>
      <x:c r="F423" s="82" t="n">
        <x:v>80</x:v>
      </x:c>
      <x:c r="G423" t="str">
        <x:v>No</x:v>
      </x:c>
      <x:c r="H423" t="str">
        <x:v>A</x:v>
      </x:c>
      <x:c r="I423" t="str">
        <x:v>No</x:v>
      </x:c>
      <x:c r="J423" t="str">
        <x:v>No</x:v>
      </x:c>
      <x:c r="K423" t="str">
        <x:v>No</x:v>
      </x:c>
      <x:c r="L423" t="str">
        <x:f>IF(F423="","UNKNOWN",IF(F423&lt;'WELL INPUTS'!$B$11,"BELOW","OK"))</x:f>
        <x:v>OK</x:v>
      </x:c>
      <x:c r="M423" t="str">
        <x:f>IF(AND('WELL INPUTS'!$B$4="Wet",'WELL INPUTS'!$B$5&gt;0),IF(I423="Yes","CATALOG SOUR","NOT LISTED"),"N/A")</x:f>
        <x:v>N/A</x:v>
      </x:c>
      <x:c r="N423" t="str">
        <x:f>IF(AND('WELL INPUTS'!$B$4="Wet",'WELL INPUTS'!$B$6&gt;0),IF(J423="Yes","ALLOY FAMILY","CORROSION CONTROL"),"N/A")</x:f>
        <x:v>CORROSION CONTROL</x:v>
      </x:c>
      <x:c r="O423" t="str">
        <x:f>IF('WELL INPUTS'!$B$12="Yes",IF(G423="Yes","CLAIMED","NOT LISTED"),"N/A")</x:f>
        <x:v>N/A</x:v>
      </x:c>
      <x:c r="P423" t="str">
        <x:f>IF(OR('WELL INPUTS'!$B$13="Unrestricted",CODE(H423)&lt;=CODE('WELL INPUTS'!$B$13)),"WITHIN TIER","OVER CAP")</x:f>
        <x:v>WITHIN TIER</x:v>
      </x:c>
      <x:c r="Q423" t="n">
        <x:f>MAX(0,MIN(100,43+IF(L423="OK",14,-20)+IF(M423="CATALOG SOUR",24,IF(M423="NOT LISTED",-18,0))+IF(N423="ALLOY FAMILY",14,IF(N423="CORROSION CONTROL",-13,0))+IF(O423="CLAIMED",17,IF(O423="NOT LISTED",-14,0))+IF(K423="Yes",-15,0)+IF('WELL INPUTS'!$B$10="Yes",-17,0)))</x:f>
        <x:v>44</x:v>
      </x:c>
      <x:c r="R423" s="83" t="str">
        <x:f>IF(L423="BELOW","EXCLUDE — STRENGTH",IF(P423="OVER CAP","EXCLUDE — COST",IF(K423="Yes",IF('WELL INPUTS'!$B$14="No","EXCLUDE — REFERENCE","REFERENCE ONLY"),IF(OR(L423="UNKNOWN",M423="NOT LISTED",N423="CORROSION CONTROL",O423="NOT LISTED",'WELL INPUTS'!$B$10="Yes",'WELL INPUTS'!$B$4="Unknown"),"REVIEW","CANDIDATE — VERIFY"))))</x:f>
        <x:v>REVIEW</x:v>
      </x:c>
      <x:c r="S423" t="str">
        <x:f>IF(L423="BELOW","Increase minimum grade strength",IF(P423="OVER CAP","Relax cost tier or exclude",IF(K423="Yes","Identify qualified manufacturer grade",IF(M423="NOT LISTED","Confirm sour-service claim and ISO 15156",IF(O423="NOT LISTED","Obtain manufacturer collapse curve",IF(N423="CORROSION CONTROL","Model CO2 corrosion; review inhibition","Confirm corrosion, cracking, loads and connection"))))))</x:f>
        <x:v>Model CO2 corrosion; review inhibition</x:v>
      </x:c>
      <x:c r="T423" t="str">
        <x:v>https://www.jindal.com/jpl/casing-tubing-pipe.html</x:v>
      </x:c>
    </x:row>
    <x:row r="424" ht="23" customHeight="1">
      <x:c r="A424" t="str">
        <x:v>OCTG-0423</x:v>
      </x:c>
      <x:c r="B424" t="str">
        <x:v>Jindal Pipes</x:v>
      </x:c>
      <x:c r="C424" t="str">
        <x:v>N80 Type Q</x:v>
      </x:c>
      <x:c r="D424" t="str">
        <x:v>Carbon / low alloy</x:v>
      </x:c>
      <x:c r="E424" t="str">
        <x:v>API 5CT ERW casing and tubing</x:v>
      </x:c>
      <x:c r="F424" s="82" t="n">
        <x:v>80</x:v>
      </x:c>
      <x:c r="G424" t="str">
        <x:v>No</x:v>
      </x:c>
      <x:c r="H424" t="str">
        <x:v>A</x:v>
      </x:c>
      <x:c r="I424" t="str">
        <x:v>No</x:v>
      </x:c>
      <x:c r="J424" t="str">
        <x:v>No</x:v>
      </x:c>
      <x:c r="K424" t="str">
        <x:v>No</x:v>
      </x:c>
      <x:c r="L424" t="str">
        <x:f>IF(F424="","UNKNOWN",IF(F424&lt;'WELL INPUTS'!$B$11,"BELOW","OK"))</x:f>
        <x:v>OK</x:v>
      </x:c>
      <x:c r="M424" t="str">
        <x:f>IF(AND('WELL INPUTS'!$B$4="Wet",'WELL INPUTS'!$B$5&gt;0),IF(I424="Yes","CATALOG SOUR","NOT LISTED"),"N/A")</x:f>
        <x:v>N/A</x:v>
      </x:c>
      <x:c r="N424" t="str">
        <x:f>IF(AND('WELL INPUTS'!$B$4="Wet",'WELL INPUTS'!$B$6&gt;0),IF(J424="Yes","ALLOY FAMILY","CORROSION CONTROL"),"N/A")</x:f>
        <x:v>CORROSION CONTROL</x:v>
      </x:c>
      <x:c r="O424" t="str">
        <x:f>IF('WELL INPUTS'!$B$12="Yes",IF(G424="Yes","CLAIMED","NOT LISTED"),"N/A")</x:f>
        <x:v>N/A</x:v>
      </x:c>
      <x:c r="P424" t="str">
        <x:f>IF(OR('WELL INPUTS'!$B$13="Unrestricted",CODE(H424)&lt;=CODE('WELL INPUTS'!$B$13)),"WITHIN TIER","OVER CAP")</x:f>
        <x:v>WITHIN TIER</x:v>
      </x:c>
      <x:c r="Q424" t="n">
        <x:f>MAX(0,MIN(100,43+IF(L424="OK",14,-20)+IF(M424="CATALOG SOUR",24,IF(M424="NOT LISTED",-18,0))+IF(N424="ALLOY FAMILY",14,IF(N424="CORROSION CONTROL",-13,0))+IF(O424="CLAIMED",17,IF(O424="NOT LISTED",-14,0))+IF(K424="Yes",-15,0)+IF('WELL INPUTS'!$B$10="Yes",-17,0)))</x:f>
        <x:v>44</x:v>
      </x:c>
      <x:c r="R424" s="83" t="str">
        <x:f>IF(L424="BELOW","EXCLUDE — STRENGTH",IF(P424="OVER CAP","EXCLUDE — COST",IF(K424="Yes",IF('WELL INPUTS'!$B$14="No","EXCLUDE — REFERENCE","REFERENCE ONLY"),IF(OR(L424="UNKNOWN",M424="NOT LISTED",N424="CORROSION CONTROL",O424="NOT LISTED",'WELL INPUTS'!$B$10="Yes",'WELL INPUTS'!$B$4="Unknown"),"REVIEW","CANDIDATE — VERIFY"))))</x:f>
        <x:v>REVIEW</x:v>
      </x:c>
      <x:c r="S424" t="str">
        <x:f>IF(L424="BELOW","Increase minimum grade strength",IF(P424="OVER CAP","Relax cost tier or exclude",IF(K424="Yes","Identify qualified manufacturer grade",IF(M424="NOT LISTED","Confirm sour-service claim and ISO 15156",IF(O424="NOT LISTED","Obtain manufacturer collapse curve",IF(N424="CORROSION CONTROL","Model CO2 corrosion; review inhibition","Confirm corrosion, cracking, loads and connection"))))))</x:f>
        <x:v>Model CO2 corrosion; review inhibition</x:v>
      </x:c>
      <x:c r="T424" t="str">
        <x:v>https://www.jindal.com/jpl/casing-tubing-pipe.html</x:v>
      </x:c>
    </x:row>
    <x:row r="425" ht="23" customHeight="1">
      <x:c r="A425" t="str">
        <x:v>OCTG-0424</x:v>
      </x:c>
      <x:c r="B425" t="str">
        <x:v>Interpipe</x:v>
      </x:c>
      <x:c r="C425" t="str">
        <x:v>C110</x:v>
      </x:c>
      <x:c r="D425" t="str">
        <x:v>Carbon / low alloy</x:v>
      </x:c>
      <x:c r="E425" t="str">
        <x:v>Supplier-listed API OCTG seamless / welded</x:v>
      </x:c>
      <x:c r="F425" s="82" t="n">
        <x:v>110</x:v>
      </x:c>
      <x:c r="G425" t="str">
        <x:v>No</x:v>
      </x:c>
      <x:c r="H425" t="str">
        <x:v>A</x:v>
      </x:c>
      <x:c r="I425" t="str">
        <x:v>No</x:v>
      </x:c>
      <x:c r="J425" t="str">
        <x:v>No</x:v>
      </x:c>
      <x:c r="K425" t="str">
        <x:v>No</x:v>
      </x:c>
      <x:c r="L425" t="str">
        <x:f>IF(F425="","UNKNOWN",IF(F425&lt;'WELL INPUTS'!$B$11,"BELOW","OK"))</x:f>
        <x:v>OK</x:v>
      </x:c>
      <x:c r="M425" t="str">
        <x:f>IF(AND('WELL INPUTS'!$B$4="Wet",'WELL INPUTS'!$B$5&gt;0),IF(I425="Yes","CATALOG SOUR","NOT LISTED"),"N/A")</x:f>
        <x:v>N/A</x:v>
      </x:c>
      <x:c r="N425" t="str">
        <x:f>IF(AND('WELL INPUTS'!$B$4="Wet",'WELL INPUTS'!$B$6&gt;0),IF(J425="Yes","ALLOY FAMILY","CORROSION CONTROL"),"N/A")</x:f>
        <x:v>CORROSION CONTROL</x:v>
      </x:c>
      <x:c r="O425" t="str">
        <x:f>IF('WELL INPUTS'!$B$12="Yes",IF(G425="Yes","CLAIMED","NOT LISTED"),"N/A")</x:f>
        <x:v>N/A</x:v>
      </x:c>
      <x:c r="P425" t="str">
        <x:f>IF(OR('WELL INPUTS'!$B$13="Unrestricted",CODE(H425)&lt;=CODE('WELL INPUTS'!$B$13)),"WITHIN TIER","OVER CAP")</x:f>
        <x:v>WITHIN TIER</x:v>
      </x:c>
      <x:c r="Q425" t="n">
        <x:f>MAX(0,MIN(100,43+IF(L425="OK",14,-20)+IF(M425="CATALOG SOUR",24,IF(M425="NOT LISTED",-18,0))+IF(N425="ALLOY FAMILY",14,IF(N425="CORROSION CONTROL",-13,0))+IF(O425="CLAIMED",17,IF(O425="NOT LISTED",-14,0))+IF(K425="Yes",-15,0)+IF('WELL INPUTS'!$B$10="Yes",-17,0)))</x:f>
        <x:v>44</x:v>
      </x:c>
      <x:c r="R425" s="83" t="str">
        <x:f>IF(L425="BELOW","EXCLUDE — STRENGTH",IF(P425="OVER CAP","EXCLUDE — COST",IF(K425="Yes",IF('WELL INPUTS'!$B$14="No","EXCLUDE — REFERENCE","REFERENCE ONLY"),IF(OR(L425="UNKNOWN",M425="NOT LISTED",N425="CORROSION CONTROL",O425="NOT LISTED",'WELL INPUTS'!$B$10="Yes",'WELL INPUTS'!$B$4="Unknown"),"REVIEW","CANDIDATE — VERIFY"))))</x:f>
        <x:v>REVIEW</x:v>
      </x:c>
      <x:c r="S425" t="str">
        <x:f>IF(L425="BELOW","Increase minimum grade strength",IF(P425="OVER CAP","Relax cost tier or exclude",IF(K425="Yes","Identify qualified manufacturer grade",IF(M425="NOT LISTED","Confirm sour-service claim and ISO 15156",IF(O425="NOT LISTED","Obtain manufacturer collapse curve",IF(N425="CORROSION CONTROL","Model CO2 corrosion; review inhibition","Confirm corrosion, cracking, loads and connection"))))))</x:f>
        <x:v>Model CO2 corrosion; review inhibition</x:v>
      </x:c>
      <x:c r="T425" t="str">
        <x:v>https://interpipe.biz/en/esg/environment/green_supplies/</x:v>
      </x:c>
    </x:row>
    <x:row r="426" ht="23" customHeight="1">
      <x:c r="A426" t="str">
        <x:v>OCTG-0425</x:v>
      </x:c>
      <x:c r="B426" t="str">
        <x:v>Interpipe</x:v>
      </x:c>
      <x:c r="C426" t="str">
        <x:v>C90</x:v>
      </x:c>
      <x:c r="D426" t="str">
        <x:v>Carbon / low alloy</x:v>
      </x:c>
      <x:c r="E426" t="str">
        <x:v>Supplier-listed API OCTG seamless / welded</x:v>
      </x:c>
      <x:c r="F426" s="82" t="n">
        <x:v>90</x:v>
      </x:c>
      <x:c r="G426" t="str">
        <x:v>No</x:v>
      </x:c>
      <x:c r="H426" t="str">
        <x:v>A</x:v>
      </x:c>
      <x:c r="I426" t="str">
        <x:v>No</x:v>
      </x:c>
      <x:c r="J426" t="str">
        <x:v>No</x:v>
      </x:c>
      <x:c r="K426" t="str">
        <x:v>No</x:v>
      </x:c>
      <x:c r="L426" t="str">
        <x:f>IF(F426="","UNKNOWN",IF(F426&lt;'WELL INPUTS'!$B$11,"BELOW","OK"))</x:f>
        <x:v>OK</x:v>
      </x:c>
      <x:c r="M426" t="str">
        <x:f>IF(AND('WELL INPUTS'!$B$4="Wet",'WELL INPUTS'!$B$5&gt;0),IF(I426="Yes","CATALOG SOUR","NOT LISTED"),"N/A")</x:f>
        <x:v>N/A</x:v>
      </x:c>
      <x:c r="N426" t="str">
        <x:f>IF(AND('WELL INPUTS'!$B$4="Wet",'WELL INPUTS'!$B$6&gt;0),IF(J426="Yes","ALLOY FAMILY","CORROSION CONTROL"),"N/A")</x:f>
        <x:v>CORROSION CONTROL</x:v>
      </x:c>
      <x:c r="O426" t="str">
        <x:f>IF('WELL INPUTS'!$B$12="Yes",IF(G426="Yes","CLAIMED","NOT LISTED"),"N/A")</x:f>
        <x:v>N/A</x:v>
      </x:c>
      <x:c r="P426" t="str">
        <x:f>IF(OR('WELL INPUTS'!$B$13="Unrestricted",CODE(H426)&lt;=CODE('WELL INPUTS'!$B$13)),"WITHIN TIER","OVER CAP")</x:f>
        <x:v>WITHIN TIER</x:v>
      </x:c>
      <x:c r="Q426" t="n">
        <x:f>MAX(0,MIN(100,43+IF(L426="OK",14,-20)+IF(M426="CATALOG SOUR",24,IF(M426="NOT LISTED",-18,0))+IF(N426="ALLOY FAMILY",14,IF(N426="CORROSION CONTROL",-13,0))+IF(O426="CLAIMED",17,IF(O426="NOT LISTED",-14,0))+IF(K426="Yes",-15,0)+IF('WELL INPUTS'!$B$10="Yes",-17,0)))</x:f>
        <x:v>44</x:v>
      </x:c>
      <x:c r="R426" s="83" t="str">
        <x:f>IF(L426="BELOW","EXCLUDE — STRENGTH",IF(P426="OVER CAP","EXCLUDE — COST",IF(K426="Yes",IF('WELL INPUTS'!$B$14="No","EXCLUDE — REFERENCE","REFERENCE ONLY"),IF(OR(L426="UNKNOWN",M426="NOT LISTED",N426="CORROSION CONTROL",O426="NOT LISTED",'WELL INPUTS'!$B$10="Yes",'WELL INPUTS'!$B$4="Unknown"),"REVIEW","CANDIDATE — VERIFY"))))</x:f>
        <x:v>REVIEW</x:v>
      </x:c>
      <x:c r="S426" t="str">
        <x:f>IF(L426="BELOW","Increase minimum grade strength",IF(P426="OVER CAP","Relax cost tier or exclude",IF(K426="Yes","Identify qualified manufacturer grade",IF(M426="NOT LISTED","Confirm sour-service claim and ISO 15156",IF(O426="NOT LISTED","Obtain manufacturer collapse curve",IF(N426="CORROSION CONTROL","Model CO2 corrosion; review inhibition","Confirm corrosion, cracking, loads and connection"))))))</x:f>
        <x:v>Model CO2 corrosion; review inhibition</x:v>
      </x:c>
      <x:c r="T426" t="str">
        <x:v>https://interpipe.biz/en/esg/environment/green_supplies/</x:v>
      </x:c>
    </x:row>
    <x:row r="427" ht="23" customHeight="1">
      <x:c r="A427" t="str">
        <x:v>OCTG-0426</x:v>
      </x:c>
      <x:c r="B427" t="str">
        <x:v>Interpipe</x:v>
      </x:c>
      <x:c r="C427" t="str">
        <x:v>H40</x:v>
      </x:c>
      <x:c r="D427" t="str">
        <x:v>Carbon / low alloy</x:v>
      </x:c>
      <x:c r="E427" t="str">
        <x:v>Supplier-listed API OCTG seamless / welded</x:v>
      </x:c>
      <x:c r="F427" s="82" t="n">
        <x:v>40</x:v>
      </x:c>
      <x:c r="G427" t="str">
        <x:v>No</x:v>
      </x:c>
      <x:c r="H427" t="str">
        <x:v>A</x:v>
      </x:c>
      <x:c r="I427" t="str">
        <x:v>No</x:v>
      </x:c>
      <x:c r="J427" t="str">
        <x:v>No</x:v>
      </x:c>
      <x:c r="K427" t="str">
        <x:v>No</x:v>
      </x:c>
      <x:c r="L427" t="str">
        <x:f>IF(F427="","UNKNOWN",IF(F427&lt;'WELL INPUTS'!$B$11,"BELOW","OK"))</x:f>
        <x:v>BELOW</x:v>
      </x:c>
      <x:c r="M427" t="str">
        <x:f>IF(AND('WELL INPUTS'!$B$4="Wet",'WELL INPUTS'!$B$5&gt;0),IF(I427="Yes","CATALOG SOUR","NOT LISTED"),"N/A")</x:f>
        <x:v>N/A</x:v>
      </x:c>
      <x:c r="N427" t="str">
        <x:f>IF(AND('WELL INPUTS'!$B$4="Wet",'WELL INPUTS'!$B$6&gt;0),IF(J427="Yes","ALLOY FAMILY","CORROSION CONTROL"),"N/A")</x:f>
        <x:v>CORROSION CONTROL</x:v>
      </x:c>
      <x:c r="O427" t="str">
        <x:f>IF('WELL INPUTS'!$B$12="Yes",IF(G427="Yes","CLAIMED","NOT LISTED"),"N/A")</x:f>
        <x:v>N/A</x:v>
      </x:c>
      <x:c r="P427" t="str">
        <x:f>IF(OR('WELL INPUTS'!$B$13="Unrestricted",CODE(H427)&lt;=CODE('WELL INPUTS'!$B$13)),"WITHIN TIER","OVER CAP")</x:f>
        <x:v>WITHIN TIER</x:v>
      </x:c>
      <x:c r="Q427" t="n">
        <x:f>MAX(0,MIN(100,43+IF(L427="OK",14,-20)+IF(M427="CATALOG SOUR",24,IF(M427="NOT LISTED",-18,0))+IF(N427="ALLOY FAMILY",14,IF(N427="CORROSION CONTROL",-13,0))+IF(O427="CLAIMED",17,IF(O427="NOT LISTED",-14,0))+IF(K427="Yes",-15,0)+IF('WELL INPUTS'!$B$10="Yes",-17,0)))</x:f>
        <x:v>10</x:v>
      </x:c>
      <x:c r="R427" s="83" t="str">
        <x:f>IF(L427="BELOW","EXCLUDE — STRENGTH",IF(P427="OVER CAP","EXCLUDE — COST",IF(K427="Yes",IF('WELL INPUTS'!$B$14="No","EXCLUDE — REFERENCE","REFERENCE ONLY"),IF(OR(L427="UNKNOWN",M427="NOT LISTED",N427="CORROSION CONTROL",O427="NOT LISTED",'WELL INPUTS'!$B$10="Yes",'WELL INPUTS'!$B$4="Unknown"),"REVIEW","CANDIDATE — VERIFY"))))</x:f>
        <x:v>EXCLUDE — STRENGTH</x:v>
      </x:c>
      <x:c r="S427" t="str">
        <x:f>IF(L427="BELOW","Increase minimum grade strength",IF(P427="OVER CAP","Relax cost tier or exclude",IF(K427="Yes","Identify qualified manufacturer grade",IF(M427="NOT LISTED","Confirm sour-service claim and ISO 15156",IF(O427="NOT LISTED","Obtain manufacturer collapse curve",IF(N427="CORROSION CONTROL","Model CO2 corrosion; review inhibition","Confirm corrosion, cracking, loads and connection"))))))</x:f>
        <x:v>Increase minimum grade strength</x:v>
      </x:c>
      <x:c r="T427" t="str">
        <x:v>https://interpipe.biz/en/esg/environment/green_supplies/</x:v>
      </x:c>
    </x:row>
    <x:row r="428" ht="23" customHeight="1">
      <x:c r="A428" t="str">
        <x:v>OCTG-0427</x:v>
      </x:c>
      <x:c r="B428" t="str">
        <x:v>Interpipe</x:v>
      </x:c>
      <x:c r="C428" t="str">
        <x:v>J55</x:v>
      </x:c>
      <x:c r="D428" t="str">
        <x:v>Carbon / low alloy</x:v>
      </x:c>
      <x:c r="E428" t="str">
        <x:v>Supplier-listed API OCTG seamless / welded</x:v>
      </x:c>
      <x:c r="F428" s="82" t="n">
        <x:v>55</x:v>
      </x:c>
      <x:c r="G428" t="str">
        <x:v>No</x:v>
      </x:c>
      <x:c r="H428" t="str">
        <x:v>A</x:v>
      </x:c>
      <x:c r="I428" t="str">
        <x:v>No</x:v>
      </x:c>
      <x:c r="J428" t="str">
        <x:v>No</x:v>
      </x:c>
      <x:c r="K428" t="str">
        <x:v>No</x:v>
      </x:c>
      <x:c r="L428" t="str">
        <x:f>IF(F428="","UNKNOWN",IF(F428&lt;'WELL INPUTS'!$B$11,"BELOW","OK"))</x:f>
        <x:v>BELOW</x:v>
      </x:c>
      <x:c r="M428" t="str">
        <x:f>IF(AND('WELL INPUTS'!$B$4="Wet",'WELL INPUTS'!$B$5&gt;0),IF(I428="Yes","CATALOG SOUR","NOT LISTED"),"N/A")</x:f>
        <x:v>N/A</x:v>
      </x:c>
      <x:c r="N428" t="str">
        <x:f>IF(AND('WELL INPUTS'!$B$4="Wet",'WELL INPUTS'!$B$6&gt;0),IF(J428="Yes","ALLOY FAMILY","CORROSION CONTROL"),"N/A")</x:f>
        <x:v>CORROSION CONTROL</x:v>
      </x:c>
      <x:c r="O428" t="str">
        <x:f>IF('WELL INPUTS'!$B$12="Yes",IF(G428="Yes","CLAIMED","NOT LISTED"),"N/A")</x:f>
        <x:v>N/A</x:v>
      </x:c>
      <x:c r="P428" t="str">
        <x:f>IF(OR('WELL INPUTS'!$B$13="Unrestricted",CODE(H428)&lt;=CODE('WELL INPUTS'!$B$13)),"WITHIN TIER","OVER CAP")</x:f>
        <x:v>WITHIN TIER</x:v>
      </x:c>
      <x:c r="Q428" t="n">
        <x:f>MAX(0,MIN(100,43+IF(L428="OK",14,-20)+IF(M428="CATALOG SOUR",24,IF(M428="NOT LISTED",-18,0))+IF(N428="ALLOY FAMILY",14,IF(N428="CORROSION CONTROL",-13,0))+IF(O428="CLAIMED",17,IF(O428="NOT LISTED",-14,0))+IF(K428="Yes",-15,0)+IF('WELL INPUTS'!$B$10="Yes",-17,0)))</x:f>
        <x:v>10</x:v>
      </x:c>
      <x:c r="R428" s="83" t="str">
        <x:f>IF(L428="BELOW","EXCLUDE — STRENGTH",IF(P428="OVER CAP","EXCLUDE — COST",IF(K428="Yes",IF('WELL INPUTS'!$B$14="No","EXCLUDE — REFERENCE","REFERENCE ONLY"),IF(OR(L428="UNKNOWN",M428="NOT LISTED",N428="CORROSION CONTROL",O428="NOT LISTED",'WELL INPUTS'!$B$10="Yes",'WELL INPUTS'!$B$4="Unknown"),"REVIEW","CANDIDATE — VERIFY"))))</x:f>
        <x:v>EXCLUDE — STRENGTH</x:v>
      </x:c>
      <x:c r="S428" t="str">
        <x:f>IF(L428="BELOW","Increase minimum grade strength",IF(P428="OVER CAP","Relax cost tier or exclude",IF(K428="Yes","Identify qualified manufacturer grade",IF(M428="NOT LISTED","Confirm sour-service claim and ISO 15156",IF(O428="NOT LISTED","Obtain manufacturer collapse curve",IF(N428="CORROSION CONTROL","Model CO2 corrosion; review inhibition","Confirm corrosion, cracking, loads and connection"))))))</x:f>
        <x:v>Increase minimum grade strength</x:v>
      </x:c>
      <x:c r="T428" t="str">
        <x:v>https://interpipe.biz/en/esg/environment/green_supplies/</x:v>
      </x:c>
    </x:row>
    <x:row r="429" ht="23" customHeight="1">
      <x:c r="A429" t="str">
        <x:v>OCTG-0428</x:v>
      </x:c>
      <x:c r="B429" t="str">
        <x:v>Interpipe</x:v>
      </x:c>
      <x:c r="C429" t="str">
        <x:v>K55</x:v>
      </x:c>
      <x:c r="D429" t="str">
        <x:v>Carbon / low alloy</x:v>
      </x:c>
      <x:c r="E429" t="str">
        <x:v>Supplier-listed API OCTG seamless / welded</x:v>
      </x:c>
      <x:c r="F429" s="82" t="n">
        <x:v>55</x:v>
      </x:c>
      <x:c r="G429" t="str">
        <x:v>No</x:v>
      </x:c>
      <x:c r="H429" t="str">
        <x:v>A</x:v>
      </x:c>
      <x:c r="I429" t="str">
        <x:v>No</x:v>
      </x:c>
      <x:c r="J429" t="str">
        <x:v>No</x:v>
      </x:c>
      <x:c r="K429" t="str">
        <x:v>No</x:v>
      </x:c>
      <x:c r="L429" t="str">
        <x:f>IF(F429="","UNKNOWN",IF(F429&lt;'WELL INPUTS'!$B$11,"BELOW","OK"))</x:f>
        <x:v>BELOW</x:v>
      </x:c>
      <x:c r="M429" t="str">
        <x:f>IF(AND('WELL INPUTS'!$B$4="Wet",'WELL INPUTS'!$B$5&gt;0),IF(I429="Yes","CATALOG SOUR","NOT LISTED"),"N/A")</x:f>
        <x:v>N/A</x:v>
      </x:c>
      <x:c r="N429" t="str">
        <x:f>IF(AND('WELL INPUTS'!$B$4="Wet",'WELL INPUTS'!$B$6&gt;0),IF(J429="Yes","ALLOY FAMILY","CORROSION CONTROL"),"N/A")</x:f>
        <x:v>CORROSION CONTROL</x:v>
      </x:c>
      <x:c r="O429" t="str">
        <x:f>IF('WELL INPUTS'!$B$12="Yes",IF(G429="Yes","CLAIMED","NOT LISTED"),"N/A")</x:f>
        <x:v>N/A</x:v>
      </x:c>
      <x:c r="P429" t="str">
        <x:f>IF(OR('WELL INPUTS'!$B$13="Unrestricted",CODE(H429)&lt;=CODE('WELL INPUTS'!$B$13)),"WITHIN TIER","OVER CAP")</x:f>
        <x:v>WITHIN TIER</x:v>
      </x:c>
      <x:c r="Q429" t="n">
        <x:f>MAX(0,MIN(100,43+IF(L429="OK",14,-20)+IF(M429="CATALOG SOUR",24,IF(M429="NOT LISTED",-18,0))+IF(N429="ALLOY FAMILY",14,IF(N429="CORROSION CONTROL",-13,0))+IF(O429="CLAIMED",17,IF(O429="NOT LISTED",-14,0))+IF(K429="Yes",-15,0)+IF('WELL INPUTS'!$B$10="Yes",-17,0)))</x:f>
        <x:v>10</x:v>
      </x:c>
      <x:c r="R429" s="83" t="str">
        <x:f>IF(L429="BELOW","EXCLUDE — STRENGTH",IF(P429="OVER CAP","EXCLUDE — COST",IF(K429="Yes",IF('WELL INPUTS'!$B$14="No","EXCLUDE — REFERENCE","REFERENCE ONLY"),IF(OR(L429="UNKNOWN",M429="NOT LISTED",N429="CORROSION CONTROL",O429="NOT LISTED",'WELL INPUTS'!$B$10="Yes",'WELL INPUTS'!$B$4="Unknown"),"REVIEW","CANDIDATE — VERIFY"))))</x:f>
        <x:v>EXCLUDE — STRENGTH</x:v>
      </x:c>
      <x:c r="S429" t="str">
        <x:f>IF(L429="BELOW","Increase minimum grade strength",IF(P429="OVER CAP","Relax cost tier or exclude",IF(K429="Yes","Identify qualified manufacturer grade",IF(M429="NOT LISTED","Confirm sour-service claim and ISO 15156",IF(O429="NOT LISTED","Obtain manufacturer collapse curve",IF(N429="CORROSION CONTROL","Model CO2 corrosion; review inhibition","Confirm corrosion, cracking, loads and connection"))))))</x:f>
        <x:v>Increase minimum grade strength</x:v>
      </x:c>
      <x:c r="T429" t="str">
        <x:v>https://interpipe.biz/en/esg/environment/green_supplies/</x:v>
      </x:c>
    </x:row>
    <x:row r="430" ht="23" customHeight="1">
      <x:c r="A430" t="str">
        <x:v>OCTG-0429</x:v>
      </x:c>
      <x:c r="B430" t="str">
        <x:v>Interpipe</x:v>
      </x:c>
      <x:c r="C430" t="str">
        <x:v>L80</x:v>
      </x:c>
      <x:c r="D430" t="str">
        <x:v>Carbon / low alloy</x:v>
      </x:c>
      <x:c r="E430" t="str">
        <x:v>Supplier-listed API OCTG seamless / welded</x:v>
      </x:c>
      <x:c r="F430" s="82" t="n">
        <x:v>80</x:v>
      </x:c>
      <x:c r="G430" t="str">
        <x:v>No</x:v>
      </x:c>
      <x:c r="H430" t="str">
        <x:v>A</x:v>
      </x:c>
      <x:c r="I430" t="str">
        <x:v>No</x:v>
      </x:c>
      <x:c r="J430" t="str">
        <x:v>No</x:v>
      </x:c>
      <x:c r="K430" t="str">
        <x:v>No</x:v>
      </x:c>
      <x:c r="L430" t="str">
        <x:f>IF(F430="","UNKNOWN",IF(F430&lt;'WELL INPUTS'!$B$11,"BELOW","OK"))</x:f>
        <x:v>OK</x:v>
      </x:c>
      <x:c r="M430" t="str">
        <x:f>IF(AND('WELL INPUTS'!$B$4="Wet",'WELL INPUTS'!$B$5&gt;0),IF(I430="Yes","CATALOG SOUR","NOT LISTED"),"N/A")</x:f>
        <x:v>N/A</x:v>
      </x:c>
      <x:c r="N430" t="str">
        <x:f>IF(AND('WELL INPUTS'!$B$4="Wet",'WELL INPUTS'!$B$6&gt;0),IF(J430="Yes","ALLOY FAMILY","CORROSION CONTROL"),"N/A")</x:f>
        <x:v>CORROSION CONTROL</x:v>
      </x:c>
      <x:c r="O430" t="str">
        <x:f>IF('WELL INPUTS'!$B$12="Yes",IF(G430="Yes","CLAIMED","NOT LISTED"),"N/A")</x:f>
        <x:v>N/A</x:v>
      </x:c>
      <x:c r="P430" t="str">
        <x:f>IF(OR('WELL INPUTS'!$B$13="Unrestricted",CODE(H430)&lt;=CODE('WELL INPUTS'!$B$13)),"WITHIN TIER","OVER CAP")</x:f>
        <x:v>WITHIN TIER</x:v>
      </x:c>
      <x:c r="Q430" t="n">
        <x:f>MAX(0,MIN(100,43+IF(L430="OK",14,-20)+IF(M430="CATALOG SOUR",24,IF(M430="NOT LISTED",-18,0))+IF(N430="ALLOY FAMILY",14,IF(N430="CORROSION CONTROL",-13,0))+IF(O430="CLAIMED",17,IF(O430="NOT LISTED",-14,0))+IF(K430="Yes",-15,0)+IF('WELL INPUTS'!$B$10="Yes",-17,0)))</x:f>
        <x:v>44</x:v>
      </x:c>
      <x:c r="R430" s="83" t="str">
        <x:f>IF(L430="BELOW","EXCLUDE — STRENGTH",IF(P430="OVER CAP","EXCLUDE — COST",IF(K430="Yes",IF('WELL INPUTS'!$B$14="No","EXCLUDE — REFERENCE","REFERENCE ONLY"),IF(OR(L430="UNKNOWN",M430="NOT LISTED",N430="CORROSION CONTROL",O430="NOT LISTED",'WELL INPUTS'!$B$10="Yes",'WELL INPUTS'!$B$4="Unknown"),"REVIEW","CANDIDATE — VERIFY"))))</x:f>
        <x:v>REVIEW</x:v>
      </x:c>
      <x:c r="S430" t="str">
        <x:f>IF(L430="BELOW","Increase minimum grade strength",IF(P430="OVER CAP","Relax cost tier or exclude",IF(K430="Yes","Identify qualified manufacturer grade",IF(M430="NOT LISTED","Confirm sour-service claim and ISO 15156",IF(O430="NOT LISTED","Obtain manufacturer collapse curve",IF(N430="CORROSION CONTROL","Model CO2 corrosion; review inhibition","Confirm corrosion, cracking, loads and connection"))))))</x:f>
        <x:v>Model CO2 corrosion; review inhibition</x:v>
      </x:c>
      <x:c r="T430" t="str">
        <x:v>https://interpipe.biz/en/esg/environment/green_supplies/</x:v>
      </x:c>
    </x:row>
    <x:row r="431" ht="23" customHeight="1">
      <x:c r="A431" t="str">
        <x:v>OCTG-0430</x:v>
      </x:c>
      <x:c r="B431" t="str">
        <x:v>Interpipe</x:v>
      </x:c>
      <x:c r="C431" t="str">
        <x:v>N80</x:v>
      </x:c>
      <x:c r="D431" t="str">
        <x:v>Carbon / low alloy</x:v>
      </x:c>
      <x:c r="E431" t="str">
        <x:v>Supplier-listed API OCTG seamless / welded</x:v>
      </x:c>
      <x:c r="F431" s="82" t="n">
        <x:v>80</x:v>
      </x:c>
      <x:c r="G431" t="str">
        <x:v>No</x:v>
      </x:c>
      <x:c r="H431" t="str">
        <x:v>A</x:v>
      </x:c>
      <x:c r="I431" t="str">
        <x:v>No</x:v>
      </x:c>
      <x:c r="J431" t="str">
        <x:v>No</x:v>
      </x:c>
      <x:c r="K431" t="str">
        <x:v>No</x:v>
      </x:c>
      <x:c r="L431" t="str">
        <x:f>IF(F431="","UNKNOWN",IF(F431&lt;'WELL INPUTS'!$B$11,"BELOW","OK"))</x:f>
        <x:v>OK</x:v>
      </x:c>
      <x:c r="M431" t="str">
        <x:f>IF(AND('WELL INPUTS'!$B$4="Wet",'WELL INPUTS'!$B$5&gt;0),IF(I431="Yes","CATALOG SOUR","NOT LISTED"),"N/A")</x:f>
        <x:v>N/A</x:v>
      </x:c>
      <x:c r="N431" t="str">
        <x:f>IF(AND('WELL INPUTS'!$B$4="Wet",'WELL INPUTS'!$B$6&gt;0),IF(J431="Yes","ALLOY FAMILY","CORROSION CONTROL"),"N/A")</x:f>
        <x:v>CORROSION CONTROL</x:v>
      </x:c>
      <x:c r="O431" t="str">
        <x:f>IF('WELL INPUTS'!$B$12="Yes",IF(G431="Yes","CLAIMED","NOT LISTED"),"N/A")</x:f>
        <x:v>N/A</x:v>
      </x:c>
      <x:c r="P431" t="str">
        <x:f>IF(OR('WELL INPUTS'!$B$13="Unrestricted",CODE(H431)&lt;=CODE('WELL INPUTS'!$B$13)),"WITHIN TIER","OVER CAP")</x:f>
        <x:v>WITHIN TIER</x:v>
      </x:c>
      <x:c r="Q431" t="n">
        <x:f>MAX(0,MIN(100,43+IF(L431="OK",14,-20)+IF(M431="CATALOG SOUR",24,IF(M431="NOT LISTED",-18,0))+IF(N431="ALLOY FAMILY",14,IF(N431="CORROSION CONTROL",-13,0))+IF(O431="CLAIMED",17,IF(O431="NOT LISTED",-14,0))+IF(K431="Yes",-15,0)+IF('WELL INPUTS'!$B$10="Yes",-17,0)))</x:f>
        <x:v>44</x:v>
      </x:c>
      <x:c r="R431" s="83" t="str">
        <x:f>IF(L431="BELOW","EXCLUDE — STRENGTH",IF(P431="OVER CAP","EXCLUDE — COST",IF(K431="Yes",IF('WELL INPUTS'!$B$14="No","EXCLUDE — REFERENCE","REFERENCE ONLY"),IF(OR(L431="UNKNOWN",M431="NOT LISTED",N431="CORROSION CONTROL",O431="NOT LISTED",'WELL INPUTS'!$B$10="Yes",'WELL INPUTS'!$B$4="Unknown"),"REVIEW","CANDIDATE — VERIFY"))))</x:f>
        <x:v>REVIEW</x:v>
      </x:c>
      <x:c r="S431" t="str">
        <x:f>IF(L431="BELOW","Increase minimum grade strength",IF(P431="OVER CAP","Relax cost tier or exclude",IF(K431="Yes","Identify qualified manufacturer grade",IF(M431="NOT LISTED","Confirm sour-service claim and ISO 15156",IF(O431="NOT LISTED","Obtain manufacturer collapse curve",IF(N431="CORROSION CONTROL","Model CO2 corrosion; review inhibition","Confirm corrosion, cracking, loads and connection"))))))</x:f>
        <x:v>Model CO2 corrosion; review inhibition</x:v>
      </x:c>
      <x:c r="T431" t="str">
        <x:v>https://interpipe.biz/en/esg/environment/green_supplies/</x:v>
      </x:c>
    </x:row>
    <x:row r="432" ht="23" customHeight="1">
      <x:c r="A432" t="str">
        <x:v>OCTG-0431</x:v>
      </x:c>
      <x:c r="B432" t="str">
        <x:v>Interpipe</x:v>
      </x:c>
      <x:c r="C432" t="str">
        <x:v>P110</x:v>
      </x:c>
      <x:c r="D432" t="str">
        <x:v>Carbon / low alloy</x:v>
      </x:c>
      <x:c r="E432" t="str">
        <x:v>Supplier-listed API OCTG seamless / welded</x:v>
      </x:c>
      <x:c r="F432" s="82" t="n">
        <x:v>110</x:v>
      </x:c>
      <x:c r="G432" t="str">
        <x:v>No</x:v>
      </x:c>
      <x:c r="H432" t="str">
        <x:v>A</x:v>
      </x:c>
      <x:c r="I432" t="str">
        <x:v>No</x:v>
      </x:c>
      <x:c r="J432" t="str">
        <x:v>No</x:v>
      </x:c>
      <x:c r="K432" t="str">
        <x:v>No</x:v>
      </x:c>
      <x:c r="L432" t="str">
        <x:f>IF(F432="","UNKNOWN",IF(F432&lt;'WELL INPUTS'!$B$11,"BELOW","OK"))</x:f>
        <x:v>OK</x:v>
      </x:c>
      <x:c r="M432" t="str">
        <x:f>IF(AND('WELL INPUTS'!$B$4="Wet",'WELL INPUTS'!$B$5&gt;0),IF(I432="Yes","CATALOG SOUR","NOT LISTED"),"N/A")</x:f>
        <x:v>N/A</x:v>
      </x:c>
      <x:c r="N432" t="str">
        <x:f>IF(AND('WELL INPUTS'!$B$4="Wet",'WELL INPUTS'!$B$6&gt;0),IF(J432="Yes","ALLOY FAMILY","CORROSION CONTROL"),"N/A")</x:f>
        <x:v>CORROSION CONTROL</x:v>
      </x:c>
      <x:c r="O432" t="str">
        <x:f>IF('WELL INPUTS'!$B$12="Yes",IF(G432="Yes","CLAIMED","NOT LISTED"),"N/A")</x:f>
        <x:v>N/A</x:v>
      </x:c>
      <x:c r="P432" t="str">
        <x:f>IF(OR('WELL INPUTS'!$B$13="Unrestricted",CODE(H432)&lt;=CODE('WELL INPUTS'!$B$13)),"WITHIN TIER","OVER CAP")</x:f>
        <x:v>WITHIN TIER</x:v>
      </x:c>
      <x:c r="Q432" t="n">
        <x:f>MAX(0,MIN(100,43+IF(L432="OK",14,-20)+IF(M432="CATALOG SOUR",24,IF(M432="NOT LISTED",-18,0))+IF(N432="ALLOY FAMILY",14,IF(N432="CORROSION CONTROL",-13,0))+IF(O432="CLAIMED",17,IF(O432="NOT LISTED",-14,0))+IF(K432="Yes",-15,0)+IF('WELL INPUTS'!$B$10="Yes",-17,0)))</x:f>
        <x:v>44</x:v>
      </x:c>
      <x:c r="R432" s="83" t="str">
        <x:f>IF(L432="BELOW","EXCLUDE — STRENGTH",IF(P432="OVER CAP","EXCLUDE — COST",IF(K432="Yes",IF('WELL INPUTS'!$B$14="No","EXCLUDE — REFERENCE","REFERENCE ONLY"),IF(OR(L432="UNKNOWN",M432="NOT LISTED",N432="CORROSION CONTROL",O432="NOT LISTED",'WELL INPUTS'!$B$10="Yes",'WELL INPUTS'!$B$4="Unknown"),"REVIEW","CANDIDATE — VERIFY"))))</x:f>
        <x:v>REVIEW</x:v>
      </x:c>
      <x:c r="S432" t="str">
        <x:f>IF(L432="BELOW","Increase minimum grade strength",IF(P432="OVER CAP","Relax cost tier or exclude",IF(K432="Yes","Identify qualified manufacturer grade",IF(M432="NOT LISTED","Confirm sour-service claim and ISO 15156",IF(O432="NOT LISTED","Obtain manufacturer collapse curve",IF(N432="CORROSION CONTROL","Model CO2 corrosion; review inhibition","Confirm corrosion, cracking, loads and connection"))))))</x:f>
        <x:v>Model CO2 corrosion; review inhibition</x:v>
      </x:c>
      <x:c r="T432" t="str">
        <x:v>https://interpipe.biz/en/esg/environment/green_supplies/</x:v>
      </x:c>
    </x:row>
    <x:row r="433" ht="23" customHeight="1">
      <x:c r="A433" t="str">
        <x:v>OCTG-0432</x:v>
      </x:c>
      <x:c r="B433" t="str">
        <x:v>Interpipe</x:v>
      </x:c>
      <x:c r="C433" t="str">
        <x:v>Q125</x:v>
      </x:c>
      <x:c r="D433" t="str">
        <x:v>Carbon / low alloy</x:v>
      </x:c>
      <x:c r="E433" t="str">
        <x:v>Supplier-listed API OCTG seamless / welded</x:v>
      </x:c>
      <x:c r="F433" s="82" t="n">
        <x:v>125</x:v>
      </x:c>
      <x:c r="G433" t="str">
        <x:v>No</x:v>
      </x:c>
      <x:c r="H433" t="str">
        <x:v>A</x:v>
      </x:c>
      <x:c r="I433" t="str">
        <x:v>No</x:v>
      </x:c>
      <x:c r="J433" t="str">
        <x:v>No</x:v>
      </x:c>
      <x:c r="K433" t="str">
        <x:v>No</x:v>
      </x:c>
      <x:c r="L433" t="str">
        <x:f>IF(F433="","UNKNOWN",IF(F433&lt;'WELL INPUTS'!$B$11,"BELOW","OK"))</x:f>
        <x:v>OK</x:v>
      </x:c>
      <x:c r="M433" t="str">
        <x:f>IF(AND('WELL INPUTS'!$B$4="Wet",'WELL INPUTS'!$B$5&gt;0),IF(I433="Yes","CATALOG SOUR","NOT LISTED"),"N/A")</x:f>
        <x:v>N/A</x:v>
      </x:c>
      <x:c r="N433" t="str">
        <x:f>IF(AND('WELL INPUTS'!$B$4="Wet",'WELL INPUTS'!$B$6&gt;0),IF(J433="Yes","ALLOY FAMILY","CORROSION CONTROL"),"N/A")</x:f>
        <x:v>CORROSION CONTROL</x:v>
      </x:c>
      <x:c r="O433" t="str">
        <x:f>IF('WELL INPUTS'!$B$12="Yes",IF(G433="Yes","CLAIMED","NOT LISTED"),"N/A")</x:f>
        <x:v>N/A</x:v>
      </x:c>
      <x:c r="P433" t="str">
        <x:f>IF(OR('WELL INPUTS'!$B$13="Unrestricted",CODE(H433)&lt;=CODE('WELL INPUTS'!$B$13)),"WITHIN TIER","OVER CAP")</x:f>
        <x:v>WITHIN TIER</x:v>
      </x:c>
      <x:c r="Q433" t="n">
        <x:f>MAX(0,MIN(100,43+IF(L433="OK",14,-20)+IF(M433="CATALOG SOUR",24,IF(M433="NOT LISTED",-18,0))+IF(N433="ALLOY FAMILY",14,IF(N433="CORROSION CONTROL",-13,0))+IF(O433="CLAIMED",17,IF(O433="NOT LISTED",-14,0))+IF(K433="Yes",-15,0)+IF('WELL INPUTS'!$B$10="Yes",-17,0)))</x:f>
        <x:v>44</x:v>
      </x:c>
      <x:c r="R433" s="83" t="str">
        <x:f>IF(L433="BELOW","EXCLUDE — STRENGTH",IF(P433="OVER CAP","EXCLUDE — COST",IF(K433="Yes",IF('WELL INPUTS'!$B$14="No","EXCLUDE — REFERENCE","REFERENCE ONLY"),IF(OR(L433="UNKNOWN",M433="NOT LISTED",N433="CORROSION CONTROL",O433="NOT LISTED",'WELL INPUTS'!$B$10="Yes",'WELL INPUTS'!$B$4="Unknown"),"REVIEW","CANDIDATE — VERIFY"))))</x:f>
        <x:v>REVIEW</x:v>
      </x:c>
      <x:c r="S433" t="str">
        <x:f>IF(L433="BELOW","Increase minimum grade strength",IF(P433="OVER CAP","Relax cost tier or exclude",IF(K433="Yes","Identify qualified manufacturer grade",IF(M433="NOT LISTED","Confirm sour-service claim and ISO 15156",IF(O433="NOT LISTED","Obtain manufacturer collapse curve",IF(N433="CORROSION CONTROL","Model CO2 corrosion; review inhibition","Confirm corrosion, cracking, loads and connection"))))))</x:f>
        <x:v>Model CO2 corrosion; review inhibition</x:v>
      </x:c>
      <x:c r="T433" t="str">
        <x:v>https://interpipe.biz/en/esg/environment/green_supplies/</x:v>
      </x:c>
    </x:row>
    <x:row r="434" ht="23" customHeight="1">
      <x:c r="A434" t="str">
        <x:v>OCTG-0433</x:v>
      </x:c>
      <x:c r="B434" t="str">
        <x:v>Interpipe</x:v>
      </x:c>
      <x:c r="C434" t="str">
        <x:v>R95</x:v>
      </x:c>
      <x:c r="D434" t="str">
        <x:v>Carbon / low alloy</x:v>
      </x:c>
      <x:c r="E434" t="str">
        <x:v>Supplier-listed API OCTG seamless / welded</x:v>
      </x:c>
      <x:c r="F434" s="82" t="n">
        <x:v>95</x:v>
      </x:c>
      <x:c r="G434" t="str">
        <x:v>No</x:v>
      </x:c>
      <x:c r="H434" t="str">
        <x:v>A</x:v>
      </x:c>
      <x:c r="I434" t="str">
        <x:v>No</x:v>
      </x:c>
      <x:c r="J434" t="str">
        <x:v>No</x:v>
      </x:c>
      <x:c r="K434" t="str">
        <x:v>No</x:v>
      </x:c>
      <x:c r="L434" t="str">
        <x:f>IF(F434="","UNKNOWN",IF(F434&lt;'WELL INPUTS'!$B$11,"BELOW","OK"))</x:f>
        <x:v>OK</x:v>
      </x:c>
      <x:c r="M434" t="str">
        <x:f>IF(AND('WELL INPUTS'!$B$4="Wet",'WELL INPUTS'!$B$5&gt;0),IF(I434="Yes","CATALOG SOUR","NOT LISTED"),"N/A")</x:f>
        <x:v>N/A</x:v>
      </x:c>
      <x:c r="N434" t="str">
        <x:f>IF(AND('WELL INPUTS'!$B$4="Wet",'WELL INPUTS'!$B$6&gt;0),IF(J434="Yes","ALLOY FAMILY","CORROSION CONTROL"),"N/A")</x:f>
        <x:v>CORROSION CONTROL</x:v>
      </x:c>
      <x:c r="O434" t="str">
        <x:f>IF('WELL INPUTS'!$B$12="Yes",IF(G434="Yes","CLAIMED","NOT LISTED"),"N/A")</x:f>
        <x:v>N/A</x:v>
      </x:c>
      <x:c r="P434" t="str">
        <x:f>IF(OR('WELL INPUTS'!$B$13="Unrestricted",CODE(H434)&lt;=CODE('WELL INPUTS'!$B$13)),"WITHIN TIER","OVER CAP")</x:f>
        <x:v>WITHIN TIER</x:v>
      </x:c>
      <x:c r="Q434" t="n">
        <x:f>MAX(0,MIN(100,43+IF(L434="OK",14,-20)+IF(M434="CATALOG SOUR",24,IF(M434="NOT LISTED",-18,0))+IF(N434="ALLOY FAMILY",14,IF(N434="CORROSION CONTROL",-13,0))+IF(O434="CLAIMED",17,IF(O434="NOT LISTED",-14,0))+IF(K434="Yes",-15,0)+IF('WELL INPUTS'!$B$10="Yes",-17,0)))</x:f>
        <x:v>44</x:v>
      </x:c>
      <x:c r="R434" s="83" t="str">
        <x:f>IF(L434="BELOW","EXCLUDE — STRENGTH",IF(P434="OVER CAP","EXCLUDE — COST",IF(K434="Yes",IF('WELL INPUTS'!$B$14="No","EXCLUDE — REFERENCE","REFERENCE ONLY"),IF(OR(L434="UNKNOWN",M434="NOT LISTED",N434="CORROSION CONTROL",O434="NOT LISTED",'WELL INPUTS'!$B$10="Yes",'WELL INPUTS'!$B$4="Unknown"),"REVIEW","CANDIDATE — VERIFY"))))</x:f>
        <x:v>REVIEW</x:v>
      </x:c>
      <x:c r="S434" t="str">
        <x:f>IF(L434="BELOW","Increase minimum grade strength",IF(P434="OVER CAP","Relax cost tier or exclude",IF(K434="Yes","Identify qualified manufacturer grade",IF(M434="NOT LISTED","Confirm sour-service claim and ISO 15156",IF(O434="NOT LISTED","Obtain manufacturer collapse curve",IF(N434="CORROSION CONTROL","Model CO2 corrosion; review inhibition","Confirm corrosion, cracking, loads and connection"))))))</x:f>
        <x:v>Model CO2 corrosion; review inhibition</x:v>
      </x:c>
      <x:c r="T434" t="str">
        <x:v>https://interpipe.biz/en/esg/environment/green_supplies/</x:v>
      </x:c>
    </x:row>
    <x:row r="435" ht="23" customHeight="1">
      <x:c r="A435" t="str">
        <x:v>OCTG-0434</x:v>
      </x:c>
      <x:c r="B435" t="str">
        <x:v>Interpipe</x:v>
      </x:c>
      <x:c r="C435" t="str">
        <x:v>T95</x:v>
      </x:c>
      <x:c r="D435" t="str">
        <x:v>Carbon / low alloy</x:v>
      </x:c>
      <x:c r="E435" t="str">
        <x:v>Supplier-listed API OCTG seamless / welded</x:v>
      </x:c>
      <x:c r="F435" s="82" t="n">
        <x:v>95</x:v>
      </x:c>
      <x:c r="G435" t="str">
        <x:v>No</x:v>
      </x:c>
      <x:c r="H435" t="str">
        <x:v>A</x:v>
      </x:c>
      <x:c r="I435" t="str">
        <x:v>No</x:v>
      </x:c>
      <x:c r="J435" t="str">
        <x:v>No</x:v>
      </x:c>
      <x:c r="K435" t="str">
        <x:v>No</x:v>
      </x:c>
      <x:c r="L435" t="str">
        <x:f>IF(F435="","UNKNOWN",IF(F435&lt;'WELL INPUTS'!$B$11,"BELOW","OK"))</x:f>
        <x:v>OK</x:v>
      </x:c>
      <x:c r="M435" t="str">
        <x:f>IF(AND('WELL INPUTS'!$B$4="Wet",'WELL INPUTS'!$B$5&gt;0),IF(I435="Yes","CATALOG SOUR","NOT LISTED"),"N/A")</x:f>
        <x:v>N/A</x:v>
      </x:c>
      <x:c r="N435" t="str">
        <x:f>IF(AND('WELL INPUTS'!$B$4="Wet",'WELL INPUTS'!$B$6&gt;0),IF(J435="Yes","ALLOY FAMILY","CORROSION CONTROL"),"N/A")</x:f>
        <x:v>CORROSION CONTROL</x:v>
      </x:c>
      <x:c r="O435" t="str">
        <x:f>IF('WELL INPUTS'!$B$12="Yes",IF(G435="Yes","CLAIMED","NOT LISTED"),"N/A")</x:f>
        <x:v>N/A</x:v>
      </x:c>
      <x:c r="P435" t="str">
        <x:f>IF(OR('WELL INPUTS'!$B$13="Unrestricted",CODE(H435)&lt;=CODE('WELL INPUTS'!$B$13)),"WITHIN TIER","OVER CAP")</x:f>
        <x:v>WITHIN TIER</x:v>
      </x:c>
      <x:c r="Q435" t="n">
        <x:f>MAX(0,MIN(100,43+IF(L435="OK",14,-20)+IF(M435="CATALOG SOUR",24,IF(M435="NOT LISTED",-18,0))+IF(N435="ALLOY FAMILY",14,IF(N435="CORROSION CONTROL",-13,0))+IF(O435="CLAIMED",17,IF(O435="NOT LISTED",-14,0))+IF(K435="Yes",-15,0)+IF('WELL INPUTS'!$B$10="Yes",-17,0)))</x:f>
        <x:v>44</x:v>
      </x:c>
      <x:c r="R435" s="83" t="str">
        <x:f>IF(L435="BELOW","EXCLUDE — STRENGTH",IF(P435="OVER CAP","EXCLUDE — COST",IF(K435="Yes",IF('WELL INPUTS'!$B$14="No","EXCLUDE — REFERENCE","REFERENCE ONLY"),IF(OR(L435="UNKNOWN",M435="NOT LISTED",N435="CORROSION CONTROL",O435="NOT LISTED",'WELL INPUTS'!$B$10="Yes",'WELL INPUTS'!$B$4="Unknown"),"REVIEW","CANDIDATE — VERIFY"))))</x:f>
        <x:v>REVIEW</x:v>
      </x:c>
      <x:c r="S435" t="str">
        <x:f>IF(L435="BELOW","Increase minimum grade strength",IF(P435="OVER CAP","Relax cost tier or exclude",IF(K435="Yes","Identify qualified manufacturer grade",IF(M435="NOT LISTED","Confirm sour-service claim and ISO 15156",IF(O435="NOT LISTED","Obtain manufacturer collapse curve",IF(N435="CORROSION CONTROL","Model CO2 corrosion; review inhibition","Confirm corrosion, cracking, loads and connection"))))))</x:f>
        <x:v>Model CO2 corrosion; review inhibition</x:v>
      </x:c>
      <x:c r="T435" t="str">
        <x:v>https://interpipe.biz/en/esg/environment/green_supplies/</x:v>
      </x:c>
    </x:row>
    <x:row r="436" ht="23" customHeight="1">
      <x:c r="A436" t="str">
        <x:v>OCTG-0435</x:v>
      </x:c>
      <x:c r="B436" t="str">
        <x:v>ArcelorMittal</x:v>
      </x:c>
      <x:c r="C436" t="str">
        <x:v>C110</x:v>
      </x:c>
      <x:c r="D436" t="str">
        <x:v>Carbon / low alloy</x:v>
      </x:c>
      <x:c r="E436" t="str">
        <x:v>Supplier-listed API OCTG</x:v>
      </x:c>
      <x:c r="F436" s="82" t="n">
        <x:v>110</x:v>
      </x:c>
      <x:c r="G436" t="str">
        <x:v>No</x:v>
      </x:c>
      <x:c r="H436" t="str">
        <x:v>A</x:v>
      </x:c>
      <x:c r="I436" t="str">
        <x:v>No</x:v>
      </x:c>
      <x:c r="J436" t="str">
        <x:v>No</x:v>
      </x:c>
      <x:c r="K436" t="str">
        <x:v>No</x:v>
      </x:c>
      <x:c r="L436" t="str">
        <x:f>IF(F436="","UNKNOWN",IF(F436&lt;'WELL INPUTS'!$B$11,"BELOW","OK"))</x:f>
        <x:v>OK</x:v>
      </x:c>
      <x:c r="M436" t="str">
        <x:f>IF(AND('WELL INPUTS'!$B$4="Wet",'WELL INPUTS'!$B$5&gt;0),IF(I436="Yes","CATALOG SOUR","NOT LISTED"),"N/A")</x:f>
        <x:v>N/A</x:v>
      </x:c>
      <x:c r="N436" t="str">
        <x:f>IF(AND('WELL INPUTS'!$B$4="Wet",'WELL INPUTS'!$B$6&gt;0),IF(J436="Yes","ALLOY FAMILY","CORROSION CONTROL"),"N/A")</x:f>
        <x:v>CORROSION CONTROL</x:v>
      </x:c>
      <x:c r="O436" t="str">
        <x:f>IF('WELL INPUTS'!$B$12="Yes",IF(G436="Yes","CLAIMED","NOT LISTED"),"N/A")</x:f>
        <x:v>N/A</x:v>
      </x:c>
      <x:c r="P436" t="str">
        <x:f>IF(OR('WELL INPUTS'!$B$13="Unrestricted",CODE(H436)&lt;=CODE('WELL INPUTS'!$B$13)),"WITHIN TIER","OVER CAP")</x:f>
        <x:v>WITHIN TIER</x:v>
      </x:c>
      <x:c r="Q436" t="n">
        <x:f>MAX(0,MIN(100,43+IF(L436="OK",14,-20)+IF(M436="CATALOG SOUR",24,IF(M436="NOT LISTED",-18,0))+IF(N436="ALLOY FAMILY",14,IF(N436="CORROSION CONTROL",-13,0))+IF(O436="CLAIMED",17,IF(O436="NOT LISTED",-14,0))+IF(K436="Yes",-15,0)+IF('WELL INPUTS'!$B$10="Yes",-17,0)))</x:f>
        <x:v>44</x:v>
      </x:c>
      <x:c r="R436" s="83" t="str">
        <x:f>IF(L436="BELOW","EXCLUDE — STRENGTH",IF(P436="OVER CAP","EXCLUDE — COST",IF(K436="Yes",IF('WELL INPUTS'!$B$14="No","EXCLUDE — REFERENCE","REFERENCE ONLY"),IF(OR(L436="UNKNOWN",M436="NOT LISTED",N436="CORROSION CONTROL",O436="NOT LISTED",'WELL INPUTS'!$B$10="Yes",'WELL INPUTS'!$B$4="Unknown"),"REVIEW","CANDIDATE — VERIFY"))))</x:f>
        <x:v>REVIEW</x:v>
      </x:c>
      <x:c r="S436" t="str">
        <x:f>IF(L436="BELOW","Increase minimum grade strength",IF(P436="OVER CAP","Relax cost tier or exclude",IF(K436="Yes","Identify qualified manufacturer grade",IF(M436="NOT LISTED","Confirm sour-service claim and ISO 15156",IF(O436="NOT LISTED","Obtain manufacturer collapse curve",IF(N436="CORROSION CONTROL","Model CO2 corrosion; review inhibition","Confirm corrosion, cracking, loads and connection"))))))</x:f>
        <x:v>Model CO2 corrosion; review inhibition</x:v>
      </x:c>
      <x:c r="T436" t="str">
        <x:v>https://projects.arcelormittal.com/energy/products-services/product-range/pipes-tubulars</x:v>
      </x:c>
    </x:row>
    <x:row r="437" ht="23" customHeight="1">
      <x:c r="A437" t="str">
        <x:v>OCTG-0436</x:v>
      </x:c>
      <x:c r="B437" t="str">
        <x:v>ArcelorMittal</x:v>
      </x:c>
      <x:c r="C437" t="str">
        <x:v>C90</x:v>
      </x:c>
      <x:c r="D437" t="str">
        <x:v>Carbon / low alloy</x:v>
      </x:c>
      <x:c r="E437" t="str">
        <x:v>Supplier-listed API OCTG</x:v>
      </x:c>
      <x:c r="F437" s="82" t="n">
        <x:v>90</x:v>
      </x:c>
      <x:c r="G437" t="str">
        <x:v>No</x:v>
      </x:c>
      <x:c r="H437" t="str">
        <x:v>A</x:v>
      </x:c>
      <x:c r="I437" t="str">
        <x:v>No</x:v>
      </x:c>
      <x:c r="J437" t="str">
        <x:v>No</x:v>
      </x:c>
      <x:c r="K437" t="str">
        <x:v>No</x:v>
      </x:c>
      <x:c r="L437" t="str">
        <x:f>IF(F437="","UNKNOWN",IF(F437&lt;'WELL INPUTS'!$B$11,"BELOW","OK"))</x:f>
        <x:v>OK</x:v>
      </x:c>
      <x:c r="M437" t="str">
        <x:f>IF(AND('WELL INPUTS'!$B$4="Wet",'WELL INPUTS'!$B$5&gt;0),IF(I437="Yes","CATALOG SOUR","NOT LISTED"),"N/A")</x:f>
        <x:v>N/A</x:v>
      </x:c>
      <x:c r="N437" t="str">
        <x:f>IF(AND('WELL INPUTS'!$B$4="Wet",'WELL INPUTS'!$B$6&gt;0),IF(J437="Yes","ALLOY FAMILY","CORROSION CONTROL"),"N/A")</x:f>
        <x:v>CORROSION CONTROL</x:v>
      </x:c>
      <x:c r="O437" t="str">
        <x:f>IF('WELL INPUTS'!$B$12="Yes",IF(G437="Yes","CLAIMED","NOT LISTED"),"N/A")</x:f>
        <x:v>N/A</x:v>
      </x:c>
      <x:c r="P437" t="str">
        <x:f>IF(OR('WELL INPUTS'!$B$13="Unrestricted",CODE(H437)&lt;=CODE('WELL INPUTS'!$B$13)),"WITHIN TIER","OVER CAP")</x:f>
        <x:v>WITHIN TIER</x:v>
      </x:c>
      <x:c r="Q437" t="n">
        <x:f>MAX(0,MIN(100,43+IF(L437="OK",14,-20)+IF(M437="CATALOG SOUR",24,IF(M437="NOT LISTED",-18,0))+IF(N437="ALLOY FAMILY",14,IF(N437="CORROSION CONTROL",-13,0))+IF(O437="CLAIMED",17,IF(O437="NOT LISTED",-14,0))+IF(K437="Yes",-15,0)+IF('WELL INPUTS'!$B$10="Yes",-17,0)))</x:f>
        <x:v>44</x:v>
      </x:c>
      <x:c r="R437" s="83" t="str">
        <x:f>IF(L437="BELOW","EXCLUDE — STRENGTH",IF(P437="OVER CAP","EXCLUDE — COST",IF(K437="Yes",IF('WELL INPUTS'!$B$14="No","EXCLUDE — REFERENCE","REFERENCE ONLY"),IF(OR(L437="UNKNOWN",M437="NOT LISTED",N437="CORROSION CONTROL",O437="NOT LISTED",'WELL INPUTS'!$B$10="Yes",'WELL INPUTS'!$B$4="Unknown"),"REVIEW","CANDIDATE — VERIFY"))))</x:f>
        <x:v>REVIEW</x:v>
      </x:c>
      <x:c r="S437" t="str">
        <x:f>IF(L437="BELOW","Increase minimum grade strength",IF(P437="OVER CAP","Relax cost tier or exclude",IF(K437="Yes","Identify qualified manufacturer grade",IF(M437="NOT LISTED","Confirm sour-service claim and ISO 15156",IF(O437="NOT LISTED","Obtain manufacturer collapse curve",IF(N437="CORROSION CONTROL","Model CO2 corrosion; review inhibition","Confirm corrosion, cracking, loads and connection"))))))</x:f>
        <x:v>Model CO2 corrosion; review inhibition</x:v>
      </x:c>
      <x:c r="T437" t="str">
        <x:v>https://projects.arcelormittal.com/energy/products-services/product-range/pipes-tubulars</x:v>
      </x:c>
    </x:row>
    <x:row r="438" ht="23" customHeight="1">
      <x:c r="A438" t="str">
        <x:v>OCTG-0437</x:v>
      </x:c>
      <x:c r="B438" t="str">
        <x:v>ArcelorMittal</x:v>
      </x:c>
      <x:c r="C438" t="str">
        <x:v>H40</x:v>
      </x:c>
      <x:c r="D438" t="str">
        <x:v>Carbon / low alloy</x:v>
      </x:c>
      <x:c r="E438" t="str">
        <x:v>Supplier-listed API OCTG</x:v>
      </x:c>
      <x:c r="F438" s="82" t="n">
        <x:v>40</x:v>
      </x:c>
      <x:c r="G438" t="str">
        <x:v>No</x:v>
      </x:c>
      <x:c r="H438" t="str">
        <x:v>A</x:v>
      </x:c>
      <x:c r="I438" t="str">
        <x:v>No</x:v>
      </x:c>
      <x:c r="J438" t="str">
        <x:v>No</x:v>
      </x:c>
      <x:c r="K438" t="str">
        <x:v>No</x:v>
      </x:c>
      <x:c r="L438" t="str">
        <x:f>IF(F438="","UNKNOWN",IF(F438&lt;'WELL INPUTS'!$B$11,"BELOW","OK"))</x:f>
        <x:v>BELOW</x:v>
      </x:c>
      <x:c r="M438" t="str">
        <x:f>IF(AND('WELL INPUTS'!$B$4="Wet",'WELL INPUTS'!$B$5&gt;0),IF(I438="Yes","CATALOG SOUR","NOT LISTED"),"N/A")</x:f>
        <x:v>N/A</x:v>
      </x:c>
      <x:c r="N438" t="str">
        <x:f>IF(AND('WELL INPUTS'!$B$4="Wet",'WELL INPUTS'!$B$6&gt;0),IF(J438="Yes","ALLOY FAMILY","CORROSION CONTROL"),"N/A")</x:f>
        <x:v>CORROSION CONTROL</x:v>
      </x:c>
      <x:c r="O438" t="str">
        <x:f>IF('WELL INPUTS'!$B$12="Yes",IF(G438="Yes","CLAIMED","NOT LISTED"),"N/A")</x:f>
        <x:v>N/A</x:v>
      </x:c>
      <x:c r="P438" t="str">
        <x:f>IF(OR('WELL INPUTS'!$B$13="Unrestricted",CODE(H438)&lt;=CODE('WELL INPUTS'!$B$13)),"WITHIN TIER","OVER CAP")</x:f>
        <x:v>WITHIN TIER</x:v>
      </x:c>
      <x:c r="Q438" t="n">
        <x:f>MAX(0,MIN(100,43+IF(L438="OK",14,-20)+IF(M438="CATALOG SOUR",24,IF(M438="NOT LISTED",-18,0))+IF(N438="ALLOY FAMILY",14,IF(N438="CORROSION CONTROL",-13,0))+IF(O438="CLAIMED",17,IF(O438="NOT LISTED",-14,0))+IF(K438="Yes",-15,0)+IF('WELL INPUTS'!$B$10="Yes",-17,0)))</x:f>
        <x:v>10</x:v>
      </x:c>
      <x:c r="R438" s="83" t="str">
        <x:f>IF(L438="BELOW","EXCLUDE — STRENGTH",IF(P438="OVER CAP","EXCLUDE — COST",IF(K438="Yes",IF('WELL INPUTS'!$B$14="No","EXCLUDE — REFERENCE","REFERENCE ONLY"),IF(OR(L438="UNKNOWN",M438="NOT LISTED",N438="CORROSION CONTROL",O438="NOT LISTED",'WELL INPUTS'!$B$10="Yes",'WELL INPUTS'!$B$4="Unknown"),"REVIEW","CANDIDATE — VERIFY"))))</x:f>
        <x:v>EXCLUDE — STRENGTH</x:v>
      </x:c>
      <x:c r="S438" t="str">
        <x:f>IF(L438="BELOW","Increase minimum grade strength",IF(P438="OVER CAP","Relax cost tier or exclude",IF(K438="Yes","Identify qualified manufacturer grade",IF(M438="NOT LISTED","Confirm sour-service claim and ISO 15156",IF(O438="NOT LISTED","Obtain manufacturer collapse curve",IF(N438="CORROSION CONTROL","Model CO2 corrosion; review inhibition","Confirm corrosion, cracking, loads and connection"))))))</x:f>
        <x:v>Increase minimum grade strength</x:v>
      </x:c>
      <x:c r="T438" t="str">
        <x:v>https://projects.arcelormittal.com/energy/products-services/product-range/pipes-tubulars</x:v>
      </x:c>
    </x:row>
    <x:row r="439" ht="23" customHeight="1">
      <x:c r="A439" t="str">
        <x:v>OCTG-0438</x:v>
      </x:c>
      <x:c r="B439" t="str">
        <x:v>ArcelorMittal</x:v>
      </x:c>
      <x:c r="C439" t="str">
        <x:v>J55</x:v>
      </x:c>
      <x:c r="D439" t="str">
        <x:v>Carbon / low alloy</x:v>
      </x:c>
      <x:c r="E439" t="str">
        <x:v>Supplier-listed API OCTG</x:v>
      </x:c>
      <x:c r="F439" s="82" t="n">
        <x:v>55</x:v>
      </x:c>
      <x:c r="G439" t="str">
        <x:v>No</x:v>
      </x:c>
      <x:c r="H439" t="str">
        <x:v>A</x:v>
      </x:c>
      <x:c r="I439" t="str">
        <x:v>No</x:v>
      </x:c>
      <x:c r="J439" t="str">
        <x:v>No</x:v>
      </x:c>
      <x:c r="K439" t="str">
        <x:v>No</x:v>
      </x:c>
      <x:c r="L439" t="str">
        <x:f>IF(F439="","UNKNOWN",IF(F439&lt;'WELL INPUTS'!$B$11,"BELOW","OK"))</x:f>
        <x:v>BELOW</x:v>
      </x:c>
      <x:c r="M439" t="str">
        <x:f>IF(AND('WELL INPUTS'!$B$4="Wet",'WELL INPUTS'!$B$5&gt;0),IF(I439="Yes","CATALOG SOUR","NOT LISTED"),"N/A")</x:f>
        <x:v>N/A</x:v>
      </x:c>
      <x:c r="N439" t="str">
        <x:f>IF(AND('WELL INPUTS'!$B$4="Wet",'WELL INPUTS'!$B$6&gt;0),IF(J439="Yes","ALLOY FAMILY","CORROSION CONTROL"),"N/A")</x:f>
        <x:v>CORROSION CONTROL</x:v>
      </x:c>
      <x:c r="O439" t="str">
        <x:f>IF('WELL INPUTS'!$B$12="Yes",IF(G439="Yes","CLAIMED","NOT LISTED"),"N/A")</x:f>
        <x:v>N/A</x:v>
      </x:c>
      <x:c r="P439" t="str">
        <x:f>IF(OR('WELL INPUTS'!$B$13="Unrestricted",CODE(H439)&lt;=CODE('WELL INPUTS'!$B$13)),"WITHIN TIER","OVER CAP")</x:f>
        <x:v>WITHIN TIER</x:v>
      </x:c>
      <x:c r="Q439" t="n">
        <x:f>MAX(0,MIN(100,43+IF(L439="OK",14,-20)+IF(M439="CATALOG SOUR",24,IF(M439="NOT LISTED",-18,0))+IF(N439="ALLOY FAMILY",14,IF(N439="CORROSION CONTROL",-13,0))+IF(O439="CLAIMED",17,IF(O439="NOT LISTED",-14,0))+IF(K439="Yes",-15,0)+IF('WELL INPUTS'!$B$10="Yes",-17,0)))</x:f>
        <x:v>10</x:v>
      </x:c>
      <x:c r="R439" s="83" t="str">
        <x:f>IF(L439="BELOW","EXCLUDE — STRENGTH",IF(P439="OVER CAP","EXCLUDE — COST",IF(K439="Yes",IF('WELL INPUTS'!$B$14="No","EXCLUDE — REFERENCE","REFERENCE ONLY"),IF(OR(L439="UNKNOWN",M439="NOT LISTED",N439="CORROSION CONTROL",O439="NOT LISTED",'WELL INPUTS'!$B$10="Yes",'WELL INPUTS'!$B$4="Unknown"),"REVIEW","CANDIDATE — VERIFY"))))</x:f>
        <x:v>EXCLUDE — STRENGTH</x:v>
      </x:c>
      <x:c r="S439" t="str">
        <x:f>IF(L439="BELOW","Increase minimum grade strength",IF(P439="OVER CAP","Relax cost tier or exclude",IF(K439="Yes","Identify qualified manufacturer grade",IF(M439="NOT LISTED","Confirm sour-service claim and ISO 15156",IF(O439="NOT LISTED","Obtain manufacturer collapse curve",IF(N439="CORROSION CONTROL","Model CO2 corrosion; review inhibition","Confirm corrosion, cracking, loads and connection"))))))</x:f>
        <x:v>Increase minimum grade strength</x:v>
      </x:c>
      <x:c r="T439" t="str">
        <x:v>https://projects.arcelormittal.com/energy/products-services/product-range/pipes-tubulars</x:v>
      </x:c>
    </x:row>
    <x:row r="440" ht="23" customHeight="1">
      <x:c r="A440" t="str">
        <x:v>OCTG-0439</x:v>
      </x:c>
      <x:c r="B440" t="str">
        <x:v>ArcelorMittal</x:v>
      </x:c>
      <x:c r="C440" t="str">
        <x:v>K55</x:v>
      </x:c>
      <x:c r="D440" t="str">
        <x:v>Carbon / low alloy</x:v>
      </x:c>
      <x:c r="E440" t="str">
        <x:v>Supplier-listed API OCTG</x:v>
      </x:c>
      <x:c r="F440" s="82" t="n">
        <x:v>55</x:v>
      </x:c>
      <x:c r="G440" t="str">
        <x:v>No</x:v>
      </x:c>
      <x:c r="H440" t="str">
        <x:v>A</x:v>
      </x:c>
      <x:c r="I440" t="str">
        <x:v>No</x:v>
      </x:c>
      <x:c r="J440" t="str">
        <x:v>No</x:v>
      </x:c>
      <x:c r="K440" t="str">
        <x:v>No</x:v>
      </x:c>
      <x:c r="L440" t="str">
        <x:f>IF(F440="","UNKNOWN",IF(F440&lt;'WELL INPUTS'!$B$11,"BELOW","OK"))</x:f>
        <x:v>BELOW</x:v>
      </x:c>
      <x:c r="M440" t="str">
        <x:f>IF(AND('WELL INPUTS'!$B$4="Wet",'WELL INPUTS'!$B$5&gt;0),IF(I440="Yes","CATALOG SOUR","NOT LISTED"),"N/A")</x:f>
        <x:v>N/A</x:v>
      </x:c>
      <x:c r="N440" t="str">
        <x:f>IF(AND('WELL INPUTS'!$B$4="Wet",'WELL INPUTS'!$B$6&gt;0),IF(J440="Yes","ALLOY FAMILY","CORROSION CONTROL"),"N/A")</x:f>
        <x:v>CORROSION CONTROL</x:v>
      </x:c>
      <x:c r="O440" t="str">
        <x:f>IF('WELL INPUTS'!$B$12="Yes",IF(G440="Yes","CLAIMED","NOT LISTED"),"N/A")</x:f>
        <x:v>N/A</x:v>
      </x:c>
      <x:c r="P440" t="str">
        <x:f>IF(OR('WELL INPUTS'!$B$13="Unrestricted",CODE(H440)&lt;=CODE('WELL INPUTS'!$B$13)),"WITHIN TIER","OVER CAP")</x:f>
        <x:v>WITHIN TIER</x:v>
      </x:c>
      <x:c r="Q440" t="n">
        <x:f>MAX(0,MIN(100,43+IF(L440="OK",14,-20)+IF(M440="CATALOG SOUR",24,IF(M440="NOT LISTED",-18,0))+IF(N440="ALLOY FAMILY",14,IF(N440="CORROSION CONTROL",-13,0))+IF(O440="CLAIMED",17,IF(O440="NOT LISTED",-14,0))+IF(K440="Yes",-15,0)+IF('WELL INPUTS'!$B$10="Yes",-17,0)))</x:f>
        <x:v>10</x:v>
      </x:c>
      <x:c r="R440" s="83" t="str">
        <x:f>IF(L440="BELOW","EXCLUDE — STRENGTH",IF(P440="OVER CAP","EXCLUDE — COST",IF(K440="Yes",IF('WELL INPUTS'!$B$14="No","EXCLUDE — REFERENCE","REFERENCE ONLY"),IF(OR(L440="UNKNOWN",M440="NOT LISTED",N440="CORROSION CONTROL",O440="NOT LISTED",'WELL INPUTS'!$B$10="Yes",'WELL INPUTS'!$B$4="Unknown"),"REVIEW","CANDIDATE — VERIFY"))))</x:f>
        <x:v>EXCLUDE — STRENGTH</x:v>
      </x:c>
      <x:c r="S440" t="str">
        <x:f>IF(L440="BELOW","Increase minimum grade strength",IF(P440="OVER CAP","Relax cost tier or exclude",IF(K440="Yes","Identify qualified manufacturer grade",IF(M440="NOT LISTED","Confirm sour-service claim and ISO 15156",IF(O440="NOT LISTED","Obtain manufacturer collapse curve",IF(N440="CORROSION CONTROL","Model CO2 corrosion; review inhibition","Confirm corrosion, cracking, loads and connection"))))))</x:f>
        <x:v>Increase minimum grade strength</x:v>
      </x:c>
      <x:c r="T440" t="str">
        <x:v>https://projects.arcelormittal.com/energy/products-services/product-range/pipes-tubulars</x:v>
      </x:c>
    </x:row>
    <x:row r="441" ht="23" customHeight="1">
      <x:c r="A441" t="str">
        <x:v>OCTG-0440</x:v>
      </x:c>
      <x:c r="B441" t="str">
        <x:v>ArcelorMittal</x:v>
      </x:c>
      <x:c r="C441" t="str">
        <x:v>L80 Type 1</x:v>
      </x:c>
      <x:c r="D441" t="str">
        <x:v>Carbon / low alloy</x:v>
      </x:c>
      <x:c r="E441" t="str">
        <x:v>Supplier-listed API OCTG</x:v>
      </x:c>
      <x:c r="F441" s="82" t="n">
        <x:v>80</x:v>
      </x:c>
      <x:c r="G441" t="str">
        <x:v>No</x:v>
      </x:c>
      <x:c r="H441" t="str">
        <x:v>A</x:v>
      </x:c>
      <x:c r="I441" t="str">
        <x:v>No</x:v>
      </x:c>
      <x:c r="J441" t="str">
        <x:v>No</x:v>
      </x:c>
      <x:c r="K441" t="str">
        <x:v>No</x:v>
      </x:c>
      <x:c r="L441" t="str">
        <x:f>IF(F441="","UNKNOWN",IF(F441&lt;'WELL INPUTS'!$B$11,"BELOW","OK"))</x:f>
        <x:v>OK</x:v>
      </x:c>
      <x:c r="M441" t="str">
        <x:f>IF(AND('WELL INPUTS'!$B$4="Wet",'WELL INPUTS'!$B$5&gt;0),IF(I441="Yes","CATALOG SOUR","NOT LISTED"),"N/A")</x:f>
        <x:v>N/A</x:v>
      </x:c>
      <x:c r="N441" t="str">
        <x:f>IF(AND('WELL INPUTS'!$B$4="Wet",'WELL INPUTS'!$B$6&gt;0),IF(J441="Yes","ALLOY FAMILY","CORROSION CONTROL"),"N/A")</x:f>
        <x:v>CORROSION CONTROL</x:v>
      </x:c>
      <x:c r="O441" t="str">
        <x:f>IF('WELL INPUTS'!$B$12="Yes",IF(G441="Yes","CLAIMED","NOT LISTED"),"N/A")</x:f>
        <x:v>N/A</x:v>
      </x:c>
      <x:c r="P441" t="str">
        <x:f>IF(OR('WELL INPUTS'!$B$13="Unrestricted",CODE(H441)&lt;=CODE('WELL INPUTS'!$B$13)),"WITHIN TIER","OVER CAP")</x:f>
        <x:v>WITHIN TIER</x:v>
      </x:c>
      <x:c r="Q441" t="n">
        <x:f>MAX(0,MIN(100,43+IF(L441="OK",14,-20)+IF(M441="CATALOG SOUR",24,IF(M441="NOT LISTED",-18,0))+IF(N441="ALLOY FAMILY",14,IF(N441="CORROSION CONTROL",-13,0))+IF(O441="CLAIMED",17,IF(O441="NOT LISTED",-14,0))+IF(K441="Yes",-15,0)+IF('WELL INPUTS'!$B$10="Yes",-17,0)))</x:f>
        <x:v>44</x:v>
      </x:c>
      <x:c r="R441" s="83" t="str">
        <x:f>IF(L441="BELOW","EXCLUDE — STRENGTH",IF(P441="OVER CAP","EXCLUDE — COST",IF(K441="Yes",IF('WELL INPUTS'!$B$14="No","EXCLUDE — REFERENCE","REFERENCE ONLY"),IF(OR(L441="UNKNOWN",M441="NOT LISTED",N441="CORROSION CONTROL",O441="NOT LISTED",'WELL INPUTS'!$B$10="Yes",'WELL INPUTS'!$B$4="Unknown"),"REVIEW","CANDIDATE — VERIFY"))))</x:f>
        <x:v>REVIEW</x:v>
      </x:c>
      <x:c r="S441" t="str">
        <x:f>IF(L441="BELOW","Increase minimum grade strength",IF(P441="OVER CAP","Relax cost tier or exclude",IF(K441="Yes","Identify qualified manufacturer grade",IF(M441="NOT LISTED","Confirm sour-service claim and ISO 15156",IF(O441="NOT LISTED","Obtain manufacturer collapse curve",IF(N441="CORROSION CONTROL","Model CO2 corrosion; review inhibition","Confirm corrosion, cracking, loads and connection"))))))</x:f>
        <x:v>Model CO2 corrosion; review inhibition</x:v>
      </x:c>
      <x:c r="T441" t="str">
        <x:v>https://projects.arcelormittal.com/energy/products-services/product-range/pipes-tubulars</x:v>
      </x:c>
    </x:row>
    <x:row r="442" ht="23" customHeight="1">
      <x:c r="A442" t="str">
        <x:v>OCTG-0441</x:v>
      </x:c>
      <x:c r="B442" t="str">
        <x:v>ArcelorMittal</x:v>
      </x:c>
      <x:c r="C442" t="str">
        <x:v>N80 Type 1</x:v>
      </x:c>
      <x:c r="D442" t="str">
        <x:v>Carbon / low alloy</x:v>
      </x:c>
      <x:c r="E442" t="str">
        <x:v>Supplier-listed API OCTG</x:v>
      </x:c>
      <x:c r="F442" s="82" t="n">
        <x:v>80</x:v>
      </x:c>
      <x:c r="G442" t="str">
        <x:v>No</x:v>
      </x:c>
      <x:c r="H442" t="str">
        <x:v>A</x:v>
      </x:c>
      <x:c r="I442" t="str">
        <x:v>No</x:v>
      </x:c>
      <x:c r="J442" t="str">
        <x:v>No</x:v>
      </x:c>
      <x:c r="K442" t="str">
        <x:v>No</x:v>
      </x:c>
      <x:c r="L442" t="str">
        <x:f>IF(F442="","UNKNOWN",IF(F442&lt;'WELL INPUTS'!$B$11,"BELOW","OK"))</x:f>
        <x:v>OK</x:v>
      </x:c>
      <x:c r="M442" t="str">
        <x:f>IF(AND('WELL INPUTS'!$B$4="Wet",'WELL INPUTS'!$B$5&gt;0),IF(I442="Yes","CATALOG SOUR","NOT LISTED"),"N/A")</x:f>
        <x:v>N/A</x:v>
      </x:c>
      <x:c r="N442" t="str">
        <x:f>IF(AND('WELL INPUTS'!$B$4="Wet",'WELL INPUTS'!$B$6&gt;0),IF(J442="Yes","ALLOY FAMILY","CORROSION CONTROL"),"N/A")</x:f>
        <x:v>CORROSION CONTROL</x:v>
      </x:c>
      <x:c r="O442" t="str">
        <x:f>IF('WELL INPUTS'!$B$12="Yes",IF(G442="Yes","CLAIMED","NOT LISTED"),"N/A")</x:f>
        <x:v>N/A</x:v>
      </x:c>
      <x:c r="P442" t="str">
        <x:f>IF(OR('WELL INPUTS'!$B$13="Unrestricted",CODE(H442)&lt;=CODE('WELL INPUTS'!$B$13)),"WITHIN TIER","OVER CAP")</x:f>
        <x:v>WITHIN TIER</x:v>
      </x:c>
      <x:c r="Q442" t="n">
        <x:f>MAX(0,MIN(100,43+IF(L442="OK",14,-20)+IF(M442="CATALOG SOUR",24,IF(M442="NOT LISTED",-18,0))+IF(N442="ALLOY FAMILY",14,IF(N442="CORROSION CONTROL",-13,0))+IF(O442="CLAIMED",17,IF(O442="NOT LISTED",-14,0))+IF(K442="Yes",-15,0)+IF('WELL INPUTS'!$B$10="Yes",-17,0)))</x:f>
        <x:v>44</x:v>
      </x:c>
      <x:c r="R442" s="83" t="str">
        <x:f>IF(L442="BELOW","EXCLUDE — STRENGTH",IF(P442="OVER CAP","EXCLUDE — COST",IF(K442="Yes",IF('WELL INPUTS'!$B$14="No","EXCLUDE — REFERENCE","REFERENCE ONLY"),IF(OR(L442="UNKNOWN",M442="NOT LISTED",N442="CORROSION CONTROL",O442="NOT LISTED",'WELL INPUTS'!$B$10="Yes",'WELL INPUTS'!$B$4="Unknown"),"REVIEW","CANDIDATE — VERIFY"))))</x:f>
        <x:v>REVIEW</x:v>
      </x:c>
      <x:c r="S442" t="str">
        <x:f>IF(L442="BELOW","Increase minimum grade strength",IF(P442="OVER CAP","Relax cost tier or exclude",IF(K442="Yes","Identify qualified manufacturer grade",IF(M442="NOT LISTED","Confirm sour-service claim and ISO 15156",IF(O442="NOT LISTED","Obtain manufacturer collapse curve",IF(N442="CORROSION CONTROL","Model CO2 corrosion; review inhibition","Confirm corrosion, cracking, loads and connection"))))))</x:f>
        <x:v>Model CO2 corrosion; review inhibition</x:v>
      </x:c>
      <x:c r="T442" t="str">
        <x:v>https://projects.arcelormittal.com/energy/products-services/product-range/pipes-tubulars</x:v>
      </x:c>
    </x:row>
    <x:row r="443" ht="23" customHeight="1">
      <x:c r="A443" t="str">
        <x:v>OCTG-0442</x:v>
      </x:c>
      <x:c r="B443" t="str">
        <x:v>ArcelorMittal</x:v>
      </x:c>
      <x:c r="C443" t="str">
        <x:v>N80 Type Q</x:v>
      </x:c>
      <x:c r="D443" t="str">
        <x:v>Carbon / low alloy</x:v>
      </x:c>
      <x:c r="E443" t="str">
        <x:v>Supplier-listed API OCTG</x:v>
      </x:c>
      <x:c r="F443" s="82" t="n">
        <x:v>80</x:v>
      </x:c>
      <x:c r="G443" t="str">
        <x:v>No</x:v>
      </x:c>
      <x:c r="H443" t="str">
        <x:v>A</x:v>
      </x:c>
      <x:c r="I443" t="str">
        <x:v>No</x:v>
      </x:c>
      <x:c r="J443" t="str">
        <x:v>No</x:v>
      </x:c>
      <x:c r="K443" t="str">
        <x:v>No</x:v>
      </x:c>
      <x:c r="L443" t="str">
        <x:f>IF(F443="","UNKNOWN",IF(F443&lt;'WELL INPUTS'!$B$11,"BELOW","OK"))</x:f>
        <x:v>OK</x:v>
      </x:c>
      <x:c r="M443" t="str">
        <x:f>IF(AND('WELL INPUTS'!$B$4="Wet",'WELL INPUTS'!$B$5&gt;0),IF(I443="Yes","CATALOG SOUR","NOT LISTED"),"N/A")</x:f>
        <x:v>N/A</x:v>
      </x:c>
      <x:c r="N443" t="str">
        <x:f>IF(AND('WELL INPUTS'!$B$4="Wet",'WELL INPUTS'!$B$6&gt;0),IF(J443="Yes","ALLOY FAMILY","CORROSION CONTROL"),"N/A")</x:f>
        <x:v>CORROSION CONTROL</x:v>
      </x:c>
      <x:c r="O443" t="str">
        <x:f>IF('WELL INPUTS'!$B$12="Yes",IF(G443="Yes","CLAIMED","NOT LISTED"),"N/A")</x:f>
        <x:v>N/A</x:v>
      </x:c>
      <x:c r="P443" t="str">
        <x:f>IF(OR('WELL INPUTS'!$B$13="Unrestricted",CODE(H443)&lt;=CODE('WELL INPUTS'!$B$13)),"WITHIN TIER","OVER CAP")</x:f>
        <x:v>WITHIN TIER</x:v>
      </x:c>
      <x:c r="Q443" t="n">
        <x:f>MAX(0,MIN(100,43+IF(L443="OK",14,-20)+IF(M443="CATALOG SOUR",24,IF(M443="NOT LISTED",-18,0))+IF(N443="ALLOY FAMILY",14,IF(N443="CORROSION CONTROL",-13,0))+IF(O443="CLAIMED",17,IF(O443="NOT LISTED",-14,0))+IF(K443="Yes",-15,0)+IF('WELL INPUTS'!$B$10="Yes",-17,0)))</x:f>
        <x:v>44</x:v>
      </x:c>
      <x:c r="R443" s="83" t="str">
        <x:f>IF(L443="BELOW","EXCLUDE — STRENGTH",IF(P443="OVER CAP","EXCLUDE — COST",IF(K443="Yes",IF('WELL INPUTS'!$B$14="No","EXCLUDE — REFERENCE","REFERENCE ONLY"),IF(OR(L443="UNKNOWN",M443="NOT LISTED",N443="CORROSION CONTROL",O443="NOT LISTED",'WELL INPUTS'!$B$10="Yes",'WELL INPUTS'!$B$4="Unknown"),"REVIEW","CANDIDATE — VERIFY"))))</x:f>
        <x:v>REVIEW</x:v>
      </x:c>
      <x:c r="S443" t="str">
        <x:f>IF(L443="BELOW","Increase minimum grade strength",IF(P443="OVER CAP","Relax cost tier or exclude",IF(K443="Yes","Identify qualified manufacturer grade",IF(M443="NOT LISTED","Confirm sour-service claim and ISO 15156",IF(O443="NOT LISTED","Obtain manufacturer collapse curve",IF(N443="CORROSION CONTROL","Model CO2 corrosion; review inhibition","Confirm corrosion, cracking, loads and connection"))))))</x:f>
        <x:v>Model CO2 corrosion; review inhibition</x:v>
      </x:c>
      <x:c r="T443" t="str">
        <x:v>https://projects.arcelormittal.com/energy/products-services/product-range/pipes-tubulars</x:v>
      </x:c>
    </x:row>
    <x:row r="444" ht="23" customHeight="1">
      <x:c r="A444" t="str">
        <x:v>OCTG-0443</x:v>
      </x:c>
      <x:c r="B444" t="str">
        <x:v>ArcelorMittal</x:v>
      </x:c>
      <x:c r="C444" t="str">
        <x:v>P110</x:v>
      </x:c>
      <x:c r="D444" t="str">
        <x:v>Carbon / low alloy</x:v>
      </x:c>
      <x:c r="E444" t="str">
        <x:v>Supplier-listed API OCTG</x:v>
      </x:c>
      <x:c r="F444" s="82" t="n">
        <x:v>110</x:v>
      </x:c>
      <x:c r="G444" t="str">
        <x:v>No</x:v>
      </x:c>
      <x:c r="H444" t="str">
        <x:v>A</x:v>
      </x:c>
      <x:c r="I444" t="str">
        <x:v>No</x:v>
      </x:c>
      <x:c r="J444" t="str">
        <x:v>No</x:v>
      </x:c>
      <x:c r="K444" t="str">
        <x:v>No</x:v>
      </x:c>
      <x:c r="L444" t="str">
        <x:f>IF(F444="","UNKNOWN",IF(F444&lt;'WELL INPUTS'!$B$11,"BELOW","OK"))</x:f>
        <x:v>OK</x:v>
      </x:c>
      <x:c r="M444" t="str">
        <x:f>IF(AND('WELL INPUTS'!$B$4="Wet",'WELL INPUTS'!$B$5&gt;0),IF(I444="Yes","CATALOG SOUR","NOT LISTED"),"N/A")</x:f>
        <x:v>N/A</x:v>
      </x:c>
      <x:c r="N444" t="str">
        <x:f>IF(AND('WELL INPUTS'!$B$4="Wet",'WELL INPUTS'!$B$6&gt;0),IF(J444="Yes","ALLOY FAMILY","CORROSION CONTROL"),"N/A")</x:f>
        <x:v>CORROSION CONTROL</x:v>
      </x:c>
      <x:c r="O444" t="str">
        <x:f>IF('WELL INPUTS'!$B$12="Yes",IF(G444="Yes","CLAIMED","NOT LISTED"),"N/A")</x:f>
        <x:v>N/A</x:v>
      </x:c>
      <x:c r="P444" t="str">
        <x:f>IF(OR('WELL INPUTS'!$B$13="Unrestricted",CODE(H444)&lt;=CODE('WELL INPUTS'!$B$13)),"WITHIN TIER","OVER CAP")</x:f>
        <x:v>WITHIN TIER</x:v>
      </x:c>
      <x:c r="Q444" t="n">
        <x:f>MAX(0,MIN(100,43+IF(L444="OK",14,-20)+IF(M444="CATALOG SOUR",24,IF(M444="NOT LISTED",-18,0))+IF(N444="ALLOY FAMILY",14,IF(N444="CORROSION CONTROL",-13,0))+IF(O444="CLAIMED",17,IF(O444="NOT LISTED",-14,0))+IF(K444="Yes",-15,0)+IF('WELL INPUTS'!$B$10="Yes",-17,0)))</x:f>
        <x:v>44</x:v>
      </x:c>
      <x:c r="R444" s="83" t="str">
        <x:f>IF(L444="BELOW","EXCLUDE — STRENGTH",IF(P444="OVER CAP","EXCLUDE — COST",IF(K444="Yes",IF('WELL INPUTS'!$B$14="No","EXCLUDE — REFERENCE","REFERENCE ONLY"),IF(OR(L444="UNKNOWN",M444="NOT LISTED",N444="CORROSION CONTROL",O444="NOT LISTED",'WELL INPUTS'!$B$10="Yes",'WELL INPUTS'!$B$4="Unknown"),"REVIEW","CANDIDATE — VERIFY"))))</x:f>
        <x:v>REVIEW</x:v>
      </x:c>
      <x:c r="S444" t="str">
        <x:f>IF(L444="BELOW","Increase minimum grade strength",IF(P444="OVER CAP","Relax cost tier or exclude",IF(K444="Yes","Identify qualified manufacturer grade",IF(M444="NOT LISTED","Confirm sour-service claim and ISO 15156",IF(O444="NOT LISTED","Obtain manufacturer collapse curve",IF(N444="CORROSION CONTROL","Model CO2 corrosion; review inhibition","Confirm corrosion, cracking, loads and connection"))))))</x:f>
        <x:v>Model CO2 corrosion; review inhibition</x:v>
      </x:c>
      <x:c r="T444" t="str">
        <x:v>https://projects.arcelormittal.com/energy/products-services/product-range/pipes-tubulars</x:v>
      </x:c>
    </x:row>
    <x:row r="445" ht="23" customHeight="1">
      <x:c r="A445" t="str">
        <x:v>OCTG-0444</x:v>
      </x:c>
      <x:c r="B445" t="str">
        <x:v>ArcelorMittal</x:v>
      </x:c>
      <x:c r="C445" t="str">
        <x:v>Q125</x:v>
      </x:c>
      <x:c r="D445" t="str">
        <x:v>Carbon / low alloy</x:v>
      </x:c>
      <x:c r="E445" t="str">
        <x:v>Supplier-listed API OCTG</x:v>
      </x:c>
      <x:c r="F445" s="82" t="n">
        <x:v>125</x:v>
      </x:c>
      <x:c r="G445" t="str">
        <x:v>No</x:v>
      </x:c>
      <x:c r="H445" t="str">
        <x:v>A</x:v>
      </x:c>
      <x:c r="I445" t="str">
        <x:v>No</x:v>
      </x:c>
      <x:c r="J445" t="str">
        <x:v>No</x:v>
      </x:c>
      <x:c r="K445" t="str">
        <x:v>No</x:v>
      </x:c>
      <x:c r="L445" t="str">
        <x:f>IF(F445="","UNKNOWN",IF(F445&lt;'WELL INPUTS'!$B$11,"BELOW","OK"))</x:f>
        <x:v>OK</x:v>
      </x:c>
      <x:c r="M445" t="str">
        <x:f>IF(AND('WELL INPUTS'!$B$4="Wet",'WELL INPUTS'!$B$5&gt;0),IF(I445="Yes","CATALOG SOUR","NOT LISTED"),"N/A")</x:f>
        <x:v>N/A</x:v>
      </x:c>
      <x:c r="N445" t="str">
        <x:f>IF(AND('WELL INPUTS'!$B$4="Wet",'WELL INPUTS'!$B$6&gt;0),IF(J445="Yes","ALLOY FAMILY","CORROSION CONTROL"),"N/A")</x:f>
        <x:v>CORROSION CONTROL</x:v>
      </x:c>
      <x:c r="O445" t="str">
        <x:f>IF('WELL INPUTS'!$B$12="Yes",IF(G445="Yes","CLAIMED","NOT LISTED"),"N/A")</x:f>
        <x:v>N/A</x:v>
      </x:c>
      <x:c r="P445" t="str">
        <x:f>IF(OR('WELL INPUTS'!$B$13="Unrestricted",CODE(H445)&lt;=CODE('WELL INPUTS'!$B$13)),"WITHIN TIER","OVER CAP")</x:f>
        <x:v>WITHIN TIER</x:v>
      </x:c>
      <x:c r="Q445" t="n">
        <x:f>MAX(0,MIN(100,43+IF(L445="OK",14,-20)+IF(M445="CATALOG SOUR",24,IF(M445="NOT LISTED",-18,0))+IF(N445="ALLOY FAMILY",14,IF(N445="CORROSION CONTROL",-13,0))+IF(O445="CLAIMED",17,IF(O445="NOT LISTED",-14,0))+IF(K445="Yes",-15,0)+IF('WELL INPUTS'!$B$10="Yes",-17,0)))</x:f>
        <x:v>44</x:v>
      </x:c>
      <x:c r="R445" s="83" t="str">
        <x:f>IF(L445="BELOW","EXCLUDE — STRENGTH",IF(P445="OVER CAP","EXCLUDE — COST",IF(K445="Yes",IF('WELL INPUTS'!$B$14="No","EXCLUDE — REFERENCE","REFERENCE ONLY"),IF(OR(L445="UNKNOWN",M445="NOT LISTED",N445="CORROSION CONTROL",O445="NOT LISTED",'WELL INPUTS'!$B$10="Yes",'WELL INPUTS'!$B$4="Unknown"),"REVIEW","CANDIDATE — VERIFY"))))</x:f>
        <x:v>REVIEW</x:v>
      </x:c>
      <x:c r="S445" t="str">
        <x:f>IF(L445="BELOW","Increase minimum grade strength",IF(P445="OVER CAP","Relax cost tier or exclude",IF(K445="Yes","Identify qualified manufacturer grade",IF(M445="NOT LISTED","Confirm sour-service claim and ISO 15156",IF(O445="NOT LISTED","Obtain manufacturer collapse curve",IF(N445="CORROSION CONTROL","Model CO2 corrosion; review inhibition","Confirm corrosion, cracking, loads and connection"))))))</x:f>
        <x:v>Model CO2 corrosion; review inhibition</x:v>
      </x:c>
      <x:c r="T445" t="str">
        <x:v>https://projects.arcelormittal.com/energy/products-services/product-range/pipes-tubulars</x:v>
      </x:c>
    </x:row>
    <x:row r="446" ht="23" customHeight="1">
      <x:c r="A446" t="str">
        <x:v>OCTG-0445</x:v>
      </x:c>
      <x:c r="B446" t="str">
        <x:v>ArcelorMittal</x:v>
      </x:c>
      <x:c r="C446" t="str">
        <x:v>R95</x:v>
      </x:c>
      <x:c r="D446" t="str">
        <x:v>Carbon / low alloy</x:v>
      </x:c>
      <x:c r="E446" t="str">
        <x:v>Supplier-listed API OCTG</x:v>
      </x:c>
      <x:c r="F446" s="82" t="n">
        <x:v>95</x:v>
      </x:c>
      <x:c r="G446" t="str">
        <x:v>No</x:v>
      </x:c>
      <x:c r="H446" t="str">
        <x:v>A</x:v>
      </x:c>
      <x:c r="I446" t="str">
        <x:v>No</x:v>
      </x:c>
      <x:c r="J446" t="str">
        <x:v>No</x:v>
      </x:c>
      <x:c r="K446" t="str">
        <x:v>No</x:v>
      </x:c>
      <x:c r="L446" t="str">
        <x:f>IF(F446="","UNKNOWN",IF(F446&lt;'WELL INPUTS'!$B$11,"BELOW","OK"))</x:f>
        <x:v>OK</x:v>
      </x:c>
      <x:c r="M446" t="str">
        <x:f>IF(AND('WELL INPUTS'!$B$4="Wet",'WELL INPUTS'!$B$5&gt;0),IF(I446="Yes","CATALOG SOUR","NOT LISTED"),"N/A")</x:f>
        <x:v>N/A</x:v>
      </x:c>
      <x:c r="N446" t="str">
        <x:f>IF(AND('WELL INPUTS'!$B$4="Wet",'WELL INPUTS'!$B$6&gt;0),IF(J446="Yes","ALLOY FAMILY","CORROSION CONTROL"),"N/A")</x:f>
        <x:v>CORROSION CONTROL</x:v>
      </x:c>
      <x:c r="O446" t="str">
        <x:f>IF('WELL INPUTS'!$B$12="Yes",IF(G446="Yes","CLAIMED","NOT LISTED"),"N/A")</x:f>
        <x:v>N/A</x:v>
      </x:c>
      <x:c r="P446" t="str">
        <x:f>IF(OR('WELL INPUTS'!$B$13="Unrestricted",CODE(H446)&lt;=CODE('WELL INPUTS'!$B$13)),"WITHIN TIER","OVER CAP")</x:f>
        <x:v>WITHIN TIER</x:v>
      </x:c>
      <x:c r="Q446" t="n">
        <x:f>MAX(0,MIN(100,43+IF(L446="OK",14,-20)+IF(M446="CATALOG SOUR",24,IF(M446="NOT LISTED",-18,0))+IF(N446="ALLOY FAMILY",14,IF(N446="CORROSION CONTROL",-13,0))+IF(O446="CLAIMED",17,IF(O446="NOT LISTED",-14,0))+IF(K446="Yes",-15,0)+IF('WELL INPUTS'!$B$10="Yes",-17,0)))</x:f>
        <x:v>44</x:v>
      </x:c>
      <x:c r="R446" s="83" t="str">
        <x:f>IF(L446="BELOW","EXCLUDE — STRENGTH",IF(P446="OVER CAP","EXCLUDE — COST",IF(K446="Yes",IF('WELL INPUTS'!$B$14="No","EXCLUDE — REFERENCE","REFERENCE ONLY"),IF(OR(L446="UNKNOWN",M446="NOT LISTED",N446="CORROSION CONTROL",O446="NOT LISTED",'WELL INPUTS'!$B$10="Yes",'WELL INPUTS'!$B$4="Unknown"),"REVIEW","CANDIDATE — VERIFY"))))</x:f>
        <x:v>REVIEW</x:v>
      </x:c>
      <x:c r="S446" t="str">
        <x:f>IF(L446="BELOW","Increase minimum grade strength",IF(P446="OVER CAP","Relax cost tier or exclude",IF(K446="Yes","Identify qualified manufacturer grade",IF(M446="NOT LISTED","Confirm sour-service claim and ISO 15156",IF(O446="NOT LISTED","Obtain manufacturer collapse curve",IF(N446="CORROSION CONTROL","Model CO2 corrosion; review inhibition","Confirm corrosion, cracking, loads and connection"))))))</x:f>
        <x:v>Model CO2 corrosion; review inhibition</x:v>
      </x:c>
      <x:c r="T446" t="str">
        <x:v>https://projects.arcelormittal.com/energy/products-services/product-range/pipes-tubulars</x:v>
      </x:c>
    </x:row>
    <x:row r="447" ht="23" customHeight="1">
      <x:c r="A447" t="str">
        <x:v>OCTG-0446</x:v>
      </x:c>
      <x:c r="B447" t="str">
        <x:v>ArcelorMittal</x:v>
      </x:c>
      <x:c r="C447" t="str">
        <x:v>T95</x:v>
      </x:c>
      <x:c r="D447" t="str">
        <x:v>Carbon / low alloy</x:v>
      </x:c>
      <x:c r="E447" t="str">
        <x:v>Supplier-listed API OCTG</x:v>
      </x:c>
      <x:c r="F447" s="82" t="n">
        <x:v>95</x:v>
      </x:c>
      <x:c r="G447" t="str">
        <x:v>No</x:v>
      </x:c>
      <x:c r="H447" t="str">
        <x:v>A</x:v>
      </x:c>
      <x:c r="I447" t="str">
        <x:v>No</x:v>
      </x:c>
      <x:c r="J447" t="str">
        <x:v>No</x:v>
      </x:c>
      <x:c r="K447" t="str">
        <x:v>No</x:v>
      </x:c>
      <x:c r="L447" t="str">
        <x:f>IF(F447="","UNKNOWN",IF(F447&lt;'WELL INPUTS'!$B$11,"BELOW","OK"))</x:f>
        <x:v>OK</x:v>
      </x:c>
      <x:c r="M447" t="str">
        <x:f>IF(AND('WELL INPUTS'!$B$4="Wet",'WELL INPUTS'!$B$5&gt;0),IF(I447="Yes","CATALOG SOUR","NOT LISTED"),"N/A")</x:f>
        <x:v>N/A</x:v>
      </x:c>
      <x:c r="N447" t="str">
        <x:f>IF(AND('WELL INPUTS'!$B$4="Wet",'WELL INPUTS'!$B$6&gt;0),IF(J447="Yes","ALLOY FAMILY","CORROSION CONTROL"),"N/A")</x:f>
        <x:v>CORROSION CONTROL</x:v>
      </x:c>
      <x:c r="O447" t="str">
        <x:f>IF('WELL INPUTS'!$B$12="Yes",IF(G447="Yes","CLAIMED","NOT LISTED"),"N/A")</x:f>
        <x:v>N/A</x:v>
      </x:c>
      <x:c r="P447" t="str">
        <x:f>IF(OR('WELL INPUTS'!$B$13="Unrestricted",CODE(H447)&lt;=CODE('WELL INPUTS'!$B$13)),"WITHIN TIER","OVER CAP")</x:f>
        <x:v>WITHIN TIER</x:v>
      </x:c>
      <x:c r="Q447" t="n">
        <x:f>MAX(0,MIN(100,43+IF(L447="OK",14,-20)+IF(M447="CATALOG SOUR",24,IF(M447="NOT LISTED",-18,0))+IF(N447="ALLOY FAMILY",14,IF(N447="CORROSION CONTROL",-13,0))+IF(O447="CLAIMED",17,IF(O447="NOT LISTED",-14,0))+IF(K447="Yes",-15,0)+IF('WELL INPUTS'!$B$10="Yes",-17,0)))</x:f>
        <x:v>44</x:v>
      </x:c>
      <x:c r="R447" s="83" t="str">
        <x:f>IF(L447="BELOW","EXCLUDE — STRENGTH",IF(P447="OVER CAP","EXCLUDE — COST",IF(K447="Yes",IF('WELL INPUTS'!$B$14="No","EXCLUDE — REFERENCE","REFERENCE ONLY"),IF(OR(L447="UNKNOWN",M447="NOT LISTED",N447="CORROSION CONTROL",O447="NOT LISTED",'WELL INPUTS'!$B$10="Yes",'WELL INPUTS'!$B$4="Unknown"),"REVIEW","CANDIDATE — VERIFY"))))</x:f>
        <x:v>REVIEW</x:v>
      </x:c>
      <x:c r="S447" t="str">
        <x:f>IF(L447="BELOW","Increase minimum grade strength",IF(P447="OVER CAP","Relax cost tier or exclude",IF(K447="Yes","Identify qualified manufacturer grade",IF(M447="NOT LISTED","Confirm sour-service claim and ISO 15156",IF(O447="NOT LISTED","Obtain manufacturer collapse curve",IF(N447="CORROSION CONTROL","Model CO2 corrosion; review inhibition","Confirm corrosion, cracking, loads and connection"))))))</x:f>
        <x:v>Model CO2 corrosion; review inhibition</x:v>
      </x:c>
      <x:c r="T447" t="str">
        <x:v>https://projects.arcelormittal.com/energy/products-services/product-range/pipes-tubulars</x:v>
      </x:c>
    </x:row>
    <x:row r="448" ht="23" customHeight="1">
      <x:c r="A448" t="str">
        <x:v>OCTG-0447</x:v>
      </x:c>
      <x:c r="B448" t="str">
        <x:v>Tianjin Huajin</x:v>
      </x:c>
      <x:c r="C448" t="str">
        <x:v>LC110S</x:v>
      </x:c>
      <x:c r="D448" t="str">
        <x:v>Carbon / low alloy</x:v>
      </x:c>
      <x:c r="E448" t="str">
        <x:v>H2S resistant OCTG (manufacturer catalogue)</x:v>
      </x:c>
      <x:c r="F448" s="82" t="n">
        <x:v>110</x:v>
      </x:c>
      <x:c r="G448" t="str">
        <x:v>No</x:v>
      </x:c>
      <x:c r="H448" t="str">
        <x:v>A</x:v>
      </x:c>
      <x:c r="I448" t="str">
        <x:v>Yes</x:v>
      </x:c>
      <x:c r="J448" t="str">
        <x:v>No</x:v>
      </x:c>
      <x:c r="K448" t="str">
        <x:v>No</x:v>
      </x:c>
      <x:c r="L448" t="str">
        <x:f>IF(F448="","UNKNOWN",IF(F448&lt;'WELL INPUTS'!$B$11,"BELOW","OK"))</x:f>
        <x:v>OK</x:v>
      </x:c>
      <x:c r="M448" t="str">
        <x:f>IF(AND('WELL INPUTS'!$B$4="Wet",'WELL INPUTS'!$B$5&gt;0),IF(I448="Yes","CATALOG SOUR","NOT LISTED"),"N/A")</x:f>
        <x:v>N/A</x:v>
      </x:c>
      <x:c r="N448" t="str">
        <x:f>IF(AND('WELL INPUTS'!$B$4="Wet",'WELL INPUTS'!$B$6&gt;0),IF(J448="Yes","ALLOY FAMILY","CORROSION CONTROL"),"N/A")</x:f>
        <x:v>CORROSION CONTROL</x:v>
      </x:c>
      <x:c r="O448" t="str">
        <x:f>IF('WELL INPUTS'!$B$12="Yes",IF(G448="Yes","CLAIMED","NOT LISTED"),"N/A")</x:f>
        <x:v>N/A</x:v>
      </x:c>
      <x:c r="P448" t="str">
        <x:f>IF(OR('WELL INPUTS'!$B$13="Unrestricted",CODE(H448)&lt;=CODE('WELL INPUTS'!$B$13)),"WITHIN TIER","OVER CAP")</x:f>
        <x:v>WITHIN TIER</x:v>
      </x:c>
      <x:c r="Q448" t="n">
        <x:f>MAX(0,MIN(100,43+IF(L448="OK",14,-20)+IF(M448="CATALOG SOUR",24,IF(M448="NOT LISTED",-18,0))+IF(N448="ALLOY FAMILY",14,IF(N448="CORROSION CONTROL",-13,0))+IF(O448="CLAIMED",17,IF(O448="NOT LISTED",-14,0))+IF(K448="Yes",-15,0)+IF('WELL INPUTS'!$B$10="Yes",-17,0)))</x:f>
        <x:v>44</x:v>
      </x:c>
      <x:c r="R448" s="83" t="str">
        <x:f>IF(L448="BELOW","EXCLUDE — STRENGTH",IF(P448="OVER CAP","EXCLUDE — COST",IF(K448="Yes",IF('WELL INPUTS'!$B$14="No","EXCLUDE — REFERENCE","REFERENCE ONLY"),IF(OR(L448="UNKNOWN",M448="NOT LISTED",N448="CORROSION CONTROL",O448="NOT LISTED",'WELL INPUTS'!$B$10="Yes",'WELL INPUTS'!$B$4="Unknown"),"REVIEW","CANDIDATE — VERIFY"))))</x:f>
        <x:v>REVIEW</x:v>
      </x:c>
      <x:c r="S448" t="str">
        <x:f>IF(L448="BELOW","Increase minimum grade strength",IF(P448="OVER CAP","Relax cost tier or exclude",IF(K448="Yes","Identify qualified manufacturer grade",IF(M448="NOT LISTED","Confirm sour-service claim and ISO 15156",IF(O448="NOT LISTED","Obtain manufacturer collapse curve",IF(N448="CORROSION CONTROL","Model CO2 corrosion; review inhibition","Confirm corrosion, cracking, loads and connection"))))))</x:f>
        <x:v>Model CO2 corrosion; review inhibition</x:v>
      </x:c>
      <x:c r="T448" t="str">
        <x:v>https://www.huajinpipe.com/en/col.jsp?id=117</x:v>
      </x:c>
    </x:row>
    <x:row r="449" ht="23" customHeight="1">
      <x:c r="A449" t="str">
        <x:v>OCTG-0448</x:v>
      </x:c>
      <x:c r="B449" t="str">
        <x:v>Tianjin Huajin</x:v>
      </x:c>
      <x:c r="C449" t="str">
        <x:v>LC80S</x:v>
      </x:c>
      <x:c r="D449" t="str">
        <x:v>Carbon / low alloy</x:v>
      </x:c>
      <x:c r="E449" t="str">
        <x:v>H2S resistant OCTG (manufacturer catalogue)</x:v>
      </x:c>
      <x:c r="F449" s="82" t="n">
        <x:v>80</x:v>
      </x:c>
      <x:c r="G449" t="str">
        <x:v>No</x:v>
      </x:c>
      <x:c r="H449" t="str">
        <x:v>A</x:v>
      </x:c>
      <x:c r="I449" t="str">
        <x:v>Yes</x:v>
      </x:c>
      <x:c r="J449" t="str">
        <x:v>No</x:v>
      </x:c>
      <x:c r="K449" t="str">
        <x:v>No</x:v>
      </x:c>
      <x:c r="L449" t="str">
        <x:f>IF(F449="","UNKNOWN",IF(F449&lt;'WELL INPUTS'!$B$11,"BELOW","OK"))</x:f>
        <x:v>OK</x:v>
      </x:c>
      <x:c r="M449" t="str">
        <x:f>IF(AND('WELL INPUTS'!$B$4="Wet",'WELL INPUTS'!$B$5&gt;0),IF(I449="Yes","CATALOG SOUR","NOT LISTED"),"N/A")</x:f>
        <x:v>N/A</x:v>
      </x:c>
      <x:c r="N449" t="str">
        <x:f>IF(AND('WELL INPUTS'!$B$4="Wet",'WELL INPUTS'!$B$6&gt;0),IF(J449="Yes","ALLOY FAMILY","CORROSION CONTROL"),"N/A")</x:f>
        <x:v>CORROSION CONTROL</x:v>
      </x:c>
      <x:c r="O449" t="str">
        <x:f>IF('WELL INPUTS'!$B$12="Yes",IF(G449="Yes","CLAIMED","NOT LISTED"),"N/A")</x:f>
        <x:v>N/A</x:v>
      </x:c>
      <x:c r="P449" t="str">
        <x:f>IF(OR('WELL INPUTS'!$B$13="Unrestricted",CODE(H449)&lt;=CODE('WELL INPUTS'!$B$13)),"WITHIN TIER","OVER CAP")</x:f>
        <x:v>WITHIN TIER</x:v>
      </x:c>
      <x:c r="Q449" t="n">
        <x:f>MAX(0,MIN(100,43+IF(L449="OK",14,-20)+IF(M449="CATALOG SOUR",24,IF(M449="NOT LISTED",-18,0))+IF(N449="ALLOY FAMILY",14,IF(N449="CORROSION CONTROL",-13,0))+IF(O449="CLAIMED",17,IF(O449="NOT LISTED",-14,0))+IF(K449="Yes",-15,0)+IF('WELL INPUTS'!$B$10="Yes",-17,0)))</x:f>
        <x:v>44</x:v>
      </x:c>
      <x:c r="R449" s="83" t="str">
        <x:f>IF(L449="BELOW","EXCLUDE — STRENGTH",IF(P449="OVER CAP","EXCLUDE — COST",IF(K449="Yes",IF('WELL INPUTS'!$B$14="No","EXCLUDE — REFERENCE","REFERENCE ONLY"),IF(OR(L449="UNKNOWN",M449="NOT LISTED",N449="CORROSION CONTROL",O449="NOT LISTED",'WELL INPUTS'!$B$10="Yes",'WELL INPUTS'!$B$4="Unknown"),"REVIEW","CANDIDATE — VERIFY"))))</x:f>
        <x:v>REVIEW</x:v>
      </x:c>
      <x:c r="S449" t="str">
        <x:f>IF(L449="BELOW","Increase minimum grade strength",IF(P449="OVER CAP","Relax cost tier or exclude",IF(K449="Yes","Identify qualified manufacturer grade",IF(M449="NOT LISTED","Confirm sour-service claim and ISO 15156",IF(O449="NOT LISTED","Obtain manufacturer collapse curve",IF(N449="CORROSION CONTROL","Model CO2 corrosion; review inhibition","Confirm corrosion, cracking, loads and connection"))))))</x:f>
        <x:v>Model CO2 corrosion; review inhibition</x:v>
      </x:c>
      <x:c r="T449" t="str">
        <x:v>https://www.huajinpipe.com/en/col.jsp?id=117</x:v>
      </x:c>
    </x:row>
    <x:row r="450" ht="23" customHeight="1">
      <x:c r="A450" t="str">
        <x:v>OCTG-0449</x:v>
      </x:c>
      <x:c r="B450" t="str">
        <x:v>Tianjin Huajin</x:v>
      </x:c>
      <x:c r="C450" t="str">
        <x:v>LC90S</x:v>
      </x:c>
      <x:c r="D450" t="str">
        <x:v>Carbon / low alloy</x:v>
      </x:c>
      <x:c r="E450" t="str">
        <x:v>H2S resistant OCTG (manufacturer catalogue)</x:v>
      </x:c>
      <x:c r="F450" s="82" t="n">
        <x:v>90</x:v>
      </x:c>
      <x:c r="G450" t="str">
        <x:v>No</x:v>
      </x:c>
      <x:c r="H450" t="str">
        <x:v>A</x:v>
      </x:c>
      <x:c r="I450" t="str">
        <x:v>Yes</x:v>
      </x:c>
      <x:c r="J450" t="str">
        <x:v>No</x:v>
      </x:c>
      <x:c r="K450" t="str">
        <x:v>No</x:v>
      </x:c>
      <x:c r="L450" t="str">
        <x:f>IF(F450="","UNKNOWN",IF(F450&lt;'WELL INPUTS'!$B$11,"BELOW","OK"))</x:f>
        <x:v>OK</x:v>
      </x:c>
      <x:c r="M450" t="str">
        <x:f>IF(AND('WELL INPUTS'!$B$4="Wet",'WELL INPUTS'!$B$5&gt;0),IF(I450="Yes","CATALOG SOUR","NOT LISTED"),"N/A")</x:f>
        <x:v>N/A</x:v>
      </x:c>
      <x:c r="N450" t="str">
        <x:f>IF(AND('WELL INPUTS'!$B$4="Wet",'WELL INPUTS'!$B$6&gt;0),IF(J450="Yes","ALLOY FAMILY","CORROSION CONTROL"),"N/A")</x:f>
        <x:v>CORROSION CONTROL</x:v>
      </x:c>
      <x:c r="O450" t="str">
        <x:f>IF('WELL INPUTS'!$B$12="Yes",IF(G450="Yes","CLAIMED","NOT LISTED"),"N/A")</x:f>
        <x:v>N/A</x:v>
      </x:c>
      <x:c r="P450" t="str">
        <x:f>IF(OR('WELL INPUTS'!$B$13="Unrestricted",CODE(H450)&lt;=CODE('WELL INPUTS'!$B$13)),"WITHIN TIER","OVER CAP")</x:f>
        <x:v>WITHIN TIER</x:v>
      </x:c>
      <x:c r="Q450" t="n">
        <x:f>MAX(0,MIN(100,43+IF(L450="OK",14,-20)+IF(M450="CATALOG SOUR",24,IF(M450="NOT LISTED",-18,0))+IF(N450="ALLOY FAMILY",14,IF(N450="CORROSION CONTROL",-13,0))+IF(O450="CLAIMED",17,IF(O450="NOT LISTED",-14,0))+IF(K450="Yes",-15,0)+IF('WELL INPUTS'!$B$10="Yes",-17,0)))</x:f>
        <x:v>44</x:v>
      </x:c>
      <x:c r="R450" s="83" t="str">
        <x:f>IF(L450="BELOW","EXCLUDE — STRENGTH",IF(P450="OVER CAP","EXCLUDE — COST",IF(K450="Yes",IF('WELL INPUTS'!$B$14="No","EXCLUDE — REFERENCE","REFERENCE ONLY"),IF(OR(L450="UNKNOWN",M450="NOT LISTED",N450="CORROSION CONTROL",O450="NOT LISTED",'WELL INPUTS'!$B$10="Yes",'WELL INPUTS'!$B$4="Unknown"),"REVIEW","CANDIDATE — VERIFY"))))</x:f>
        <x:v>REVIEW</x:v>
      </x:c>
      <x:c r="S450" t="str">
        <x:f>IF(L450="BELOW","Increase minimum grade strength",IF(P450="OVER CAP","Relax cost tier or exclude",IF(K450="Yes","Identify qualified manufacturer grade",IF(M450="NOT LISTED","Confirm sour-service claim and ISO 15156",IF(O450="NOT LISTED","Obtain manufacturer collapse curve",IF(N450="CORROSION CONTROL","Model CO2 corrosion; review inhibition","Confirm corrosion, cracking, loads and connection"))))))</x:f>
        <x:v>Model CO2 corrosion; review inhibition</x:v>
      </x:c>
      <x:c r="T450" t="str">
        <x:v>https://www.huajinpipe.com/en/col.jsp?id=117</x:v>
      </x:c>
    </x:row>
    <x:row r="451" ht="23" customHeight="1">
      <x:c r="A451" t="str">
        <x:v>OCTG-0450</x:v>
      </x:c>
      <x:c r="B451" t="str">
        <x:v>Tianjin Huajin</x:v>
      </x:c>
      <x:c r="C451" t="str">
        <x:v>LC95S</x:v>
      </x:c>
      <x:c r="D451" t="str">
        <x:v>Carbon / low alloy</x:v>
      </x:c>
      <x:c r="E451" t="str">
        <x:v>H2S resistant OCTG (manufacturer catalogue)</x:v>
      </x:c>
      <x:c r="F451" s="82" t="n">
        <x:v>95</x:v>
      </x:c>
      <x:c r="G451" t="str">
        <x:v>No</x:v>
      </x:c>
      <x:c r="H451" t="str">
        <x:v>A</x:v>
      </x:c>
      <x:c r="I451" t="str">
        <x:v>Yes</x:v>
      </x:c>
      <x:c r="J451" t="str">
        <x:v>No</x:v>
      </x:c>
      <x:c r="K451" t="str">
        <x:v>No</x:v>
      </x:c>
      <x:c r="L451" t="str">
        <x:f>IF(F451="","UNKNOWN",IF(F451&lt;'WELL INPUTS'!$B$11,"BELOW","OK"))</x:f>
        <x:v>OK</x:v>
      </x:c>
      <x:c r="M451" t="str">
        <x:f>IF(AND('WELL INPUTS'!$B$4="Wet",'WELL INPUTS'!$B$5&gt;0),IF(I451="Yes","CATALOG SOUR","NOT LISTED"),"N/A")</x:f>
        <x:v>N/A</x:v>
      </x:c>
      <x:c r="N451" t="str">
        <x:f>IF(AND('WELL INPUTS'!$B$4="Wet",'WELL INPUTS'!$B$6&gt;0),IF(J451="Yes","ALLOY FAMILY","CORROSION CONTROL"),"N/A")</x:f>
        <x:v>CORROSION CONTROL</x:v>
      </x:c>
      <x:c r="O451" t="str">
        <x:f>IF('WELL INPUTS'!$B$12="Yes",IF(G451="Yes","CLAIMED","NOT LISTED"),"N/A")</x:f>
        <x:v>N/A</x:v>
      </x:c>
      <x:c r="P451" t="str">
        <x:f>IF(OR('WELL INPUTS'!$B$13="Unrestricted",CODE(H451)&lt;=CODE('WELL INPUTS'!$B$13)),"WITHIN TIER","OVER CAP")</x:f>
        <x:v>WITHIN TIER</x:v>
      </x:c>
      <x:c r="Q451" t="n">
        <x:f>MAX(0,MIN(100,43+IF(L451="OK",14,-20)+IF(M451="CATALOG SOUR",24,IF(M451="NOT LISTED",-18,0))+IF(N451="ALLOY FAMILY",14,IF(N451="CORROSION CONTROL",-13,0))+IF(O451="CLAIMED",17,IF(O451="NOT LISTED",-14,0))+IF(K451="Yes",-15,0)+IF('WELL INPUTS'!$B$10="Yes",-17,0)))</x:f>
        <x:v>44</x:v>
      </x:c>
      <x:c r="R451" s="83" t="str">
        <x:f>IF(L451="BELOW","EXCLUDE — STRENGTH",IF(P451="OVER CAP","EXCLUDE — COST",IF(K451="Yes",IF('WELL INPUTS'!$B$14="No","EXCLUDE — REFERENCE","REFERENCE ONLY"),IF(OR(L451="UNKNOWN",M451="NOT LISTED",N451="CORROSION CONTROL",O451="NOT LISTED",'WELL INPUTS'!$B$10="Yes",'WELL INPUTS'!$B$4="Unknown"),"REVIEW","CANDIDATE — VERIFY"))))</x:f>
        <x:v>REVIEW</x:v>
      </x:c>
      <x:c r="S451" t="str">
        <x:f>IF(L451="BELOW","Increase minimum grade strength",IF(P451="OVER CAP","Relax cost tier or exclude",IF(K451="Yes","Identify qualified manufacturer grade",IF(M451="NOT LISTED","Confirm sour-service claim and ISO 15156",IF(O451="NOT LISTED","Obtain manufacturer collapse curve",IF(N451="CORROSION CONTROL","Model CO2 corrosion; review inhibition","Confirm corrosion, cracking, loads and connection"))))))</x:f>
        <x:v>Model CO2 corrosion; review inhibition</x:v>
      </x:c>
      <x:c r="T451" t="str">
        <x:v>https://www.huajinpipe.com/en/col.jsp?id=117</x:v>
      </x:c>
    </x:row>
  </x:sheetData>
  <x:conditionalFormatting sqref="R2:R451">
    <x:cfRule type="dataBar" priority="4">
      <x:dataBar>
        <x:cfvo type="min"/>
        <x:cfvo type="max"/>
        <x:color rgb="FF149789"/>
      </x:dataBar>
      <x:extLst>
        <x:ext xmlns:x14="http://schemas.microsoft.com/office/spreadsheetml/2009/9/main" uri="{B025F937-C7B1-47D3-B67F-A62EFF666E3E}">
          <x14:id>{FE3D27E9-B00C-7D4F-CAE2-9BCE283E8E62}</x14:id>
        </x:ext>
      </x:extLst>
    </x:cfRule>
    <x:cfRule type="expression" dxfId="3" priority="6">
      <x:formula>LEFT(R2,7)="EXCLUDE"</x:formula>
    </x:cfRule>
    <x:cfRule type="expression" dxfId="4" priority="7">
      <x:formula>LEFT(R2,9)="CANDIDATE"</x:formula>
    </x:cfRule>
    <x:cfRule type="expression" dxfId="5" priority="8">
      <x:formula>R2="REVIEW"</x:formula>
    </x:cfRule>
  </x:conditionalFormatting>
  <x:conditionalFormatting sqref="Q2:Q451">
    <x:cfRule type="dataBar" priority="5">
      <x:dataBar>
        <x:cfvo type="min"/>
        <x:cfvo type="max"/>
        <x:color rgb="FF149789"/>
      </x:dataBar>
      <x:extLst>
        <x:ext xmlns:x14="http://schemas.microsoft.com/office/spreadsheetml/2009/9/main" uri="{B025F937-C7B1-47D3-B67F-A62EFF666E3E}">
          <x14:id>{51415B4E-B652-BB21-EE3F-8D203D0030D2}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d7097182f6f416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FE3D27E9-B00C-7D4F-CAE2-9BCE283E8E62}">
            <x14:dataBar gradient="1">
              <x14:cfvo type="min"/>
              <x14:cfvo type="max"/>
              <x14:fillColor rgb="FF149789"/>
            </x14:dataBar>
          </x14:cfRule>
          <xm:sqref>R2:R451</xm:sqref>
        </x14:conditionalFormatting>
        <x14:conditionalFormatting>
          <x14:cfRule type="dataBar" priority="5" id="{51415B4E-B652-BB21-EE3F-8D203D0030D2}">
            <x14:dataBar gradient="1">
              <x14:cfvo type="min"/>
              <x14:cfvo type="max"/>
              <x14:fillColor rgb="FF149789"/>
            </x14:dataBar>
          </x14:cfRule>
          <xm:sqref>Q2:Q451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49" hidden="0" customWidth="1"/>
    <x:col min="4" max="4" width="55" hidden="0" customWidth="1"/>
    <x:col min="5" max="5" width="43" hidden="0" customWidth="1"/>
    <x:col min="6" max="6" width="37" hidden="0" customWidth="1"/>
  </x:cols>
  <x:sheetData>
    <x:row r="1" ht="42" customHeight="1">
      <x:c r="A1" s="84" t="str">
        <x:v>SELECTION DECISION LOGIC | ENGINEERING TRANSPARENCY</x:v>
      </x:c>
      <x:c r="B1" s="84"/>
      <x:c r="C1" s="84"/>
      <x:c r="D1" s="84"/>
      <x:c r="E1" s="84"/>
      <x:c r="F1" s="84"/>
      <x:c r="G1" s="84"/>
      <x:c r="H1" s="84"/>
    </x:row>
    <x:row r="2" ht="40" customHeight="1">
      <x:c r="A2" s="87" t="str">
        <x:v>Catalog-fit score: a traceable search heuristic (0–100). NOT a predicted corrosion rate, probability of suitability, NACE compliance, or API collapse/burst/axial rating.</x:v>
      </x:c>
      <x:c r="B2" s="87"/>
      <x:c r="C2" s="87"/>
      <x:c r="D2" s="87"/>
      <x:c r="E2" s="87"/>
      <x:c r="F2" s="87"/>
      <x:c r="G2" s="87"/>
      <x:c r="H2" s="87"/>
    </x:row>
    <x:row r="4" ht="31" customHeight="1">
      <x:c r="A4" s="67" t="str">
        <x:v>STEP</x:v>
      </x:c>
      <x:c r="B4" s="67" t="str">
        <x:v>CHECK</x:v>
      </x:c>
      <x:c r="C4" s="67" t="str">
        <x:v>IMPLEMENTATION</x:v>
      </x:c>
      <x:c r="D4" s="67" t="str">
        <x:v>WHY IT MATTERS</x:v>
      </x:c>
      <x:c r="E4" s="67" t="str">
        <x:v>DECISION EFFECT</x:v>
      </x:c>
      <x:c r="F4" s="67" t="str">
        <x:v>STANDARD / SOURCE</x:v>
      </x:c>
    </x:row>
    <x:row r="5" ht="60" customHeight="1">
      <x:c r="A5" s="89" t="str">
        <x:v>01</x:v>
      </x:c>
      <x:c r="B5" s="44" t="str">
        <x:v>Yield strength</x:v>
      </x:c>
      <x:c r="C5" s="44" t="str">
        <x:v>Exclude if published SMYS &lt; input</x:v>
      </x:c>
      <x:c r="D5" s="44" t="str">
        <x:v>Nominal strength does not establish pipe capacity</x:v>
      </x:c>
      <x:c r="E5" s="44" t="str">
        <x:v>EXCLUDE strength</x:v>
      </x:c>
      <x:c r="F5" s="44" t="str">
        <x:v>API 5CT / API 5CRA</x:v>
      </x:c>
    </x:row>
    <x:row r="6" ht="60" customHeight="1">
      <x:c r="A6" s="89" t="str">
        <x:v>02</x:v>
      </x:c>
      <x:c r="B6" s="44" t="str">
        <x:v>Cost budget</x:v>
      </x:c>
      <x:c r="C6" s="44" t="str">
        <x:v>A–I cost tier screen, optional</x:v>
      </x:c>
      <x:c r="D6" s="44" t="str">
        <x:v>Subjective cost ordering; actual offers differ</x:v>
      </x:c>
      <x:c r="E6" s="44" t="str">
        <x:v>EXCLUDE cost preference</x:v>
      </x:c>
      <x:c r="F6" s="44" t="str">
        <x:v>Master database cost notes</x:v>
      </x:c>
    </x:row>
    <x:row r="7" ht="60" customHeight="1">
      <x:c r="A7" s="89" t="str">
        <x:v>03</x:v>
      </x:c>
      <x:c r="B7" s="44" t="str">
        <x:v>API reference</x:v>
      </x:c>
      <x:c r="C7" s="44" t="str">
        <x:v>API generic rows flagged, not orderable</x:v>
      </x:c>
      <x:c r="D7" s="44" t="str">
        <x:v>Grade does not identify qualified manufacturer</x:v>
      </x:c>
      <x:c r="E7" s="44" t="str">
        <x:v>Reference-only / exclude reference</x:v>
      </x:c>
      <x:c r="F7" s="44" t="str">
        <x:v>API 5CT/5CRA</x:v>
      </x:c>
    </x:row>
    <x:row r="8" ht="60" customHeight="1">
      <x:c r="A8" s="89" t="str">
        <x:v>04</x:v>
      </x:c>
      <x:c r="B8" s="44" t="str">
        <x:v>Sour environment</x:v>
      </x:c>
      <x:c r="C8" s="44" t="str">
        <x:v>When wet and pH2S &gt; 0, prioritize explicit supplier sour-service claims</x:v>
      </x:c>
      <x:c r="D8" s="44" t="str">
        <x:v>SSC/HIC/SCC depend on stress, pH, temp, Cl, H2S pressure</x:v>
      </x:c>
      <x:c r="E8" s="44" t="str">
        <x:v>Catalog ranking, no automatic approval</x:v>
      </x:c>
      <x:c r="F8" s="44" t="str">
        <x:v>ISO 15156-1/2/3</x:v>
      </x:c>
    </x:row>
    <x:row r="9" ht="60" customHeight="1">
      <x:c r="A9" s="89" t="str">
        <x:v>05</x:v>
      </x:c>
      <x:c r="B9" s="44" t="str">
        <x:v>Wet CO2</x:v>
      </x:c>
      <x:c r="C9" s="44" t="str">
        <x:v>Prioritize low-Cr/Cr/duplex/Ni materials, otherwise require corrosion control</x:v>
      </x:c>
      <x:c r="D9" s="44" t="str">
        <x:v>Uniform corrosion and localized corrosion matter</x:v>
      </x:c>
      <x:c r="E9" s="44" t="str">
        <x:v>Catalog ranking only</x:v>
      </x:c>
      <x:c r="F9" s="44" t="str">
        <x:v>CO2 corrosion model / operator standard</x:v>
      </x:c>
    </x:row>
    <x:row r="10" ht="60" customHeight="1">
      <x:c r="A10" s="89" t="str">
        <x:v>06</x:v>
      </x:c>
      <x:c r="B10" s="44" t="str">
        <x:v>High collapse</x:v>
      </x:c>
      <x:c r="C10" s="44" t="str">
        <x:v>Prioritize only supplier-listed collapse grades</x:v>
      </x:c>
      <x:c r="D10" s="44" t="str">
        <x:v>Mechanical collapse needs OD/wall and axial load</x:v>
      </x:c>
      <x:c r="E10" s="44" t="str">
        <x:v>Catalog ranking; request collapse curve</x:v>
      </x:c>
      <x:c r="F10" s="44" t="str">
        <x:v>ISO/TR 10400</x:v>
      </x:c>
    </x:row>
    <x:row r="11" ht="60" customHeight="1">
      <x:c r="A11" s="89" t="str">
        <x:v>07</x:v>
      </x:c>
      <x:c r="B11" s="44" t="str">
        <x:v>Chloride</x:v>
      </x:c>
      <x:c r="C11" s="44" t="str">
        <x:v>Always require localized-corrosion envelope in aqueous service</x:v>
      </x:c>
      <x:c r="D11" s="44" t="str">
        <x:v>Pitting/crevice and SCC limits vary greatly by alloy/T</x:v>
      </x:c>
      <x:c r="E11" s="44" t="str">
        <x:v>Review note, not numeric pass/fail</x:v>
      </x:c>
      <x:c r="F11" s="44" t="str">
        <x:v>Supplier datasheets / field data</x:v>
      </x:c>
    </x:row>
    <x:row r="12" ht="60" customHeight="1">
      <x:c r="A12" s="89" t="str">
        <x:v>08</x:v>
      </x:c>
      <x:c r="B12" s="44" t="str">
        <x:v>Temperature</x:v>
      </x:c>
      <x:c r="C12" s="44" t="str">
        <x:v>High T &gt;=120 C flagged as caution (not allowable)</x:v>
      </x:c>
      <x:c r="D12" s="44" t="str">
        <x:v>Cracking resistance, phase stability and high-T ratings</x:v>
      </x:c>
      <x:c r="E12" s="44" t="str">
        <x:v>Review note, not alloy disqualification</x:v>
      </x:c>
      <x:c r="F12" s="44" t="str">
        <x:v>ISO 15156 / material datasheet</x:v>
      </x:c>
    </x:row>
    <x:row r="13" ht="60" customHeight="1">
      <x:c r="A13" s="89" t="str">
        <x:v>09</x:v>
      </x:c>
      <x:c r="B13" s="44" t="str">
        <x:v>Acidity</x:v>
      </x:c>
      <x:c r="C13" s="44" t="str">
        <x:v>pH &lt;5 flagged as caution (not allowable)</x:v>
      </x:c>
      <x:c r="D13" s="44" t="str">
        <x:v>Acidic water worsens many corrosion/SSC environments</x:v>
      </x:c>
      <x:c r="E13" s="44" t="str">
        <x:v>Review note, not alloy disqualification</x:v>
      </x:c>
      <x:c r="F13" s="44" t="str">
        <x:v>ISO 15156 / lab and model</x:v>
      </x:c>
    </x:row>
    <x:row r="14" ht="60" customHeight="1">
      <x:c r="A14" s="89" t="str">
        <x:v>10</x:v>
      </x:c>
      <x:c r="B14" s="44" t="str">
        <x:v>Elemental sulfur</x:v>
      </x:c>
      <x:c r="C14" s="44" t="str">
        <x:v>Presence blocks automatic candidate status</x:v>
      </x:c>
      <x:c r="D14" s="44" t="str">
        <x:v>Sulfur raises localized corrosion / cracking concerns</x:v>
      </x:c>
      <x:c r="E14" s="44" t="str">
        <x:v>Review every material, no auto approval</x:v>
      </x:c>
      <x:c r="F14" s="44" t="str">
        <x:v>Project sulphur qualification</x:v>
      </x:c>
    </x:row>
    <x:row r="15" ht="60" customHeight="1">
      <x:c r="A15" s="89" t="str">
        <x:v>11</x:v>
      </x:c>
      <x:c r="B15" s="44" t="str">
        <x:v>Environment unknown</x:v>
      </x:c>
      <x:c r="C15" s="44" t="str">
        <x:v>Unknown free water -&gt; review only</x:v>
      </x:c>
      <x:c r="D15" s="44" t="str">
        <x:v>SSC/CO2 corrosion often need aqueous phase</x:v>
      </x:c>
      <x:c r="E15" s="44" t="str">
        <x:v>REVIEW, until verified</x:v>
      </x:c>
      <x:c r="F15" s="44" t="str">
        <x:v>Design inputs / well fluid history</x:v>
      </x:c>
    </x:row>
    <x:row r="16" ht="60" customHeight="1">
      <x:c r="A16" s="89" t="str">
        <x:v>12</x:v>
      </x:c>
      <x:c r="B16" s="44" t="str">
        <x:v>Final qualification</x:v>
      </x:c>
      <x:c r="C16" s="44" t="str">
        <x:v>Check vendor-specific supply, SSC/SCC, CO2, cl, temperature, PSL and mechanicals</x:v>
      </x:c>
      <x:c r="D16" s="44" t="str">
        <x:v>Avoid incorrect grade approval from supplier marketing</x:v>
      </x:c>
      <x:c r="E16" s="44" t="str">
        <x:v>Engineering dossier required</x:v>
      </x:c>
      <x:c r="F16" s="44" t="str">
        <x:v>API 5CT, 5CRA, ISO15156, ISO/TR10400</x:v>
      </x:c>
    </x:row>
    <x:row r="19" ht="30" customHeight="1">
      <x:c r="A19" s="67" t="str">
        <x:v>PRIMARY STANDARD REFERENCES</x:v>
      </x:c>
      <x:c r="B19" s="67" t="str">
        <x:v>URL</x:v>
      </x:c>
      <x:c r="C19" s="67"/>
      <x:c r="D19" s="67"/>
      <x:c r="E19" s="67"/>
      <x:c r="F19" s="67"/>
    </x:row>
    <x:row r="20" ht="25" customHeight="1">
      <x:c r="A20" t="str">
        <x:v>API latest amendments</x:v>
      </x:c>
      <x:c r="B20" s="90" t="str">
        <x:v>https://www.api.org/products-and-services/api-monogram-and-apiqr/latest-updates</x:v>
      </x:c>
    </x:row>
    <x:row r="21" ht="25" customHeight="1">
      <x:c r="A21" t="str">
        <x:v>API editions &amp; publication dates</x:v>
      </x:c>
      <x:c r="B21" s="90" t="str">
        <x:v>https://www.api.org/products-and-services/standards/standards-plan</x:v>
      </x:c>
    </x:row>
    <x:row r="22" ht="25" customHeight="1">
      <x:c r="A22" t="str">
        <x:v>ISO 15156-1:2020</x:v>
      </x:c>
      <x:c r="B22" s="90" t="str">
        <x:v>https://www.iso.org/standard/79658.html</x:v>
      </x:c>
    </x:row>
    <x:row r="23" ht="25" customHeight="1">
      <x:c r="A23" t="str">
        <x:v>AMPP / NACE MR0175</x:v>
      </x:c>
      <x:c r="B23" s="90" t="str">
        <x:v>https://content.ampp.org/standards/book/1139/ANSI-NACE-MR0175-Petroleum-and-Natural-Gas</x:v>
      </x:c>
    </x:row>
    <x:row r="24" ht="25" customHeight="1">
      <x:c r="A24" t="str">
        <x:v>ISO/TR 10400:2018</x:v>
      </x:c>
      <x:c r="B24" s="90" t="str">
        <x:v>https://www.iso.org/standard/75259.html</x:v>
      </x:c>
    </x:row>
    <x:row r="25" ht="25" customHeight="1">
      <x:c r="A25" t="str">
        <x:v>API 5CRA current edition (2025)</x:v>
      </x:c>
      <x:c r="B25" s="90" t="str">
        <x:v>https://store.accuristech.com/standards/api-spec-5cra?product_id=2933341</x:v>
      </x:c>
    </x:row>
  </x:sheetData>
  <x:mergeCells>
    <x:mergeCell ref="A1:H1"/>
    <x:mergeCell ref="A2:H2"/>
  </x:mergeCells>
  <x:pageMargins left="0.7" right="0.7" top="0.75" bottom="0.75" header="0.3" footer="0.3"/>
</x:worksheet>
</file>